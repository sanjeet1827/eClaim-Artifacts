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agarro\Desktop\"/>
    </mc:Choice>
  </mc:AlternateContent>
  <xr:revisionPtr revIDLastSave="0" documentId="8_{E3E6B876-9BCD-4DAC-B4CC-241139229039}" xr6:coauthVersionLast="43" xr6:coauthVersionMax="43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45" windowWidth="29040" windowHeight="15840" tabRatio="34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Estimation!$370:$370</definedName>
    <definedName name="AS_DEV_EFFORT">Estimation!$P$260</definedName>
    <definedName name="AS_DURATION_EFFORT">Estimation!$P$261</definedName>
    <definedName name="AS_MANUAL_DURATION_EFFORT">Estimation!$U$262</definedName>
    <definedName name="AUTOMATED_END_DATE">Estimation!$P$236</definedName>
    <definedName name="BUFFER_TYPES_LIST">Lists!$B$45:$B$48</definedName>
    <definedName name="BUFFERS_BY_TYPE">Estimation!$N$295:$O$297</definedName>
    <definedName name="CHOSEN_CURRENCY">Estimation!$O$254</definedName>
    <definedName name="CLIENT_NAME">Estimation!$O$247</definedName>
    <definedName name="COMPACT_WBS">Estimation!$L$10:$T$197</definedName>
    <definedName name="COPY_TYPE">Estimation!$R$9</definedName>
    <definedName name="CURRENCIES_LIST">Lists!$B$27:$B$29</definedName>
    <definedName name="CUSTOM_PERCENT">Estimation!$T$5</definedName>
    <definedName name="DESIGN_COST">Estimation!$W$222</definedName>
    <definedName name="DESIGN_EFFORT">Estimation!$O$222</definedName>
    <definedName name="DESIGN_RANGE">Estimation!$L$59:$AC$88</definedName>
    <definedName name="DESIGN_TA_COUNT">Estimation!$R$232</definedName>
    <definedName name="DESIGN_TA_PERCENT">Estimation!$R$222</definedName>
    <definedName name="DEV_COST">Estimation!$W$223</definedName>
    <definedName name="DEV_DEV_COUNT">Estimation!$T$233</definedName>
    <definedName name="DEV_DEV_PERCENT">Estimation!$T$223</definedName>
    <definedName name="DEV_EFFORT">Estimation!$O$223</definedName>
    <definedName name="DEV_RANGE">Estimation!$L$89:$AC$128</definedName>
    <definedName name="DURATION">Estimation!$P$237</definedName>
    <definedName name="EXTRA_FOR_H">Estimation!$O$282</definedName>
    <definedName name="EXTRAS_ARRAY">Estimation!$N$287:$O$292</definedName>
    <definedName name="EXTRAS_LIST">Estimation!$N$287:$N$292</definedName>
    <definedName name="FBS">Estimation!$L$199</definedName>
    <definedName name="FBS_FORMAT">Estimation!$S$204</definedName>
    <definedName name="FBS_INSERT_AT">Estimation!$M$210:$P$210</definedName>
    <definedName name="FBS_LINK">Estimation!$T$204</definedName>
    <definedName name="FBS_RANGE">Estimation!$M$205:$P$211</definedName>
    <definedName name="FULL_WBS">Estimation!$L$10:$AC$197</definedName>
    <definedName name="INCLUDE_OPTIONALS_LIST">Lists!$B$58:$B$59</definedName>
    <definedName name="IS_KEY_OPP">Estimation!$O$252</definedName>
    <definedName name="LESS_FOR_L">Estimation!$O$283</definedName>
    <definedName name="MANUAL_DURATION">Estimation!$P$238</definedName>
    <definedName name="MANUAL_END_DATE">Schedule!$L$1</definedName>
    <definedName name="MAX_EFFORT_PERCENT">Estimation!$P$257</definedName>
    <definedName name="MIN_EFFORT_PERCENT">Estimation!$O$257</definedName>
    <definedName name="MODULE_RANGE">Estimation!$374:$374</definedName>
    <definedName name="NOT_IN_COMPACT">Estimation!$O:$W</definedName>
    <definedName name="OTHER_COST">Estimation!$W$226</definedName>
    <definedName name="OTHER_EFFORT">Estimation!$O$226</definedName>
    <definedName name="OTHER_TL_COUNT">Estimation!$S$236</definedName>
    <definedName name="OTHER_TL_PERCENT">Estimation!$S$226</definedName>
    <definedName name="OTHERS_RANGE">Estimation!$L$190:$AC$196</definedName>
    <definedName name="PLATFORM">Estimation!$O$249</definedName>
    <definedName name="PLATFORMS_LIST">Lists!$B$38:$B$42</definedName>
    <definedName name="_xlnm.Print_Area" localSheetId="1">Estimation!$A$1:$AC$243</definedName>
    <definedName name="PROJECT_NAME">Estimation!$O$248</definedName>
    <definedName name="PROJECT_TYPE">Estimation!$O$250</definedName>
    <definedName name="PROJECT_TYPES_LIST">Lists!$B$32:$B$35</definedName>
    <definedName name="QA_COST">Estimation!$W$224</definedName>
    <definedName name="QA_EFFORT">Estimation!$O$224</definedName>
    <definedName name="QA_RANGE">Estimation!$L$129:$AC$166</definedName>
    <definedName name="REGIONS_LIST">Lists!$B$19:$B$24</definedName>
    <definedName name="REQ_BA_COUNT">Estimation!$Q$231</definedName>
    <definedName name="REQ_BA_PERCENT">Estimation!$Q$221</definedName>
    <definedName name="REQ_COST">Estimation!$W$221</definedName>
    <definedName name="REQ_EFFORT">Estimation!$O$221</definedName>
    <definedName name="REQ_RANGE">Estimation!$L$12:$AC$58</definedName>
    <definedName name="RFP_NAME">Estimation!$O$251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Estimation!$P$287:$P$288</definedName>
    <definedName name="SECTION_RANGE">Estimation!$366:$372</definedName>
    <definedName name="START_DATE">Estimation!$O$231</definedName>
    <definedName name="TASK_RANGE">Estimation!$368:$371</definedName>
    <definedName name="TEMPLATE_NAME">Estimation!$G$3</definedName>
    <definedName name="TEMPLATE_SECTION">Estimation!$365:$375</definedName>
    <definedName name="TEMPLATE_VER">Estimation!$K$3</definedName>
    <definedName name="TESTING_QA_COUNT">Estimation!$U$234</definedName>
    <definedName name="TESTING_QA_PERCENT">Estimation!$U$224</definedName>
    <definedName name="TOTAL_COST">Estimation!$W$227</definedName>
    <definedName name="TOTAL_EFFORT">Estimation!$O$227</definedName>
    <definedName name="Total_FRs">Estimation!$Q$23</definedName>
    <definedName name="Total_Screens">Estimation!$P$56</definedName>
    <definedName name="Total_Test_Cases">Estimation!$P$141</definedName>
    <definedName name="Total_Use_Cases">Estimation!$P$41</definedName>
    <definedName name="TOTAL_WEEKS">Estimation!$P$227</definedName>
    <definedName name="UAT_COST">Estimation!$W$225</definedName>
    <definedName name="UAT_DEV_COUNT">Estimation!$T$235</definedName>
    <definedName name="UAT_DEV_PERCENT">Estimation!$T$225</definedName>
    <definedName name="UAT_EFFORT">Estimation!$O$225</definedName>
    <definedName name="UAT_RANGE">Estimation!$L$167:$AC$189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64" i="2" l="1"/>
  <c r="AA164" i="2" s="1"/>
  <c r="S164" i="2" s="1"/>
  <c r="AD164" i="2" s="1"/>
  <c r="Y163" i="2"/>
  <c r="AA163" i="2" s="1"/>
  <c r="S163" i="2" s="1"/>
  <c r="AD163" i="2" s="1"/>
  <c r="R162" i="2" l="1"/>
  <c r="R161" i="2"/>
  <c r="R159" i="2"/>
  <c r="X154" i="2"/>
  <c r="X153" i="2"/>
  <c r="AD137" i="2" l="1"/>
  <c r="AD131" i="2"/>
  <c r="Y134" i="2"/>
  <c r="AA134" i="2" s="1"/>
  <c r="S134" i="2" s="1"/>
  <c r="AD132" i="2"/>
  <c r="Y143" i="2"/>
  <c r="AA143" i="2" s="1"/>
  <c r="S143" i="2" s="1"/>
  <c r="AD143" i="2" s="1"/>
  <c r="Y140" i="2"/>
  <c r="AA140" i="2" s="1"/>
  <c r="S140" i="2" s="1"/>
  <c r="AD138" i="2"/>
  <c r="Y126" i="2"/>
  <c r="AA126" i="2" s="1"/>
  <c r="S126" i="2" s="1"/>
  <c r="AD126" i="2" s="1"/>
  <c r="AD122" i="2"/>
  <c r="Y125" i="2"/>
  <c r="AA125" i="2" s="1"/>
  <c r="S125" i="2" s="1"/>
  <c r="AD123" i="2"/>
  <c r="Y54" i="2"/>
  <c r="AA54" i="2" s="1"/>
  <c r="S54" i="2" s="1"/>
  <c r="AD54" i="2" s="1"/>
  <c r="Y56" i="2"/>
  <c r="AA56" i="2" s="1"/>
  <c r="S56" i="2" s="1"/>
  <c r="AD56" i="2" s="1"/>
  <c r="Y47" i="2"/>
  <c r="AA47" i="2" s="1"/>
  <c r="S47" i="2" s="1"/>
  <c r="AD47" i="2" s="1"/>
  <c r="Y48" i="2"/>
  <c r="AA48" i="2" s="1"/>
  <c r="S48" i="2" s="1"/>
  <c r="AD48" i="2" s="1"/>
  <c r="Y49" i="2"/>
  <c r="AA49" i="2" s="1"/>
  <c r="S49" i="2" s="1"/>
  <c r="AD49" i="2" s="1"/>
  <c r="Y42" i="2"/>
  <c r="AA42" i="2" s="1"/>
  <c r="S42" i="2" s="1"/>
  <c r="AD42" i="2" s="1"/>
  <c r="Y43" i="2"/>
  <c r="AA43" i="2" s="1"/>
  <c r="S43" i="2" s="1"/>
  <c r="AD43" i="2" s="1"/>
  <c r="Y36" i="2"/>
  <c r="AA36" i="2" s="1"/>
  <c r="S36" i="2" s="1"/>
  <c r="AD36" i="2" s="1"/>
  <c r="Y37" i="2"/>
  <c r="AA37" i="2" s="1"/>
  <c r="S37" i="2" s="1"/>
  <c r="AD37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3" i="2"/>
  <c r="AA53" i="2" s="1"/>
  <c r="S53" i="2" s="1"/>
  <c r="AD51" i="2"/>
  <c r="AD45" i="2"/>
  <c r="AD39" i="2"/>
  <c r="Y35" i="2"/>
  <c r="AA35" i="2" s="1"/>
  <c r="S35" i="2" s="1"/>
  <c r="AD33" i="2"/>
  <c r="Y28" i="2"/>
  <c r="AA28" i="2" s="1"/>
  <c r="S28" i="2" s="1"/>
  <c r="AD26" i="2"/>
  <c r="Q141" i="2" l="1"/>
  <c r="Y55" i="2"/>
  <c r="AA55" i="2" s="1"/>
  <c r="S55" i="2" s="1"/>
  <c r="AD55" i="2" s="1"/>
  <c r="Q135" i="2"/>
  <c r="Y135" i="2" s="1"/>
  <c r="AA135" i="2" s="1"/>
  <c r="S135" i="2" s="1"/>
  <c r="AD135" i="2" s="1"/>
  <c r="AD134" i="2"/>
  <c r="AD140" i="2"/>
  <c r="P142" i="2"/>
  <c r="P141" i="2"/>
  <c r="Q142" i="2"/>
  <c r="T123" i="2"/>
  <c r="AD125" i="2"/>
  <c r="Y41" i="2"/>
  <c r="AA41" i="2" s="1"/>
  <c r="S41" i="2" s="1"/>
  <c r="T39" i="2" s="1"/>
  <c r="AD53" i="2"/>
  <c r="T45" i="2"/>
  <c r="T33" i="2"/>
  <c r="AD35" i="2"/>
  <c r="T26" i="2"/>
  <c r="AD28" i="2"/>
  <c r="T51" i="2" l="1"/>
  <c r="Y141" i="2"/>
  <c r="AA141" i="2" s="1"/>
  <c r="S141" i="2" s="1"/>
  <c r="AD141" i="2" s="1"/>
  <c r="Q154" i="2"/>
  <c r="Q153" i="2"/>
  <c r="Q148" i="2"/>
  <c r="T132" i="2"/>
  <c r="Y142" i="2"/>
  <c r="AA142" i="2" s="1"/>
  <c r="S142" i="2" s="1"/>
  <c r="AD142" i="2" s="1"/>
  <c r="AD41" i="2"/>
  <c r="S122" i="2"/>
  <c r="T138" i="2" l="1"/>
  <c r="R219" i="2" l="1"/>
  <c r="S219" i="2"/>
  <c r="T219" i="2"/>
  <c r="U219" i="2"/>
  <c r="V219" i="2"/>
  <c r="Q219" i="2"/>
  <c r="S374" i="2"/>
  <c r="AD192" i="2" l="1"/>
  <c r="Y18" i="2" l="1"/>
  <c r="AA18" i="2" s="1"/>
  <c r="S18" i="2" s="1"/>
  <c r="AD18" i="2" s="1"/>
  <c r="Y185" i="2" l="1"/>
  <c r="AA185" i="2" s="1"/>
  <c r="S185" i="2" s="1"/>
  <c r="AD185" i="2" s="1"/>
  <c r="Y186" i="2"/>
  <c r="AA186" i="2" s="1"/>
  <c r="S186" i="2" s="1"/>
  <c r="AD186" i="2" s="1"/>
  <c r="Y187" i="2"/>
  <c r="AA187" i="2" s="1"/>
  <c r="S187" i="2" s="1"/>
  <c r="AD187" i="2" s="1"/>
  <c r="Y184" i="2"/>
  <c r="AA184" i="2" s="1"/>
  <c r="S184" i="2" s="1"/>
  <c r="AD182" i="2"/>
  <c r="Y180" i="2"/>
  <c r="AA180" i="2" s="1"/>
  <c r="S180" i="2" s="1"/>
  <c r="AD178" i="2"/>
  <c r="Y176" i="2"/>
  <c r="AA176" i="2" s="1"/>
  <c r="S176" i="2" s="1"/>
  <c r="AD174" i="2"/>
  <c r="Y172" i="2"/>
  <c r="AA172" i="2" s="1"/>
  <c r="S172" i="2" s="1"/>
  <c r="AD172" i="2" s="1"/>
  <c r="Y171" i="2"/>
  <c r="AA171" i="2" s="1"/>
  <c r="S171" i="2" s="1"/>
  <c r="AD169" i="2"/>
  <c r="Y160" i="2"/>
  <c r="AA160" i="2" s="1"/>
  <c r="S160" i="2" s="1"/>
  <c r="AD160" i="2" s="1"/>
  <c r="Y161" i="2"/>
  <c r="AA161" i="2" s="1"/>
  <c r="S161" i="2" s="1"/>
  <c r="AD161" i="2" s="1"/>
  <c r="Y162" i="2"/>
  <c r="AA162" i="2" s="1"/>
  <c r="S162" i="2" s="1"/>
  <c r="AD162" i="2" s="1"/>
  <c r="Y159" i="2"/>
  <c r="AA159" i="2" s="1"/>
  <c r="S159" i="2" s="1"/>
  <c r="AD157" i="2"/>
  <c r="Y154" i="2"/>
  <c r="AA154" i="2" s="1"/>
  <c r="S154" i="2" s="1"/>
  <c r="AD154" i="2" s="1"/>
  <c r="Y155" i="2"/>
  <c r="AA155" i="2" s="1"/>
  <c r="S155" i="2" s="1"/>
  <c r="AD155" i="2" s="1"/>
  <c r="Y153" i="2"/>
  <c r="AA153" i="2" s="1"/>
  <c r="S153" i="2" s="1"/>
  <c r="AD153" i="2" s="1"/>
  <c r="Y152" i="2"/>
  <c r="AA152" i="2" s="1"/>
  <c r="S152" i="2" s="1"/>
  <c r="AD150" i="2"/>
  <c r="Y148" i="2"/>
  <c r="AA148" i="2" s="1"/>
  <c r="S148" i="2" s="1"/>
  <c r="AD148" i="2" s="1"/>
  <c r="Y147" i="2"/>
  <c r="AA147" i="2" s="1"/>
  <c r="S147" i="2" s="1"/>
  <c r="AD145" i="2"/>
  <c r="Y116" i="2"/>
  <c r="AA116" i="2" s="1"/>
  <c r="S116" i="2" s="1"/>
  <c r="AD116" i="2" s="1"/>
  <c r="Y120" i="2"/>
  <c r="AA120" i="2" s="1"/>
  <c r="S120" i="2" s="1"/>
  <c r="AD118" i="2"/>
  <c r="AD112" i="2"/>
  <c r="Y110" i="2"/>
  <c r="AA110" i="2" s="1"/>
  <c r="S110" i="2" s="1"/>
  <c r="AD110" i="2" s="1"/>
  <c r="Y101" i="2"/>
  <c r="AA101" i="2" s="1"/>
  <c r="S101" i="2" s="1"/>
  <c r="AD101" i="2" s="1"/>
  <c r="Y102" i="2"/>
  <c r="AA102" i="2" s="1"/>
  <c r="S102" i="2" s="1"/>
  <c r="AD102" i="2" s="1"/>
  <c r="Y103" i="2"/>
  <c r="AA103" i="2" s="1"/>
  <c r="S103" i="2" s="1"/>
  <c r="AD103" i="2" s="1"/>
  <c r="Y104" i="2"/>
  <c r="AA104" i="2" s="1"/>
  <c r="S104" i="2" s="1"/>
  <c r="AD104" i="2" s="1"/>
  <c r="Y94" i="2"/>
  <c r="AA94" i="2" s="1"/>
  <c r="S94" i="2" s="1"/>
  <c r="AD94" i="2" s="1"/>
  <c r="Y95" i="2"/>
  <c r="AA95" i="2" s="1"/>
  <c r="S95" i="2" s="1"/>
  <c r="AD95" i="2" s="1"/>
  <c r="Y96" i="2"/>
  <c r="AA96" i="2" s="1"/>
  <c r="S96" i="2" s="1"/>
  <c r="AD96" i="2" s="1"/>
  <c r="Y80" i="2"/>
  <c r="AA80" i="2" s="1"/>
  <c r="S80" i="2" s="1"/>
  <c r="AD80" i="2" s="1"/>
  <c r="Y81" i="2"/>
  <c r="AA81" i="2" s="1"/>
  <c r="S81" i="2" s="1"/>
  <c r="AD81" i="2" s="1"/>
  <c r="Y82" i="2"/>
  <c r="AA82" i="2" s="1"/>
  <c r="S82" i="2" s="1"/>
  <c r="AD82" i="2" s="1"/>
  <c r="Y83" i="2"/>
  <c r="AA83" i="2" s="1"/>
  <c r="S83" i="2" s="1"/>
  <c r="AD83" i="2" s="1"/>
  <c r="Y84" i="2"/>
  <c r="AA84" i="2" s="1"/>
  <c r="S84" i="2" s="1"/>
  <c r="AD84" i="2" s="1"/>
  <c r="Y85" i="2"/>
  <c r="AA85" i="2" s="1"/>
  <c r="S85" i="2" s="1"/>
  <c r="AD85" i="2" s="1"/>
  <c r="Y86" i="2"/>
  <c r="AA86" i="2" s="1"/>
  <c r="S86" i="2" s="1"/>
  <c r="AD86" i="2" s="1"/>
  <c r="Y75" i="2"/>
  <c r="AA75" i="2" s="1"/>
  <c r="S75" i="2" s="1"/>
  <c r="AD75" i="2" s="1"/>
  <c r="Y74" i="2"/>
  <c r="AA74" i="2" s="1"/>
  <c r="S74" i="2" s="1"/>
  <c r="AD74" i="2" s="1"/>
  <c r="Y73" i="2"/>
  <c r="AA73" i="2" s="1"/>
  <c r="S73" i="2" s="1"/>
  <c r="AD73" i="2" s="1"/>
  <c r="Y64" i="2"/>
  <c r="AA64" i="2" s="1"/>
  <c r="S64" i="2" s="1"/>
  <c r="AD64" i="2" s="1"/>
  <c r="Y79" i="2"/>
  <c r="AA79" i="2" s="1"/>
  <c r="S79" i="2" s="1"/>
  <c r="AD77" i="2"/>
  <c r="Y72" i="2"/>
  <c r="AA72" i="2" s="1"/>
  <c r="S72" i="2" s="1"/>
  <c r="AD70" i="2"/>
  <c r="Y68" i="2"/>
  <c r="AA68" i="2" s="1"/>
  <c r="S68" i="2" s="1"/>
  <c r="AD66" i="2"/>
  <c r="Y24" i="2"/>
  <c r="AA24" i="2" s="1"/>
  <c r="S24" i="2" s="1"/>
  <c r="AD24" i="2" s="1"/>
  <c r="Y23" i="2"/>
  <c r="AA23" i="2" s="1"/>
  <c r="S23" i="2" s="1"/>
  <c r="AD20" i="2"/>
  <c r="AD184" i="2" l="1"/>
  <c r="T182" i="2"/>
  <c r="AD180" i="2"/>
  <c r="AD176" i="2"/>
  <c r="AD171" i="2"/>
  <c r="T169" i="2"/>
  <c r="AD159" i="2"/>
  <c r="T157" i="2"/>
  <c r="AD152" i="2"/>
  <c r="T150" i="2"/>
  <c r="AD147" i="2"/>
  <c r="T145" i="2"/>
  <c r="AD120" i="2"/>
  <c r="T118" i="2"/>
  <c r="AD79" i="2"/>
  <c r="T77" i="2"/>
  <c r="AD72" i="2"/>
  <c r="T70" i="2"/>
  <c r="AD68" i="2"/>
  <c r="T66" i="2"/>
  <c r="AD23" i="2"/>
  <c r="T20" i="2"/>
  <c r="S131" i="2"/>
  <c r="S137" i="2"/>
  <c r="AD106" i="2" l="1"/>
  <c r="Y100" i="2"/>
  <c r="AA100" i="2" s="1"/>
  <c r="S100" i="2" s="1"/>
  <c r="AD98" i="2"/>
  <c r="Y109" i="2"/>
  <c r="AA109" i="2" s="1"/>
  <c r="S109" i="2" s="1"/>
  <c r="AD107" i="2"/>
  <c r="Y115" i="2"/>
  <c r="AA115" i="2" s="1"/>
  <c r="S115" i="2" s="1"/>
  <c r="AD113" i="2"/>
  <c r="Y93" i="2"/>
  <c r="AA93" i="2" s="1"/>
  <c r="S93" i="2" s="1"/>
  <c r="AD91" i="2"/>
  <c r="AD100" i="2" l="1"/>
  <c r="T98" i="2"/>
  <c r="AD109" i="2"/>
  <c r="T107" i="2"/>
  <c r="AD115" i="2"/>
  <c r="T113" i="2"/>
  <c r="T91" i="2"/>
  <c r="AD93" i="2"/>
  <c r="S106" i="2"/>
  <c r="S112" i="2"/>
  <c r="Y63" i="2" l="1"/>
  <c r="AA63" i="2" s="1"/>
  <c r="S63" i="2" s="1"/>
  <c r="AD61" i="2"/>
  <c r="Y17" i="2"/>
  <c r="AA17" i="2" s="1"/>
  <c r="S17" i="2" s="1"/>
  <c r="AD17" i="2" s="1"/>
  <c r="Y16" i="2"/>
  <c r="AA16" i="2" s="1"/>
  <c r="S16" i="2" s="1"/>
  <c r="AD14" i="2"/>
  <c r="L14" i="2"/>
  <c r="AD63" i="2" l="1"/>
  <c r="T61" i="2"/>
  <c r="L15" i="2"/>
  <c r="AD16" i="2"/>
  <c r="T14" i="2"/>
  <c r="L20" i="2"/>
  <c r="L21" i="2" l="1"/>
  <c r="M22" i="2" s="1"/>
  <c r="M16" i="2"/>
  <c r="M17" i="2" s="1"/>
  <c r="M18" i="2" s="1"/>
  <c r="B226" i="2"/>
  <c r="B225" i="2"/>
  <c r="B224" i="2"/>
  <c r="B223" i="2"/>
  <c r="B222" i="2"/>
  <c r="B221" i="2"/>
  <c r="AD374" i="2"/>
  <c r="AD368" i="2"/>
  <c r="L26" i="2"/>
  <c r="L27" i="2" l="1"/>
  <c r="M23" i="2"/>
  <c r="P204" i="2"/>
  <c r="L33" i="2"/>
  <c r="L34" i="2" l="1"/>
  <c r="M28" i="2"/>
  <c r="M29" i="2" s="1"/>
  <c r="M24" i="2"/>
  <c r="B2" i="6"/>
  <c r="B2" i="8"/>
  <c r="AB244" i="2"/>
  <c r="L39" i="2"/>
  <c r="M30" i="2" l="1"/>
  <c r="M31" i="2" s="1"/>
  <c r="L40" i="2"/>
  <c r="M35" i="2"/>
  <c r="Y370" i="2"/>
  <c r="L45" i="2"/>
  <c r="M36" i="2" l="1"/>
  <c r="M37" i="2" s="1"/>
  <c r="L46" i="2"/>
  <c r="M41" i="2"/>
  <c r="C55" i="4"/>
  <c r="C54" i="4"/>
  <c r="C52" i="4"/>
  <c r="C51" i="4"/>
  <c r="L51" i="2"/>
  <c r="M42" i="2" l="1"/>
  <c r="M43" i="2" s="1"/>
  <c r="L52" i="2"/>
  <c r="M47" i="2"/>
  <c r="T238" i="2"/>
  <c r="P238" i="2"/>
  <c r="M48" i="2" l="1"/>
  <c r="M49" i="2" s="1"/>
  <c r="M53" i="2"/>
  <c r="AA370" i="2"/>
  <c r="S370" i="2" s="1"/>
  <c r="C1" i="5"/>
  <c r="N236" i="2"/>
  <c r="B11" i="5" s="1"/>
  <c r="M236" i="2"/>
  <c r="N235" i="2"/>
  <c r="B10" i="5" s="1"/>
  <c r="M235" i="2"/>
  <c r="N234" i="2"/>
  <c r="B9" i="5" s="1"/>
  <c r="M234" i="2"/>
  <c r="N233" i="2"/>
  <c r="B8" i="5" s="1"/>
  <c r="M233" i="2"/>
  <c r="N232" i="2"/>
  <c r="B7" i="5" s="1"/>
  <c r="M232" i="2"/>
  <c r="N231" i="2"/>
  <c r="B6" i="5" s="1"/>
  <c r="M231" i="2"/>
  <c r="N226" i="2"/>
  <c r="N225" i="2"/>
  <c r="N224" i="2"/>
  <c r="N223" i="2"/>
  <c r="N222" i="2"/>
  <c r="N221" i="2"/>
  <c r="M226" i="2"/>
  <c r="M225" i="2"/>
  <c r="M224" i="2"/>
  <c r="M223" i="2"/>
  <c r="M222" i="2"/>
  <c r="M221" i="2"/>
  <c r="L61" i="2"/>
  <c r="M54" i="2" l="1"/>
  <c r="M55" i="2" s="1"/>
  <c r="M56" i="2" s="1"/>
  <c r="L62" i="2"/>
  <c r="T368" i="2"/>
  <c r="AD370" i="2"/>
  <c r="L66" i="2"/>
  <c r="L67" i="2" l="1"/>
  <c r="M63" i="2"/>
  <c r="M64" i="2" s="1"/>
  <c r="AD366" i="2"/>
  <c r="L70" i="2"/>
  <c r="L71" i="2" l="1"/>
  <c r="M68" i="2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77" i="2"/>
  <c r="L78" i="2" l="1"/>
  <c r="M72" i="2"/>
  <c r="M73" i="2" s="1"/>
  <c r="M74" i="2" s="1"/>
  <c r="M75" i="2" s="1"/>
  <c r="N297" i="2"/>
  <c r="N296" i="2"/>
  <c r="N295" i="2"/>
  <c r="W219" i="2"/>
  <c r="B219" i="2" s="1"/>
  <c r="M79" i="2" l="1"/>
  <c r="M80" i="2" s="1"/>
  <c r="M81" i="2" s="1"/>
  <c r="M82" i="2" s="1"/>
  <c r="M83" i="2" s="1"/>
  <c r="M84" i="2" s="1"/>
  <c r="M85" i="2" s="1"/>
  <c r="M86" i="2" s="1"/>
  <c r="M3" i="2"/>
  <c r="L91" i="2"/>
  <c r="L92" i="2" l="1"/>
  <c r="N3" i="2"/>
  <c r="M93" i="2" l="1"/>
  <c r="M94" i="2" s="1"/>
  <c r="M95" i="2" s="1"/>
  <c r="M96" i="2" s="1"/>
  <c r="S59" i="2"/>
  <c r="O222" i="2" s="1"/>
  <c r="P222" i="2" s="1"/>
  <c r="S12" i="2"/>
  <c r="O221" i="2" s="1"/>
  <c r="L98" i="2"/>
  <c r="L99" i="2" l="1"/>
  <c r="W222" i="2"/>
  <c r="P221" i="2"/>
  <c r="P231" i="2" s="1"/>
  <c r="O232" i="2" s="1"/>
  <c r="W221" i="2"/>
  <c r="M100" i="2" l="1"/>
  <c r="M101" i="2" s="1"/>
  <c r="M102" i="2" s="1"/>
  <c r="M103" i="2" s="1"/>
  <c r="M104" i="2" s="1"/>
  <c r="P232" i="2"/>
  <c r="O233" i="2" s="1"/>
  <c r="L107" i="2"/>
  <c r="L108" i="2" l="1"/>
  <c r="S366" i="2"/>
  <c r="M109" i="2" l="1"/>
  <c r="M110" i="2" s="1"/>
  <c r="S89" i="2"/>
  <c r="O223" i="2" s="1"/>
  <c r="L113" i="2"/>
  <c r="L114" i="2" l="1"/>
  <c r="T178" i="2"/>
  <c r="P223" i="2"/>
  <c r="P233" i="2" s="1"/>
  <c r="O234" i="2" s="1"/>
  <c r="W223" i="2"/>
  <c r="M115" i="2" l="1"/>
  <c r="M116" i="2" s="1"/>
  <c r="S129" i="2"/>
  <c r="O224" i="2" s="1"/>
  <c r="T174" i="2"/>
  <c r="S167" i="2" s="1"/>
  <c r="O225" i="2" s="1"/>
  <c r="L118" i="2"/>
  <c r="L119" i="2" l="1"/>
  <c r="X194" i="2"/>
  <c r="Y194" i="2" s="1"/>
  <c r="AA194" i="2" s="1"/>
  <c r="S194" i="2" s="1"/>
  <c r="W224" i="2"/>
  <c r="P224" i="2"/>
  <c r="P234" i="2" s="1"/>
  <c r="O235" i="2" s="1"/>
  <c r="P225" i="2"/>
  <c r="W225" i="2"/>
  <c r="M120" i="2" l="1"/>
  <c r="AD194" i="2"/>
  <c r="T3" i="2" s="1"/>
  <c r="T192" i="2"/>
  <c r="S190" i="2" s="1"/>
  <c r="O226" i="2" s="1"/>
  <c r="P235" i="2"/>
  <c r="O236" i="2" s="1"/>
  <c r="L132" i="2"/>
  <c r="L123" i="2"/>
  <c r="L133" i="2" l="1"/>
  <c r="L124" i="2"/>
  <c r="M125" i="2" s="1"/>
  <c r="M126" i="2" s="1"/>
  <c r="O227" i="2"/>
  <c r="W226" i="2"/>
  <c r="W227" i="2" s="1"/>
  <c r="P212" i="2" s="1"/>
  <c r="P226" i="2"/>
  <c r="P227" i="2" s="1"/>
  <c r="L138" i="2"/>
  <c r="L139" i="2" l="1"/>
  <c r="M134" i="2"/>
  <c r="M135" i="2" s="1"/>
  <c r="N5" i="2"/>
  <c r="P236" i="2"/>
  <c r="T237" i="2" s="1"/>
  <c r="O212" i="2"/>
  <c r="N256" i="2"/>
  <c r="S197" i="2"/>
  <c r="L145" i="2"/>
  <c r="L146" i="2" l="1"/>
  <c r="M147" i="2" s="1"/>
  <c r="M148" i="2" s="1"/>
  <c r="M140" i="2"/>
  <c r="M141" i="2" s="1"/>
  <c r="M142" i="2" s="1"/>
  <c r="M143" i="2" s="1"/>
  <c r="P237" i="2"/>
  <c r="N6" i="2" s="1"/>
  <c r="L150" i="2"/>
  <c r="L151" i="2" l="1"/>
  <c r="L157" i="2"/>
  <c r="L158" i="2" l="1"/>
  <c r="M152" i="2"/>
  <c r="M153" i="2" s="1"/>
  <c r="M154" i="2" s="1"/>
  <c r="M155" i="2" s="1"/>
  <c r="L169" i="2"/>
  <c r="L170" i="2" l="1"/>
  <c r="M159" i="2"/>
  <c r="M160" i="2" s="1"/>
  <c r="M161" i="2" s="1"/>
  <c r="M162" i="2" s="1"/>
  <c r="M163" i="2" s="1"/>
  <c r="M164" i="2" s="1"/>
  <c r="L174" i="2"/>
  <c r="L175" i="2" l="1"/>
  <c r="M171" i="2"/>
  <c r="M172" i="2" s="1"/>
  <c r="L178" i="2"/>
  <c r="L179" i="2" l="1"/>
  <c r="M176" i="2"/>
  <c r="L182" i="2"/>
  <c r="L183" i="2" l="1"/>
  <c r="M180" i="2"/>
  <c r="L192" i="2"/>
  <c r="L368" i="2"/>
  <c r="L193" i="2" l="1"/>
  <c r="M194" i="2" s="1"/>
  <c r="L369" i="2"/>
  <c r="M370" i="2" s="1"/>
  <c r="M184" i="2"/>
  <c r="M185" i="2" s="1"/>
  <c r="M186" i="2" s="1"/>
  <c r="M187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tc={A26F4214-8AFF-4C7D-875A-54FC233A4694}</author>
  </authors>
  <commentList>
    <comment ref="X47" authorId="0" shapeId="0" xr:uid="{A26F4214-8AFF-4C7D-875A-54FC233A46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</commentList>
</comments>
</file>

<file path=xl/sharedStrings.xml><?xml version="1.0" encoding="utf-8"?>
<sst xmlns="http://schemas.openxmlformats.org/spreadsheetml/2006/main" count="1230" uniqueCount="603">
  <si>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</si>
  <si>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</si>
  <si>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</si>
  <si>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</si>
  <si>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</si>
  <si>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</si>
  <si>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</si>
  <si>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</si>
  <si>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</si>
  <si>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</si>
  <si>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</si>
  <si>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</si>
  <si>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</si>
  <si>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</si>
  <si>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</si>
  <si>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</si>
  <si>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</si>
  <si>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</si>
  <si>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</si>
  <si>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</si>
  <si>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</si>
  <si>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</si>
  <si>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</si>
  <si>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</si>
  <si>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</si>
  <si>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</si>
  <si>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</si>
  <si>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</si>
  <si>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</si>
  <si>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</si>
  <si>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</si>
  <si>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</si>
  <si>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</si>
  <si>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</si>
  <si>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</si>
  <si>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</si>
  <si>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</si>
  <si>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</si>
  <si>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</si>
  <si>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</si>
  <si>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</si>
  <si>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</si>
  <si>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</si>
  <si>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</si>
  <si>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</si>
  <si>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</si>
  <si>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</si>
  <si>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</si>
  <si>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</si>
  <si>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</si>
  <si>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</si>
  <si>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</si>
  <si>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</si>
  <si>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</si>
  <si>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</si>
  <si>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</si>
  <si>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</si>
  <si>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</si>
  <si>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</si>
  <si>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</si>
  <si>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</si>
  <si>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</si>
  <si>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</si>
  <si>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</si>
  <si>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</si>
  <si>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</si>
  <si>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</si>
  <si>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</si>
  <si>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</si>
  <si>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</si>
  <si>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</si>
  <si>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</si>
  <si>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</si>
  <si>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</si>
  <si>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</si>
  <si>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</si>
  <si>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</si>
  <si>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</si>
  <si>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</si>
  <si>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</si>
  <si>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</si>
  <si>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</si>
  <si>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</si>
  <si>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</si>
  <si>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</si>
  <si>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</si>
  <si>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</si>
  <si>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</si>
  <si>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</si>
  <si>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</si>
  <si>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</si>
  <si>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</si>
  <si>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</si>
  <si>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</si>
  <si>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</si>
  <si>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</si>
  <si>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</si>
  <si>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</si>
  <si>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</si>
  <si>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</si>
  <si>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</si>
  <si>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</si>
  <si>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</si>
  <si>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</si>
  <si>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</si>
  <si>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</si>
  <si>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</si>
  <si>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</si>
  <si>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</si>
  <si>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</si>
  <si>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</si>
  <si>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</si>
  <si>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</si>
  <si>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</si>
  <si>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</si>
  <si>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</si>
  <si>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</si>
  <si>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</si>
  <si>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</si>
  <si>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</si>
  <si>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</si>
  <si>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</si>
  <si>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</si>
  <si>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</si>
  <si>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</si>
  <si>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</si>
  <si>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</si>
  <si>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</si>
  <si>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</si>
  <si>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</si>
  <si>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</si>
  <si>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</si>
  <si>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</si>
  <si>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</si>
  <si>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</si>
  <si>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</si>
  <si>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</si>
  <si>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</si>
  <si>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</si>
  <si>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</si>
  <si>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</si>
  <si>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</si>
  <si>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</si>
  <si>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</si>
  <si>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</si>
  <si>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</si>
  <si>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</si>
  <si>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</si>
  <si>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</si>
  <si>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</si>
  <si>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</si>
  <si>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</si>
  <si>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</si>
  <si>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</si>
  <si>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</si>
  <si>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</si>
  <si>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</si>
  <si>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</si>
  <si>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</si>
  <si>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</si>
  <si>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</si>
  <si>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</si>
  <si>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</si>
  <si>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</si>
  <si>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</si>
  <si>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</si>
  <si>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</si>
  <si>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</si>
  <si>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</si>
  <si>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</si>
  <si>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</si>
  <si>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</si>
  <si>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</si>
  <si>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</si>
  <si>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</si>
  <si>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</si>
  <si>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</si>
  <si>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</si>
  <si>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</si>
  <si>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</si>
  <si>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</si>
  <si>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</si>
  <si>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</si>
  <si>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</si>
  <si>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</si>
  <si>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</si>
  <si>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</si>
  <si>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</si>
  <si>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</si>
  <si>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</si>
  <si>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</si>
  <si>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</si>
  <si>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</si>
  <si>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</si>
  <si>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</si>
  <si>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</si>
  <si>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</si>
  <si>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</si>
  <si>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</si>
  <si>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</si>
  <si>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</si>
  <si>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</si>
  <si>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</si>
  <si>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</si>
  <si>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</si>
  <si>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</si>
  <si>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</si>
  <si>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</si>
  <si>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</si>
  <si>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</si>
  <si>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</si>
  <si>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</si>
  <si>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</si>
  <si>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</si>
  <si>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</si>
  <si>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</si>
  <si>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</si>
  <si>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</si>
  <si>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</si>
  <si>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</si>
  <si>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</si>
  <si>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</si>
  <si>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</si>
  <si>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</si>
  <si>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</si>
  <si>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</si>
  <si>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</si>
  <si>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</si>
  <si>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</si>
  <si>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</si>
  <si>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</si>
  <si>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</si>
  <si>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</si>
  <si>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</si>
  <si>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</si>
  <si>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</si>
  <si>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</si>
  <si>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</si>
  <si>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</si>
  <si>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</si>
  <si>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</si>
  <si>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</si>
  <si>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</si>
  <si>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</si>
  <si>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</si>
  <si>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</si>
  <si>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</si>
  <si>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</si>
  <si>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</si>
  <si>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</si>
  <si>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</si>
  <si>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</si>
  <si>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</si>
  <si>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</si>
  <si>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</si>
  <si>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</si>
  <si>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</si>
  <si>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</si>
  <si>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</si>
  <si>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</si>
  <si>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</si>
  <si>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</si>
  <si>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</si>
  <si>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</si>
  <si>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</si>
  <si>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</si>
  <si>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</si>
  <si>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</si>
  <si>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</si>
  <si>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</si>
  <si>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</si>
  <si>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</si>
  <si>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</si>
  <si>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</si>
  <si>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</si>
  <si>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</si>
  <si>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</si>
  <si>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</si>
  <si>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</si>
  <si>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</si>
  <si>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</si>
  <si>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</si>
  <si>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</si>
  <si>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</si>
  <si>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</si>
  <si>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</si>
  <si>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</si>
  <si>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</si>
  <si>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</si>
  <si>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</si>
  <si>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</si>
  <si>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</si>
  <si>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</si>
  <si>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</si>
  <si>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</si>
  <si>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</si>
  <si>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</si>
  <si>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</si>
  <si>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</si>
  <si>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</si>
  <si>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</si>
  <si>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</si>
  <si>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</si>
  <si>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</si>
  <si>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</si>
  <si>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</si>
  <si>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</si>
  <si>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</si>
  <si>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</si>
  <si>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</si>
  <si>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</si>
  <si>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</si>
  <si>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</si>
  <si>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</si>
  <si>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</si>
  <si>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</si>
  <si>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</si>
  <si>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</si>
  <si>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</si>
  <si>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</si>
  <si>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</si>
  <si>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</si>
  <si>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</si>
  <si>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</si>
  <si>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</si>
  <si>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</si>
  <si>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</si>
  <si>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</si>
  <si>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</si>
  <si>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</si>
  <si>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</si>
  <si>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</si>
  <si>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</si>
  <si>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</si>
  <si>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</si>
  <si>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</si>
  <si>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</si>
  <si>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</si>
  <si>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</si>
  <si>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</si>
  <si>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</si>
  <si>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</si>
  <si>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</si>
  <si>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</si>
  <si>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</si>
  <si>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</si>
  <si>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</si>
  <si>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</si>
  <si>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</si>
  <si>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</si>
  <si>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</si>
  <si>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</si>
  <si>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</si>
  <si>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</si>
  <si>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</si>
  <si>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</si>
  <si>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</si>
  <si>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</si>
  <si>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</si>
  <si>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</si>
  <si>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</si>
  <si>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</si>
  <si>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</si>
  <si>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</si>
  <si>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</si>
  <si>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</si>
  <si>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</si>
  <si>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</si>
  <si>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</si>
  <si>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</si>
  <si>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</si>
  <si>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</si>
  <si>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</si>
  <si>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</si>
  <si>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</si>
  <si>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</si>
  <si>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</si>
  <si>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</si>
  <si>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</si>
  <si>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</si>
  <si>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</si>
  <si>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</si>
  <si>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</si>
  <si>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</si>
  <si>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</si>
  <si>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</si>
  <si>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</si>
  <si>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</si>
  <si>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</si>
  <si>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</si>
  <si>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</si>
  <si>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</si>
  <si>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</si>
  <si>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</si>
  <si>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</si>
  <si>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</si>
  <si>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</si>
  <si>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</si>
  <si>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</si>
  <si>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</si>
  <si>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</si>
  <si>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</si>
  <si>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</si>
  <si>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</si>
  <si>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</si>
  <si>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</si>
  <si>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</si>
  <si>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</si>
  <si>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</si>
  <si>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</si>
  <si>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</si>
  <si>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</si>
  <si>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</si>
  <si>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</si>
  <si>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</si>
  <si>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</si>
  <si>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</si>
  <si>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</si>
  <si>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</si>
  <si>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</si>
  <si>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</si>
  <si>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</si>
  <si>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</si>
  <si>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</si>
  <si>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</si>
  <si>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</si>
  <si>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</si>
  <si>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</si>
  <si>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</si>
  <si>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</si>
  <si>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</si>
  <si>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</si>
  <si>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</si>
  <si>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</si>
  <si>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</si>
  <si>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</si>
  <si>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</si>
  <si>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</si>
  <si>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</si>
  <si>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</si>
  <si>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</si>
  <si>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</si>
  <si>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</si>
  <si>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</si>
  <si>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</si>
  <si>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</si>
  <si>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</si>
  <si>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</si>
  <si>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</si>
  <si>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</si>
  <si>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Data Migration</t>
  </si>
  <si>
    <t>Data Migration ETL Process</t>
  </si>
  <si>
    <t>Data Migration Execution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</si>
  <si>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</si>
  <si>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</si>
  <si>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</si>
  <si>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</si>
  <si>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</si>
  <si>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</si>
  <si>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</si>
  <si>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</si>
  <si>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</si>
  <si>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</si>
  <si>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</si>
  <si>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</si>
  <si>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</si>
  <si>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</si>
  <si>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</si>
  <si>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</si>
  <si>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</si>
  <si>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>POC: &lt;POC description&gt;</t>
  </si>
  <si>
    <t>Tables</t>
  </si>
  <si>
    <t xml:space="preserve">High Level Analysis and design document preparation
</t>
  </si>
  <si>
    <t xml:space="preserve">Low level analysis and design document preparation
</t>
  </si>
  <si>
    <t>Database design and analysis document preparation
&gt;&gt; Data Dictionary etc.</t>
  </si>
  <si>
    <t>Review and Sign-off
&gt;&gt; Client review iterations and sign-off on design documents</t>
  </si>
  <si>
    <t>Design Analysis and Documentation</t>
  </si>
  <si>
    <t>Multi-layered architecture:
&gt;&gt; DAL, ORM, BLL, Façade, WCF services and Presentation layer
&gt;&gt; Communication design across layers through interfaces and DTOs</t>
  </si>
  <si>
    <t>X-cutting layers
&gt;&gt; Logging, Exception handling, caching, notification, etc.</t>
  </si>
  <si>
    <t>Security
&gt;&gt; Authentication, authorization framework</t>
  </si>
  <si>
    <t>Multi-lingual support</t>
  </si>
  <si>
    <t>Integration adaptor framework</t>
  </si>
  <si>
    <t>Schedular service</t>
  </si>
  <si>
    <t>UI Navigation framework</t>
  </si>
  <si>
    <t>Workflow management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</si>
  <si>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</si>
  <si>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</si>
  <si>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</si>
  <si>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</si>
  <si>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</si>
  <si>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</si>
  <si>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</si>
  <si>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</si>
  <si>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</si>
  <si>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</si>
  <si>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</si>
  <si>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</si>
  <si>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</si>
  <si>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</si>
  <si>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</si>
  <si>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</si>
  <si>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Screen: &lt;screen name&gt;
&gt;&gt; CRUD, List, Search</t>
  </si>
  <si>
    <t>Task: &lt;task name&gt;
&gt;&gt; Activity</t>
  </si>
  <si>
    <t>&gt;&gt; From older to new SQL Server DB
&gt;&gt; Master Script</t>
  </si>
  <si>
    <t>&gt;&gt; From older to new database
&gt;&gt; ETL Process and data de-duplication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</si>
  <si>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</si>
  <si>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</si>
  <si>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</si>
  <si>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</si>
  <si>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</si>
  <si>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</si>
  <si>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</si>
  <si>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</si>
  <si>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</si>
  <si>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</si>
  <si>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Multi-lingual testing</t>
  </si>
  <si>
    <t>Data migration testing</t>
  </si>
  <si>
    <t>Multi-browser testing</t>
  </si>
  <si>
    <t>Multi-device testing</t>
  </si>
  <si>
    <t>System Stabilization</t>
  </si>
  <si>
    <t>Performance tuning</t>
  </si>
  <si>
    <t>Bug fixing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</si>
  <si>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</si>
  <si>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</si>
  <si>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</si>
  <si>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</si>
  <si>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</si>
  <si>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</si>
  <si>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</si>
  <si>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</si>
  <si>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</si>
  <si>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</si>
  <si>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</si>
  <si>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</si>
  <si>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</si>
  <si>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</si>
  <si>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</si>
  <si>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</si>
  <si>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</si>
  <si>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</si>
  <si>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</si>
  <si>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</si>
  <si>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</si>
  <si>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</si>
  <si>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</si>
  <si>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</si>
  <si>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</si>
  <si>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</si>
  <si>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</si>
  <si>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</si>
  <si>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</si>
  <si>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</si>
  <si>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</si>
  <si>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</si>
  <si>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</si>
  <si>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</si>
  <si>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Based on Total Use Cases
(Filled automatically)</t>
  </si>
  <si>
    <t>Project Plan and Kick off
&gt;&gt; Team Introductions, Revise Project Schedule, Set Expectations</t>
  </si>
  <si>
    <t>Client Presentation, review and Sign-off
&gt;&gt; Client review iterations and sign-off user profiles, personas &amp; journeys</t>
  </si>
  <si>
    <t>Iterations</t>
  </si>
  <si>
    <t>Expert Review</t>
  </si>
  <si>
    <t xml:space="preserve">Client Presentation, review and Sign-off
&gt;&gt; Review &amp; Analysis </t>
  </si>
  <si>
    <t>Create Site Map &amp; Content Inventory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</si>
  <si>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</si>
  <si>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</si>
  <si>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</si>
  <si>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</si>
  <si>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</si>
  <si>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</si>
  <si>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</si>
  <si>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</si>
  <si>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</si>
  <si>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</si>
  <si>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</si>
  <si>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</si>
  <si>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</si>
  <si>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</si>
  <si>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</si>
  <si>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</si>
  <si>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Languages
Screens</t>
  </si>
  <si>
    <t>Browsers
Screens</t>
  </si>
  <si>
    <t>Devices
Screens</t>
  </si>
  <si>
    <t>2.0.4</t>
  </si>
  <si>
    <t xml:space="preserve">Accessibility Testing </t>
  </si>
  <si>
    <t>Usability Testing</t>
  </si>
  <si>
    <t>Screens</t>
  </si>
  <si>
    <t>% of the Use cases</t>
  </si>
  <si>
    <t>Considered 2% of overall use cases.</t>
  </si>
  <si>
    <t xml:space="preserve">Analysis of existing system </t>
  </si>
  <si>
    <t>3 member and 3 cycle required</t>
  </si>
  <si>
    <t>4 member and 5 cycle required</t>
  </si>
  <si>
    <t>13 member required, 10 from developing company and 3 from client</t>
  </si>
  <si>
    <t>4 member from developing company required</t>
  </si>
  <si>
    <t>3 member and 2 cycle required</t>
  </si>
  <si>
    <t>Prepare Guide and questionaire and Interview Users 
&gt;&gt; 10-12) Users</t>
  </si>
  <si>
    <t>Create Profiles, Personas and  User Journeys</t>
  </si>
  <si>
    <t>Execute questionaire</t>
  </si>
  <si>
    <t xml:space="preserve">Competitor Analysis
&gt;&gt; Identify competitor
&gt;&gt; Gather information about product
&gt;&gt; Create comparison matrix </t>
  </si>
  <si>
    <t>6 member and 2 cycle required</t>
  </si>
  <si>
    <t xml:space="preserve">4 member and 2 cycle required </t>
  </si>
  <si>
    <t xml:space="preserve">2 member and 3 cycle required </t>
  </si>
  <si>
    <t>2 member and 3 cycle required</t>
  </si>
  <si>
    <t>2 member and 3 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</si>
</sst>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165" fontId="7" fillId="13" borderId="0" xfId="1" applyNumberFormat="1" applyFont="1" applyFill="1" applyAlignment="1" applyProtection="1">
      <alignment horizontal="left" vertical="center" inden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4" fillId="14" borderId="0" xfId="0" applyFont="1" applyFill="1" applyAlignment="1" applyProtection="1">
      <alignment horizontal="right" wrapText="1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0" fontId="7" fillId="13" borderId="0" xfId="0" applyFont="1" applyFill="1" applyAlignment="1" applyProtection="1">
      <alignment horizontal="left" vertical="center"/>
      <protection locked="0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6" fillId="0" borderId="0" xfId="0" applyFont="1" applyAlignment="1">
      <alignment horizontal="left" vertical="center"/>
    </xf>
    <xf numFmtId="0" fontId="67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93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Estimation!$L$221:$L$226</c:f>
            </c:multiLvlStrRef>
          </c:cat>
          <c:val>
            <c:numRef>
              <c:f>Estimation!$O$221:$O$226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219</xdr:row>
      <xdr:rowOff>100852</xdr:rowOff>
    </xdr:from>
    <xdr:to>
      <xdr:col>26</xdr:col>
      <xdr:colOff>515471</xdr:colOff>
      <xdr:row>227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jeet Chauhan" id="{7A866C20-73AD-4A7D-ABD4-7FF91D8E3CCD}" userId="S::sanjeet.chauhan@nagarro.com::d330eb14-ede1-4f5d-a9c5-298bbfdb6ce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X47" dT="2019-07-09T17:00:56.67" personId="{7A866C20-73AD-4A7D-ABD4-7FF91D8E3CCD}" id="{A26F4214-8AFF-4C7D-875A-54FC233A4694}">
    <text>Need to clarify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376"/>
  <sheetViews>
    <sheetView showGridLines="0" tabSelected="1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Y303" sqref="Y303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17" t="s">
        <v>151</v>
      </c>
      <c r="D2" s="317"/>
      <c r="E2" s="317"/>
      <c r="F2" s="317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17"/>
      <c r="D3" s="317"/>
      <c r="E3" s="317"/>
      <c r="F3" s="317"/>
      <c r="G3" s="322" t="s">
        <v>547</v>
      </c>
      <c r="H3" s="322"/>
      <c r="I3" s="322"/>
      <c r="J3" s="322"/>
      <c r="K3" s="297" t="s">
        <v>582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IF(COUNTIF(AD9:AD197, "Error:*") = 0, "", COUNTIF(AD9:AD197, "Error:*") &amp; " errors")</f>
        <v>53 errors</v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17"/>
      <c r="D4" s="317"/>
      <c r="E4" s="317"/>
      <c r="F4" s="317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17"/>
      <c r="D5" s="317"/>
      <c r="E5" s="317"/>
      <c r="F5" s="317"/>
      <c r="G5" s="95"/>
      <c r="H5" s="218"/>
      <c r="I5" s="218" t="s">
        <v>275</v>
      </c>
      <c r="J5" s="323">
        <v>42565</v>
      </c>
      <c r="K5" s="323"/>
      <c r="L5" s="95"/>
      <c r="M5" s="278"/>
      <c r="N5" s="98" t="str">
        <f>IF(TOTAL_EFFORT&lt;=0, "", CHOSEN_CURRENCY&amp;" "&amp;TEXT(CEILING(($W$227/1000),1),"##,##,###")&amp;" K  ●  "&amp;TEXT(TOTAL_EFFORT,"##,##,###")&amp;" PDs ("&amp;TEXT(TOTAL_WEEKS,"##,###"&amp;" Wk)"))</f>
        <v>- 61 K  ●  271 PDs (54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04" t="s">
        <v>110</v>
      </c>
      <c r="AC5" s="97"/>
      <c r="AD5" s="12"/>
    </row>
    <row r="6" spans="1:30" s="11" customFormat="1" ht="20.25" customHeight="1" x14ac:dyDescent="0.35">
      <c r="A6" s="94"/>
      <c r="B6" s="10"/>
      <c r="C6" s="317"/>
      <c r="D6" s="317"/>
      <c r="E6" s="317"/>
      <c r="F6" s="317"/>
      <c r="G6" s="95"/>
      <c r="H6" s="218"/>
      <c r="I6" s="218" t="s">
        <v>276</v>
      </c>
      <c r="J6" s="95" t="s">
        <v>548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19.4 Wk  (5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04"/>
      <c r="AC6" s="97"/>
      <c r="AD6" s="12"/>
    </row>
    <row r="7" spans="1:30" s="11" customFormat="1" ht="4.5" customHeight="1" x14ac:dyDescent="0.35">
      <c r="A7" s="94"/>
      <c r="B7" s="10"/>
      <c r="C7" s="317"/>
      <c r="D7" s="317"/>
      <c r="E7" s="317"/>
      <c r="F7" s="317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17"/>
      <c r="D8" s="317"/>
      <c r="E8" s="317"/>
      <c r="F8" s="317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17"/>
      <c r="D9" s="317"/>
      <c r="E9" s="317"/>
      <c r="F9" s="317"/>
      <c r="G9" s="319" t="s">
        <v>131</v>
      </c>
      <c r="H9" s="319"/>
      <c r="I9" s="319"/>
      <c r="J9" s="319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18" t="s">
        <v>109</v>
      </c>
      <c r="D10" s="318"/>
      <c r="E10" s="318"/>
      <c r="F10" s="318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05" t="s">
        <v>57</v>
      </c>
      <c r="Q10" s="306"/>
      <c r="R10" s="307"/>
      <c r="S10" s="41"/>
      <c r="T10" s="250"/>
      <c r="U10" s="305" t="s">
        <v>58</v>
      </c>
      <c r="V10" s="306"/>
      <c r="W10" s="307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18" t="s">
        <v>152</v>
      </c>
      <c r="D11" s="318"/>
      <c r="E11" s="318"/>
      <c r="F11" s="318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35" t="s">
        <v>59</v>
      </c>
      <c r="T11" s="336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x14ac:dyDescent="0.35">
      <c r="A12" s="93" t="s">
        <v>98</v>
      </c>
      <c r="B12" s="14"/>
      <c r="C12" s="320" t="s">
        <v>150</v>
      </c>
      <c r="D12" s="321"/>
      <c r="E12" s="321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299">
        <f>CEILING(SUMIF(J13:J58, "&lt;&gt;Yes", T13:T58),1)</f>
        <v>200</v>
      </c>
      <c r="T12" s="299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outlineLevel="1" collapsed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298" t="s">
        <v>458</v>
      </c>
      <c r="N14" s="298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20.5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hidden="1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hidden="1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536</v>
      </c>
      <c r="L16" s="22"/>
      <c r="M16" s="286" t="str">
        <f ca="1">IFERROR(OFFSET(M16,-1,,1,1)+0.1,OFFSET(M16,-1,-1,1,1)&amp;".1")</f>
        <v>1.1</v>
      </c>
      <c r="N16" s="23" t="s">
        <v>588</v>
      </c>
      <c r="O16" s="23"/>
      <c r="P16" s="23"/>
      <c r="Q16" s="144">
        <v>3</v>
      </c>
      <c r="R16" s="137">
        <v>2.5</v>
      </c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3</v>
      </c>
      <c r="T16" s="170"/>
      <c r="U16" s="24">
        <v>0</v>
      </c>
      <c r="V16" s="24">
        <v>1</v>
      </c>
      <c r="W16" s="24">
        <v>0</v>
      </c>
      <c r="X16" s="168">
        <v>0.4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3</v>
      </c>
      <c r="Z16" s="25"/>
      <c r="AA16" s="169">
        <f>Y16+Y16*VLOOKUP(I16,EXTRAS_ARRAY,2,FALSE)</f>
        <v>3</v>
      </c>
      <c r="AB16" s="23" t="s">
        <v>589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29" hidden="1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550</v>
      </c>
      <c r="O17" s="23"/>
      <c r="P17" s="23"/>
      <c r="Q17" s="144">
        <v>4</v>
      </c>
      <c r="R17" s="137">
        <v>2</v>
      </c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5</v>
      </c>
      <c r="T17" s="170"/>
      <c r="U17" s="24">
        <v>0</v>
      </c>
      <c r="V17" s="24">
        <v>1</v>
      </c>
      <c r="W17" s="24">
        <v>0</v>
      </c>
      <c r="X17" s="168">
        <v>0.6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5</v>
      </c>
      <c r="Z17" s="25"/>
      <c r="AA17" s="169">
        <f>Y17+Y17*VLOOKUP(I17,EXTRAS_ARRAY,2,FALSE)</f>
        <v>5</v>
      </c>
      <c r="AB17" s="23" t="s">
        <v>590</v>
      </c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555</v>
      </c>
      <c r="O18" s="23"/>
      <c r="P18" s="23" t="s">
        <v>556</v>
      </c>
      <c r="Q18" s="144">
        <v>4</v>
      </c>
      <c r="R18" s="137">
        <v>3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12.5</v>
      </c>
      <c r="T18" s="170"/>
      <c r="U18" s="24">
        <v>0.2</v>
      </c>
      <c r="V18" s="24">
        <v>0.5</v>
      </c>
      <c r="W18" s="24">
        <v>0.3</v>
      </c>
      <c r="X18" s="168">
        <v>1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12.5</v>
      </c>
      <c r="Z18" s="25"/>
      <c r="AA18" s="169">
        <f>Y18+Y18*VLOOKUP(I18,EXTRAS_ARRAY,2,FALSE)</f>
        <v>12.5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hidden="1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outlineLevel="1" collapsed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298" t="s">
        <v>459</v>
      </c>
      <c r="N20" s="298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29.75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hidden="1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hidden="1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557</v>
      </c>
      <c r="O22" s="23"/>
      <c r="P22" s="23"/>
      <c r="Q22" s="144">
        <v>13</v>
      </c>
      <c r="R22" s="137">
        <v>1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2.75</v>
      </c>
      <c r="T22" s="170"/>
      <c r="U22" s="24">
        <v>0</v>
      </c>
      <c r="V22" s="24">
        <v>1</v>
      </c>
      <c r="W22" s="24">
        <v>0</v>
      </c>
      <c r="X22" s="168">
        <v>0.2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2.75</v>
      </c>
      <c r="Z22" s="25"/>
      <c r="AA22" s="169">
        <f>Y22+Y22*VLOOKUP(I22,EXTRAS_ARRAY,2,FALSE)</f>
        <v>2.75</v>
      </c>
      <c r="AB22" s="23" t="s">
        <v>591</v>
      </c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29" hidden="1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460</v>
      </c>
      <c r="O23" s="23" t="s">
        <v>538</v>
      </c>
      <c r="P23" s="23"/>
      <c r="Q23" s="144">
        <v>4</v>
      </c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24</v>
      </c>
      <c r="T23" s="170"/>
      <c r="U23" s="24">
        <v>0</v>
      </c>
      <c r="V23" s="24">
        <v>1</v>
      </c>
      <c r="W23" s="24">
        <v>0</v>
      </c>
      <c r="X23" s="168">
        <v>6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24</v>
      </c>
      <c r="Z23" s="25"/>
      <c r="AA23" s="169">
        <f>Y23+Y23*VLOOKUP(I23,EXTRAS_ARRAY,2,FALSE)</f>
        <v>24</v>
      </c>
      <c r="AB23" s="23" t="s">
        <v>592</v>
      </c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hidden="1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537</v>
      </c>
      <c r="L24" s="22"/>
      <c r="M24" s="286">
        <f ca="1">IFERROR(OFFSET(M24,-1,,1,1)+0.1,OFFSET(M24,-1,-1,1,1)&amp;".1")</f>
        <v>2.3000000000000003</v>
      </c>
      <c r="N24" s="23" t="s">
        <v>461</v>
      </c>
      <c r="O24" s="23"/>
      <c r="P24" s="23"/>
      <c r="Q24" s="144">
        <v>3</v>
      </c>
      <c r="R24" s="137">
        <v>2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70"/>
      <c r="U24" s="24">
        <v>0</v>
      </c>
      <c r="V24" s="24">
        <v>1</v>
      </c>
      <c r="W24" s="24">
        <v>0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5"/>
      <c r="AA24" s="169">
        <f>Y24+Y24*VLOOKUP(I24,EXTRAS_ARRAY,2,FALSE)</f>
        <v>3</v>
      </c>
      <c r="AB24" s="23" t="s">
        <v>593</v>
      </c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hidden="1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outlineLevel="1" collapsed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298" t="s">
        <v>549</v>
      </c>
      <c r="N26" s="298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19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hidden="1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hidden="1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594</v>
      </c>
      <c r="O28" s="23"/>
      <c r="P28" s="23"/>
      <c r="Q28" s="144">
        <v>2</v>
      </c>
      <c r="R28" s="137">
        <v>1</v>
      </c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70"/>
      <c r="U28" s="24">
        <v>0</v>
      </c>
      <c r="V28" s="24">
        <v>1</v>
      </c>
      <c r="W28" s="24">
        <v>0</v>
      </c>
      <c r="X28" s="168">
        <v>1.5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5"/>
      <c r="AA28" s="169">
        <f>Y28+Y28*VLOOKUP(I28,EXTRAS_ARRAY,2,FALSE)</f>
        <v>3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5" hidden="1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596</v>
      </c>
      <c r="O29" s="23" t="s">
        <v>559</v>
      </c>
      <c r="P29" s="23"/>
      <c r="Q29" s="144">
        <v>1</v>
      </c>
      <c r="R29" s="137">
        <v>2</v>
      </c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5</v>
      </c>
      <c r="T29" s="170"/>
      <c r="U29" s="24">
        <v>0</v>
      </c>
      <c r="V29" s="24">
        <v>1</v>
      </c>
      <c r="W29" s="24">
        <v>0</v>
      </c>
      <c r="X29" s="168">
        <v>5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5</v>
      </c>
      <c r="Z29" s="25"/>
      <c r="AA29" s="169">
        <f>Y29+Y29*VLOOKUP(I29,EXTRAS_ARRAY,2,FALSE)</f>
        <v>5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15.5" hidden="1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595</v>
      </c>
      <c r="O30" s="23" t="s">
        <v>559</v>
      </c>
      <c r="P30" s="23"/>
      <c r="Q30" s="144">
        <v>2</v>
      </c>
      <c r="R30" s="137">
        <v>3</v>
      </c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9</v>
      </c>
      <c r="T30" s="170"/>
      <c r="U30" s="24">
        <v>0</v>
      </c>
      <c r="V30" s="24">
        <v>1</v>
      </c>
      <c r="W30" s="24">
        <v>0</v>
      </c>
      <c r="X30" s="168">
        <v>1.5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9</v>
      </c>
      <c r="Z30" s="25"/>
      <c r="AA30" s="169">
        <f>Y30+Y30*VLOOKUP(I30,EXTRAS_ARRAY,2,FALSE)</f>
        <v>9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hidden="1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558</v>
      </c>
      <c r="O31" s="23"/>
      <c r="P31" s="23"/>
      <c r="Q31" s="144">
        <v>2</v>
      </c>
      <c r="R31" s="137">
        <v>1</v>
      </c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70"/>
      <c r="U31" s="24">
        <v>0</v>
      </c>
      <c r="V31" s="24">
        <v>1</v>
      </c>
      <c r="W31" s="24">
        <v>0</v>
      </c>
      <c r="X31" s="168">
        <v>1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25"/>
      <c r="AA31" s="169">
        <f>Y31+Y31*VLOOKUP(I31,EXTRAS_ARRAY,2,FALSE)</f>
        <v>2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hidden="1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outlineLevel="1" collapsed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298" t="s">
        <v>551</v>
      </c>
      <c r="N33" s="298"/>
      <c r="O33" s="5"/>
      <c r="P33" s="33"/>
      <c r="Q33" s="33"/>
      <c r="R33" s="33"/>
      <c r="S33" s="33"/>
      <c r="T33" s="167">
        <f>IF($S$6="Exclude", SUMIFS(S34:S38, J34:J38, "&lt;&gt;Yes", G34:G38, "&lt;&gt;Yes"), SUMIFS(S34:S38, J34:J38, "&lt;&gt;Yes"))</f>
        <v>13.5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hidden="1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58" hidden="1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597</v>
      </c>
      <c r="O35" s="23" t="s">
        <v>559</v>
      </c>
      <c r="P35" s="23"/>
      <c r="Q35" s="144">
        <v>6</v>
      </c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7.25</v>
      </c>
      <c r="T35" s="170"/>
      <c r="U35" s="24">
        <v>0</v>
      </c>
      <c r="V35" s="24">
        <v>1</v>
      </c>
      <c r="W35" s="24">
        <v>0</v>
      </c>
      <c r="X35" s="168">
        <v>0.6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7.25</v>
      </c>
      <c r="Z35" s="25"/>
      <c r="AA35" s="169">
        <f>Y35+Y35*VLOOKUP(I35,EXTRAS_ARRAY,2,FALSE)</f>
        <v>7.25</v>
      </c>
      <c r="AB35" s="23" t="s">
        <v>598</v>
      </c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15.5" hidden="1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560</v>
      </c>
      <c r="O36" s="23" t="s">
        <v>559</v>
      </c>
      <c r="P36" s="23"/>
      <c r="Q36" s="144">
        <v>6</v>
      </c>
      <c r="R36" s="137">
        <v>2</v>
      </c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3.75</v>
      </c>
      <c r="T36" s="170"/>
      <c r="U36" s="24">
        <v>0</v>
      </c>
      <c r="V36" s="24">
        <v>1</v>
      </c>
      <c r="W36" s="24">
        <v>0</v>
      </c>
      <c r="X36" s="168">
        <v>0.3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3.75</v>
      </c>
      <c r="Z36" s="25"/>
      <c r="AA36" s="169">
        <f>Y36+Y36*VLOOKUP(I36,EXTRAS_ARRAY,2,FALSE)</f>
        <v>3.75</v>
      </c>
      <c r="AB36" s="23" t="s">
        <v>598</v>
      </c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43.5" hidden="1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561</v>
      </c>
      <c r="O37" s="23"/>
      <c r="P37" s="23"/>
      <c r="Q37" s="144">
        <v>8</v>
      </c>
      <c r="R37" s="137">
        <v>1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2.5</v>
      </c>
      <c r="T37" s="170"/>
      <c r="U37" s="24">
        <v>0</v>
      </c>
      <c r="V37" s="24">
        <v>1</v>
      </c>
      <c r="W37" s="24">
        <v>0</v>
      </c>
      <c r="X37" s="168">
        <v>0.3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2.5</v>
      </c>
      <c r="Z37" s="25"/>
      <c r="AA37" s="169">
        <f>Y37+Y37*VLOOKUP(I37,EXTRAS_ARRAY,2,FALSE)</f>
        <v>2.5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hidden="1" customHeight="1" outlineLevel="2" x14ac:dyDescent="0.35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7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5" outlineLevel="1" collapsed="1" x14ac:dyDescent="0.35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5</v>
      </c>
      <c r="M39" s="298" t="s">
        <v>552</v>
      </c>
      <c r="N39" s="298"/>
      <c r="O39" s="5"/>
      <c r="P39" s="33"/>
      <c r="Q39" s="33"/>
      <c r="R39" s="33"/>
      <c r="S39" s="33"/>
      <c r="T39" s="167">
        <f>IF($S$6="Exclude", SUMIFS(S40:S44, J40:J44, "&lt;&gt;Yes", G40:G44, "&lt;&gt;Yes"), SUMIFS(S40:S44, J40:J44, "&lt;&gt;Yes"))</f>
        <v>41</v>
      </c>
      <c r="U39" s="33"/>
      <c r="V39" s="33"/>
      <c r="W39" s="33"/>
      <c r="X39" s="34"/>
      <c r="Y39" s="35"/>
      <c r="Z39" s="35"/>
      <c r="AA39" s="35"/>
      <c r="AB39" s="240"/>
      <c r="AC39" s="36"/>
      <c r="AD39" s="26" t="str">
        <f>IF(M39="", "Error: Task name cannot be empty.", "")</f>
        <v/>
      </c>
    </row>
    <row r="40" spans="1:30" s="15" customFormat="1" ht="1.5" hidden="1" customHeight="1" outlineLevel="2" x14ac:dyDescent="0.35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5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116" hidden="1" outlineLevel="2" x14ac:dyDescent="0.35">
      <c r="A41" s="93" t="s">
        <v>0</v>
      </c>
      <c r="B41" s="21"/>
      <c r="C41" s="85"/>
      <c r="D41" s="85"/>
      <c r="E41" s="85"/>
      <c r="F41" s="86"/>
      <c r="G41" s="22" t="s">
        <v>23</v>
      </c>
      <c r="H41" s="22" t="s">
        <v>23</v>
      </c>
      <c r="I41" s="23" t="s">
        <v>23</v>
      </c>
      <c r="J41" s="22" t="s">
        <v>23</v>
      </c>
      <c r="K41" s="38"/>
      <c r="L41" s="22"/>
      <c r="M41" s="286" t="str">
        <f ca="1">IFERROR(OFFSET(M41,-1,,1,1)+0.1,OFFSET(M41,-1,-1,1,1)&amp;".1")</f>
        <v>5.1</v>
      </c>
      <c r="N41" s="23" t="s">
        <v>462</v>
      </c>
      <c r="O41" s="23" t="s">
        <v>539</v>
      </c>
      <c r="P41" s="23"/>
      <c r="Q41" s="144">
        <v>3</v>
      </c>
      <c r="R41" s="137">
        <v>2</v>
      </c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30.75</v>
      </c>
      <c r="T41" s="170"/>
      <c r="U41" s="24">
        <v>0.2</v>
      </c>
      <c r="V41" s="24">
        <v>0.5</v>
      </c>
      <c r="W41" s="24">
        <v>0.3</v>
      </c>
      <c r="X41" s="168">
        <v>5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30.75</v>
      </c>
      <c r="Z41" s="25"/>
      <c r="AA41" s="169">
        <f>Y41+Y41*VLOOKUP(I41,EXTRAS_ARRAY,2,FALSE)</f>
        <v>30.75</v>
      </c>
      <c r="AB41" s="23" t="s">
        <v>599</v>
      </c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43.5" hidden="1" outlineLevel="2" x14ac:dyDescent="0.35">
      <c r="A42" s="93" t="s">
        <v>0</v>
      </c>
      <c r="B42" s="21"/>
      <c r="C42" s="85"/>
      <c r="D42" s="85"/>
      <c r="E42" s="85"/>
      <c r="F42" s="86"/>
      <c r="G42" s="22" t="s">
        <v>23</v>
      </c>
      <c r="H42" s="22" t="s">
        <v>23</v>
      </c>
      <c r="I42" s="23" t="s">
        <v>23</v>
      </c>
      <c r="J42" s="22" t="s">
        <v>23</v>
      </c>
      <c r="K42" s="38"/>
      <c r="L42" s="22"/>
      <c r="M42" s="286">
        <f ca="1">IFERROR(OFFSET(M42,-1,,1,1)+0.1,OFFSET(M42,-1,-1,1,1)&amp;".1")</f>
        <v>5.1999999999999993</v>
      </c>
      <c r="N42" s="23" t="s">
        <v>463</v>
      </c>
      <c r="O42" s="23"/>
      <c r="P42" s="23"/>
      <c r="Q42" s="144">
        <v>2</v>
      </c>
      <c r="R42" s="137">
        <v>3</v>
      </c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5.25</v>
      </c>
      <c r="T42" s="170"/>
      <c r="U42" s="24">
        <v>0.1</v>
      </c>
      <c r="V42" s="24">
        <v>0.2</v>
      </c>
      <c r="W42" s="24">
        <v>0.7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5.25</v>
      </c>
      <c r="Z42" s="25"/>
      <c r="AA42" s="169">
        <f>Y42+Y42*VLOOKUP(I42,EXTRAS_ARRAY,2,FALSE)</f>
        <v>5.25</v>
      </c>
      <c r="AB42" s="23" t="s">
        <v>600</v>
      </c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ht="43.5" hidden="1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>
        <f ca="1">IFERROR(OFFSET(M43,-1,,1,1)+0.1,OFFSET(M43,-1,-1,1,1)&amp;".1")</f>
        <v>5.2999999999999989</v>
      </c>
      <c r="N43" s="23" t="s">
        <v>464</v>
      </c>
      <c r="O43" s="23"/>
      <c r="P43" s="23"/>
      <c r="Q43" s="144"/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5</v>
      </c>
      <c r="T43" s="170"/>
      <c r="U43" s="24">
        <v>0</v>
      </c>
      <c r="V43" s="24">
        <v>1</v>
      </c>
      <c r="W43" s="24">
        <v>0</v>
      </c>
      <c r="X43" s="168">
        <v>5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5</v>
      </c>
      <c r="Z43" s="25"/>
      <c r="AA43" s="169">
        <f>Y43+Y43*VLOOKUP(I43,EXTRAS_ARRAY,2,FALSE)</f>
        <v>5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s="11" customFormat="1" ht="7.5" hidden="1" customHeight="1" outlineLevel="2" x14ac:dyDescent="0.35">
      <c r="A44" s="93" t="s">
        <v>132</v>
      </c>
      <c r="B44" s="18"/>
      <c r="C44" s="78"/>
      <c r="D44" s="78"/>
      <c r="E44" s="78"/>
      <c r="F44" s="78"/>
      <c r="G44" s="10"/>
      <c r="H44" s="10"/>
      <c r="I44" s="10"/>
      <c r="J44" s="10"/>
      <c r="K44" s="10"/>
      <c r="L44" s="10"/>
      <c r="M44" s="287"/>
      <c r="N44" s="10"/>
      <c r="O44" s="10"/>
      <c r="P44" s="10"/>
      <c r="Q44" s="10"/>
      <c r="R44" s="10"/>
      <c r="S44" s="10"/>
      <c r="T44" s="18"/>
      <c r="U44" s="10"/>
      <c r="V44" s="10"/>
      <c r="W44" s="10"/>
      <c r="X44" s="18"/>
      <c r="Y44" s="10"/>
      <c r="Z44" s="10"/>
      <c r="AA44" s="10"/>
      <c r="AB44" s="60"/>
      <c r="AC44" s="60"/>
      <c r="AD44" s="12"/>
    </row>
    <row r="45" spans="1:30" s="17" customFormat="1" ht="15.5" outlineLevel="1" collapsed="1" x14ac:dyDescent="0.35">
      <c r="A45" s="93" t="s">
        <v>100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20">
        <f ca="1">LOOKUP(1000,INDIRECT("L1:"&amp;CELL("address",INDIRECT("R[-1]C",FALSE))))+1</f>
        <v>6</v>
      </c>
      <c r="M45" s="298" t="s">
        <v>553</v>
      </c>
      <c r="N45" s="298"/>
      <c r="O45" s="5"/>
      <c r="P45" s="33"/>
      <c r="Q45" s="33"/>
      <c r="R45" s="33"/>
      <c r="S45" s="33"/>
      <c r="T45" s="167">
        <f>IF($S$6="Exclude", SUMIFS(S46:S50, J46:J50, "&lt;&gt;Yes", G46:G50, "&lt;&gt;Yes"), SUMIFS(S46:S50, J46:J50, "&lt;&gt;Yes"))</f>
        <v>22</v>
      </c>
      <c r="U45" s="33"/>
      <c r="V45" s="33"/>
      <c r="W45" s="33"/>
      <c r="X45" s="34"/>
      <c r="Y45" s="35"/>
      <c r="Z45" s="35"/>
      <c r="AA45" s="35"/>
      <c r="AB45" s="240"/>
      <c r="AC45" s="36"/>
      <c r="AD45" s="26" t="str">
        <f>IF(M45="", "Error: Task name cannot be empty.", "")</f>
        <v/>
      </c>
    </row>
    <row r="46" spans="1:30" s="15" customFormat="1" ht="1.5" hidden="1" customHeight="1" outlineLevel="2" x14ac:dyDescent="0.35">
      <c r="A46" s="93" t="s">
        <v>101</v>
      </c>
      <c r="B46" s="21"/>
      <c r="C46" s="84"/>
      <c r="D46" s="84"/>
      <c r="E46" s="84"/>
      <c r="F46" s="83"/>
      <c r="G46" s="32"/>
      <c r="H46" s="32"/>
      <c r="I46" s="32"/>
      <c r="J46" s="32"/>
      <c r="K46" s="32"/>
      <c r="L46" s="175">
        <f ca="1">L45</f>
        <v>6</v>
      </c>
      <c r="M46" s="176" t="s">
        <v>105</v>
      </c>
      <c r="N46" s="173"/>
      <c r="O46" s="174"/>
      <c r="P46" s="33"/>
      <c r="Q46" s="33"/>
      <c r="R46" s="33"/>
      <c r="S46" s="33"/>
      <c r="T46" s="167"/>
      <c r="U46" s="33"/>
      <c r="V46" s="33"/>
      <c r="W46" s="33"/>
      <c r="X46" s="34"/>
      <c r="Y46" s="35"/>
      <c r="Z46" s="35"/>
      <c r="AA46" s="35"/>
      <c r="AB46" s="36"/>
      <c r="AC46" s="36"/>
      <c r="AD46" s="26"/>
    </row>
    <row r="47" spans="1:30" ht="43.5" hidden="1" outlineLevel="2" x14ac:dyDescent="0.35">
      <c r="A47" s="93" t="s">
        <v>0</v>
      </c>
      <c r="B47" s="21"/>
      <c r="C47" s="85"/>
      <c r="D47" s="85"/>
      <c r="E47" s="85"/>
      <c r="F47" s="86"/>
      <c r="G47" s="22" t="s">
        <v>6</v>
      </c>
      <c r="H47" s="22" t="s">
        <v>23</v>
      </c>
      <c r="I47" s="23" t="s">
        <v>23</v>
      </c>
      <c r="J47" s="22" t="s">
        <v>23</v>
      </c>
      <c r="K47" s="38"/>
      <c r="L47" s="22"/>
      <c r="M47" s="286" t="str">
        <f t="shared" ref="M47:M49" ca="1" si="0">IFERROR(OFFSET(M47,-1,,1,1)+0.1,OFFSET(M47,-1,-1,1,1)&amp;".1")</f>
        <v>6.1</v>
      </c>
      <c r="N47" s="23" t="s">
        <v>562</v>
      </c>
      <c r="O47" s="23"/>
      <c r="P47" s="23"/>
      <c r="Q47" s="144"/>
      <c r="R47" s="137"/>
      <c r="S47" s="169">
        <f t="shared" ref="S47:S49" si="1">CEILING((IF(J47="Yes", 0, IF(H47="-",AA47,AA47+AA47*VLOOKUP(H47,BUFFERS_BY_TYPE,2,FALSE)))) +
   (IF(J47="Yes", 0, IF(H47="-",AA47,AA47+AA47*VLOOKUP(H47,BUFFERS_BY_TYPE,2,FALSE))))*VLOOKUP($S$5, SALES_CALL_SCALE_ARRAY, 2,FALSE),0.25)</f>
        <v>1</v>
      </c>
      <c r="T47" s="170"/>
      <c r="U47" s="24">
        <v>0</v>
      </c>
      <c r="V47" s="24">
        <v>1</v>
      </c>
      <c r="W47" s="24">
        <v>0</v>
      </c>
      <c r="X47" s="168">
        <v>1</v>
      </c>
      <c r="Y47" s="169">
        <f t="shared" ref="Y47:Y49" si="2"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1</v>
      </c>
      <c r="Z47" s="25"/>
      <c r="AA47" s="169">
        <f t="shared" ref="AA47:AA49" si="3">Y47+Y47*VLOOKUP(I47,EXTRAS_ARRAY,2,FALSE)</f>
        <v>1</v>
      </c>
      <c r="AB47" s="23"/>
      <c r="AC47" s="37"/>
      <c r="AD47" s="26" t="str">
        <f t="shared" ref="AD47:AD49" si="4"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29" hidden="1" outlineLevel="2" x14ac:dyDescent="0.35">
      <c r="A48" s="93" t="s">
        <v>0</v>
      </c>
      <c r="B48" s="21"/>
      <c r="C48" s="85"/>
      <c r="D48" s="85"/>
      <c r="E48" s="85"/>
      <c r="F48" s="86"/>
      <c r="G48" s="22" t="s">
        <v>6</v>
      </c>
      <c r="H48" s="22" t="s">
        <v>23</v>
      </c>
      <c r="I48" s="23" t="s">
        <v>23</v>
      </c>
      <c r="J48" s="22" t="s">
        <v>23</v>
      </c>
      <c r="K48" s="38"/>
      <c r="L48" s="22"/>
      <c r="M48" s="286">
        <f t="shared" ca="1" si="0"/>
        <v>6.1999999999999993</v>
      </c>
      <c r="N48" s="23" t="s">
        <v>563</v>
      </c>
      <c r="O48" s="23"/>
      <c r="P48" s="23"/>
      <c r="Q48" s="144">
        <v>2</v>
      </c>
      <c r="R48" s="137">
        <v>3</v>
      </c>
      <c r="S48" s="169">
        <f t="shared" si="1"/>
        <v>18</v>
      </c>
      <c r="T48" s="170"/>
      <c r="U48" s="24">
        <v>0</v>
      </c>
      <c r="V48" s="24">
        <v>1</v>
      </c>
      <c r="W48" s="24">
        <v>0</v>
      </c>
      <c r="X48" s="168">
        <v>3</v>
      </c>
      <c r="Y48" s="169">
        <f t="shared" si="2"/>
        <v>18</v>
      </c>
      <c r="Z48" s="25"/>
      <c r="AA48" s="169">
        <f t="shared" si="3"/>
        <v>18</v>
      </c>
      <c r="AB48" s="23" t="s">
        <v>601</v>
      </c>
      <c r="AC48" s="37"/>
      <c r="AD48" s="26" t="str">
        <f t="shared" si="4"/>
        <v/>
      </c>
    </row>
    <row r="49" spans="1:30" ht="43.5" hidden="1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>
        <f t="shared" ca="1" si="0"/>
        <v>6.2999999999999989</v>
      </c>
      <c r="N49" s="23" t="s">
        <v>564</v>
      </c>
      <c r="O49" s="23"/>
      <c r="P49" s="23"/>
      <c r="Q49" s="144"/>
      <c r="R49" s="137"/>
      <c r="S49" s="169">
        <f t="shared" si="1"/>
        <v>3</v>
      </c>
      <c r="T49" s="170"/>
      <c r="U49" s="24">
        <v>0</v>
      </c>
      <c r="V49" s="24">
        <v>1</v>
      </c>
      <c r="W49" s="24">
        <v>0</v>
      </c>
      <c r="X49" s="168">
        <v>3</v>
      </c>
      <c r="Y49" s="169">
        <f t="shared" si="2"/>
        <v>3</v>
      </c>
      <c r="Z49" s="25"/>
      <c r="AA49" s="169">
        <f t="shared" si="3"/>
        <v>3</v>
      </c>
      <c r="AB49" s="23"/>
      <c r="AC49" s="37"/>
      <c r="AD49" s="26" t="str">
        <f t="shared" si="4"/>
        <v/>
      </c>
    </row>
    <row r="50" spans="1:30" s="11" customFormat="1" ht="7.5" hidden="1" customHeight="1" outlineLevel="2" x14ac:dyDescent="0.35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7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5" outlineLevel="1" collapsed="1" x14ac:dyDescent="0.35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7</v>
      </c>
      <c r="M51" s="298" t="s">
        <v>554</v>
      </c>
      <c r="N51" s="298"/>
      <c r="O51" s="5"/>
      <c r="P51" s="33"/>
      <c r="Q51" s="33"/>
      <c r="R51" s="33"/>
      <c r="S51" s="33"/>
      <c r="T51" s="167">
        <f>IF($S$6="Exclude", SUMIFS(S52:S57, J52:J57, "&lt;&gt;Yes", G52:G57, "&lt;&gt;Yes"), SUMIFS(S52:S57, J52:J57, "&lt;&gt;Yes"))</f>
        <v>54</v>
      </c>
      <c r="U51" s="33"/>
      <c r="V51" s="33"/>
      <c r="W51" s="33"/>
      <c r="X51" s="34"/>
      <c r="Y51" s="35"/>
      <c r="Z51" s="35"/>
      <c r="AA51" s="35"/>
      <c r="AB51" s="240"/>
      <c r="AC51" s="36"/>
      <c r="AD51" s="26" t="str">
        <f>IF(M51="", "Error: Task name cannot be empty.", "")</f>
        <v/>
      </c>
    </row>
    <row r="52" spans="1:30" s="15" customFormat="1" ht="1.5" hidden="1" customHeight="1" outlineLevel="2" x14ac:dyDescent="0.35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7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29" hidden="1" outlineLevel="2" x14ac:dyDescent="0.35">
      <c r="A53" s="93" t="s">
        <v>0</v>
      </c>
      <c r="B53" s="21"/>
      <c r="C53" s="85"/>
      <c r="D53" s="85"/>
      <c r="E53" s="85"/>
      <c r="F53" s="86"/>
      <c r="G53" s="22" t="s">
        <v>23</v>
      </c>
      <c r="H53" s="22" t="s">
        <v>23</v>
      </c>
      <c r="I53" s="23" t="s">
        <v>23</v>
      </c>
      <c r="J53" s="22" t="s">
        <v>23</v>
      </c>
      <c r="K53" s="38"/>
      <c r="L53" s="22"/>
      <c r="M53" s="286" t="str">
        <f ca="1">IFERROR(OFFSET(M53,-1,,1,1)+0.1,OFFSET(M53,-1,-1,1,1)&amp;".1")</f>
        <v>7.1</v>
      </c>
      <c r="N53" s="23" t="s">
        <v>565</v>
      </c>
      <c r="O53" s="23" t="s">
        <v>125</v>
      </c>
      <c r="P53" s="23"/>
      <c r="Q53" s="144">
        <v>2</v>
      </c>
      <c r="R53" s="137">
        <v>3</v>
      </c>
      <c r="S53" s="169">
        <f>CEILING((IF(J53="Yes", 0, IF(H53="-",AA53,AA53+AA53*VLOOKUP(H53,BUFFERS_BY_TYPE,2,FALSE)))) +
   (IF(J53="Yes", 0, IF(H53="-",AA53,AA53+AA53*VLOOKUP(H53,BUFFERS_BY_TYPE,2,FALSE))))*VLOOKUP($S$5, SALES_CALL_SCALE_ARRAY, 2,FALSE),0.25)</f>
        <v>5</v>
      </c>
      <c r="T53" s="170"/>
      <c r="U53" s="24">
        <v>0</v>
      </c>
      <c r="V53" s="24">
        <v>1</v>
      </c>
      <c r="W53" s="24">
        <v>0</v>
      </c>
      <c r="X53" s="168">
        <v>0.8</v>
      </c>
      <c r="Y53" s="169">
        <f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5</v>
      </c>
      <c r="Z53" s="25"/>
      <c r="AA53" s="169">
        <f>Y53+Y53*VLOOKUP(I53,EXTRAS_ARRAY,2,FALSE)</f>
        <v>5</v>
      </c>
      <c r="AB53" s="23" t="s">
        <v>602</v>
      </c>
      <c r="AC53" s="37"/>
      <c r="AD53" s="26" t="str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15.5" hidden="1" outlineLevel="2" x14ac:dyDescent="0.35">
      <c r="A54" s="93" t="s">
        <v>0</v>
      </c>
      <c r="B54" s="21"/>
      <c r="C54" s="85"/>
      <c r="D54" s="85"/>
      <c r="E54" s="85"/>
      <c r="F54" s="86"/>
      <c r="G54" s="22" t="s">
        <v>23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ca="1">IFERROR(OFFSET(M54,-1,,1,1)+0.1,OFFSET(M54,-1,-1,1,1)&amp;".1")</f>
        <v>7.1999999999999993</v>
      </c>
      <c r="N54" s="23" t="s">
        <v>566</v>
      </c>
      <c r="O54" s="23" t="s">
        <v>125</v>
      </c>
      <c r="P54" s="23"/>
      <c r="Q54" s="144">
        <v>2</v>
      </c>
      <c r="R54" s="137">
        <v>3</v>
      </c>
      <c r="S54" s="169">
        <f>CEILING((IF(J54="Yes", 0, IF(H54="-",AA54,AA54+AA54*VLOOKUP(H54,BUFFERS_BY_TYPE,2,FALSE)))) +
   (IF(J54="Yes", 0, IF(H54="-",AA54,AA54+AA54*VLOOKUP(H54,BUFFERS_BY_TYPE,2,FALSE))))*VLOOKUP($S$5, SALES_CALL_SCALE_ARRAY, 2,FALSE),0.25)</f>
        <v>30</v>
      </c>
      <c r="T54" s="170"/>
      <c r="U54" s="24">
        <v>0</v>
      </c>
      <c r="V54" s="24">
        <v>1</v>
      </c>
      <c r="W54" s="24">
        <v>0</v>
      </c>
      <c r="X54" s="168">
        <v>5</v>
      </c>
      <c r="Y54" s="169">
        <f>CEILING((IF(P54=AS_DEV_EFFORT, DEV_EFFORT*Q54%,
                           IF(P54=AS_DURATION_EFFORT, (MANUAL_DURATION*5)*Q54%,
                                    (IF(Q54&lt;=1,X54,
                                          IF(SUM(U54:W54)=0,(Q54*X54),
                                               (((Q54*U54)*(X54+(X54*EXTRA_FOR_H)))+
                                               ((Q54*V54)*X54)+
                                               ((Q54*W54)*(X54-(X54*LESS_FOR_L)))
                                    )*IF(R54=0,1,R54))))))+Z54), 0.25)</f>
        <v>30</v>
      </c>
      <c r="Z54" s="25"/>
      <c r="AA54" s="169">
        <f>Y54+Y54*VLOOKUP(I54,EXTRAS_ARRAY,2,FALSE)</f>
        <v>30</v>
      </c>
      <c r="AB54" s="23" t="s">
        <v>602</v>
      </c>
      <c r="AC54" s="37"/>
      <c r="AD54" s="26" t="str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spans="1:30" ht="43.5" hidden="1" outlineLevel="2" x14ac:dyDescent="0.35">
      <c r="A55" s="93" t="s">
        <v>0</v>
      </c>
      <c r="B55" s="21"/>
      <c r="C55" s="85"/>
      <c r="D55" s="85"/>
      <c r="E55" s="85"/>
      <c r="F55" s="86"/>
      <c r="G55" s="22" t="s">
        <v>6</v>
      </c>
      <c r="H55" s="22" t="s">
        <v>23</v>
      </c>
      <c r="I55" s="23" t="s">
        <v>23</v>
      </c>
      <c r="J55" s="22" t="s">
        <v>23</v>
      </c>
      <c r="K55" s="38"/>
      <c r="L55" s="22"/>
      <c r="M55" s="286">
        <f ca="1">IFERROR(OFFSET(M55,-1,,1,1)+0.1,OFFSET(M55,-1,-1,1,1)&amp;".1")</f>
        <v>7.2999999999999989</v>
      </c>
      <c r="N55" s="23" t="s">
        <v>584</v>
      </c>
      <c r="O55" s="23" t="s">
        <v>586</v>
      </c>
      <c r="P55" s="274">
        <v>0.02</v>
      </c>
      <c r="Q55" s="144">
        <v>5</v>
      </c>
      <c r="R55" s="137">
        <v>2</v>
      </c>
      <c r="S55" s="169">
        <f>CEILING((IF(J55="Yes", 0, IF(H55="-",AA55,AA55+AA55*VLOOKUP(H55,BUFFERS_BY_TYPE,2,FALSE)))) +
   (IF(J55="Yes", 0, IF(H55="-",AA55,AA55+AA55*VLOOKUP(H55,BUFFERS_BY_TYPE,2,FALSE))))*VLOOKUP($S$5, SALES_CALL_SCALE_ARRAY, 2,FALSE),0.25)</f>
        <v>15</v>
      </c>
      <c r="T55" s="170"/>
      <c r="U55" s="24">
        <v>0</v>
      </c>
      <c r="V55" s="24">
        <v>1</v>
      </c>
      <c r="W55" s="24">
        <v>0</v>
      </c>
      <c r="X55" s="168">
        <v>1.5</v>
      </c>
      <c r="Y55" s="169">
        <f>CEILING((IF(P55=AS_DEV_EFFORT, DEV_EFFORT*Q55%,
                           IF(P55=AS_DURATION_EFFORT, (MANUAL_DURATION*5)*Q55%,
                                    (IF(Q55&lt;=1,X55,
                                          IF(SUM(U55:W55)=0,(Q55*X55),
                                               (((Q55*U55)*(X55+(X55*EXTRA_FOR_H)))+
                                               ((Q55*V55)*X55)+
                                               ((Q55*W55)*(X55-(X55*LESS_FOR_L)))
                                    )*IF(R55=0,1,R55))))))+Z55), 0.25)</f>
        <v>15</v>
      </c>
      <c r="Z55" s="25"/>
      <c r="AA55" s="169">
        <f>Y55+Y55*VLOOKUP(I55,EXTRAS_ARRAY,2,FALSE)</f>
        <v>15</v>
      </c>
      <c r="AB55" s="23" t="s">
        <v>587</v>
      </c>
      <c r="AC55" s="37"/>
      <c r="AD55" s="26" t="str">
        <f>IF(J55&lt;&gt;"Yes",
IF(S55&lt;=0,"Error: Effort value is not defined or is invalid.",
IF(AND(SUM(U55:W55)&gt;0,SUM(U55:W55)&lt;&gt;1),"Error: Complexity % distribution should sum to 100%.",
IF(AND(P55=AS_DEV_EFFORT,X55&lt;&gt;0),"Error: PDs should not be defined when defining as dev effort %.",
IF(AND(P55=AS_DURATION_EFFORT,X55&lt;&gt;0),"Error: PDs should not be defined when defining as duration effort %.","")))))</f>
        <v/>
      </c>
    </row>
    <row r="56" spans="1:30" ht="43.5" hidden="1" outlineLevel="2" x14ac:dyDescent="0.35">
      <c r="A56" s="93" t="s">
        <v>0</v>
      </c>
      <c r="B56" s="21"/>
      <c r="C56" s="85"/>
      <c r="D56" s="85"/>
      <c r="E56" s="85"/>
      <c r="F56" s="86"/>
      <c r="G56" s="22" t="s">
        <v>23</v>
      </c>
      <c r="H56" s="22" t="s">
        <v>23</v>
      </c>
      <c r="I56" s="23" t="s">
        <v>23</v>
      </c>
      <c r="J56" s="22" t="s">
        <v>23</v>
      </c>
      <c r="K56" s="38"/>
      <c r="L56" s="22"/>
      <c r="M56" s="286">
        <f ca="1">IFERROR(OFFSET(M56,-1,,1,1)+0.1,OFFSET(M56,-1,-1,1,1)&amp;".1")</f>
        <v>7.3999999999999986</v>
      </c>
      <c r="N56" s="23" t="s">
        <v>567</v>
      </c>
      <c r="O56" s="23" t="s">
        <v>540</v>
      </c>
      <c r="P56" s="23"/>
      <c r="Q56" s="144">
        <v>5</v>
      </c>
      <c r="R56" s="137">
        <v>1</v>
      </c>
      <c r="S56" s="169">
        <f>CEILING((IF(J56="Yes", 0, IF(H56="-",AA56,AA56+AA56*VLOOKUP(H56,BUFFERS_BY_TYPE,2,FALSE)))) +
   (IF(J56="Yes", 0, IF(H56="-",AA56,AA56+AA56*VLOOKUP(H56,BUFFERS_BY_TYPE,2,FALSE))))*VLOOKUP($S$5, SALES_CALL_SCALE_ARRAY, 2,FALSE),0.25)</f>
        <v>4</v>
      </c>
      <c r="T56" s="170"/>
      <c r="U56" s="24">
        <v>0</v>
      </c>
      <c r="V56" s="24">
        <v>1</v>
      </c>
      <c r="W56" s="24">
        <v>0</v>
      </c>
      <c r="X56" s="168">
        <v>0.8</v>
      </c>
      <c r="Y56" s="169">
        <f>CEILING((IF(P56=AS_DEV_EFFORT, DEV_EFFORT*Q56%,
                           IF(P56=AS_DURATION_EFFORT, (MANUAL_DURATION*5)*Q56%,
                                    (IF(Q56&lt;=1,X56,
                                          IF(SUM(U56:W56)=0,(Q56*X56),
                                               (((Q56*U56)*(X56+(X56*EXTRA_FOR_H)))+
                                               ((Q56*V56)*X56)+
                                               ((Q56*W56)*(X56-(X56*LESS_FOR_L)))
                                    )*IF(R56=0,1,R56))))))+Z56), 0.25)</f>
        <v>4</v>
      </c>
      <c r="Z56" s="25"/>
      <c r="AA56" s="169">
        <f>Y56+Y56*VLOOKUP(I56,EXTRAS_ARRAY,2,FALSE)</f>
        <v>4</v>
      </c>
      <c r="AB56" s="23"/>
      <c r="AC56" s="37"/>
      <c r="AD56" s="26" t="str">
        <f>IF(J56&lt;&gt;"Yes",
IF(S56&lt;=0,"Error: Effort value is not defined or is invalid.",
IF(AND(SUM(U56:W56)&gt;0,SUM(U56:W56)&lt;&gt;1),"Error: Complexity % distribution should sum to 100%.",
IF(AND(P56=AS_DEV_EFFORT,X56&lt;&gt;0),"Error: PDs should not be defined when defining as dev effort %.",
IF(AND(P56=AS_DURATION_EFFORT,X56&lt;&gt;0),"Error: PDs should not be defined when defining as duration effort %.","")))))</f>
        <v/>
      </c>
    </row>
    <row r="57" spans="1:30" s="11" customFormat="1" ht="7.5" hidden="1" customHeight="1" outlineLevel="2" x14ac:dyDescent="0.35">
      <c r="A57" s="93" t="s">
        <v>132</v>
      </c>
      <c r="B57" s="18"/>
      <c r="C57" s="78"/>
      <c r="D57" s="78"/>
      <c r="E57" s="78"/>
      <c r="F57" s="78"/>
      <c r="G57" s="10"/>
      <c r="H57" s="10"/>
      <c r="I57" s="10"/>
      <c r="J57" s="10"/>
      <c r="K57" s="10"/>
      <c r="L57" s="10"/>
      <c r="M57" s="287"/>
      <c r="N57" s="10"/>
      <c r="O57" s="10"/>
      <c r="P57" s="10"/>
      <c r="Q57" s="10"/>
      <c r="R57" s="10"/>
      <c r="S57" s="10"/>
      <c r="T57" s="18"/>
      <c r="U57" s="10"/>
      <c r="V57" s="10"/>
      <c r="W57" s="10"/>
      <c r="X57" s="18"/>
      <c r="Y57" s="10"/>
      <c r="Z57" s="10"/>
      <c r="AA57" s="10"/>
      <c r="AB57" s="60"/>
      <c r="AC57" s="60"/>
      <c r="AD57" s="12"/>
    </row>
    <row r="58" spans="1:30" s="11" customFormat="1" ht="3" customHeight="1" outlineLevel="1" x14ac:dyDescent="0.35">
      <c r="A58" s="93" t="s">
        <v>102</v>
      </c>
      <c r="B58" s="10"/>
      <c r="C58" s="78"/>
      <c r="D58" s="78"/>
      <c r="E58" s="78"/>
      <c r="F58" s="78"/>
      <c r="G58" s="59"/>
      <c r="H58" s="59"/>
      <c r="I58" s="59"/>
      <c r="J58" s="59"/>
      <c r="K58" s="59"/>
      <c r="L58" s="61"/>
      <c r="M58" s="288"/>
      <c r="N58" s="62"/>
      <c r="O58" s="62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2"/>
      <c r="AC58" s="62"/>
      <c r="AD58" s="12"/>
    </row>
    <row r="59" spans="1:30" s="17" customFormat="1" ht="18.5" collapsed="1" x14ac:dyDescent="0.35">
      <c r="A59" s="93" t="s">
        <v>98</v>
      </c>
      <c r="B59" s="14"/>
      <c r="C59" s="79"/>
      <c r="D59" s="79"/>
      <c r="E59" s="79"/>
      <c r="F59" s="78"/>
      <c r="G59" s="55"/>
      <c r="H59" s="55"/>
      <c r="I59" s="55"/>
      <c r="J59" s="55"/>
      <c r="K59" s="55"/>
      <c r="L59" s="55" t="s">
        <v>68</v>
      </c>
      <c r="M59" s="284" t="s">
        <v>72</v>
      </c>
      <c r="N59" s="56"/>
      <c r="O59" s="57"/>
      <c r="P59" s="58"/>
      <c r="Q59" s="58"/>
      <c r="R59" s="58"/>
      <c r="S59" s="299">
        <f>CEILING(SUMIF(J60:J88, "&lt;&gt;Yes", T60:T88),1)</f>
        <v>0</v>
      </c>
      <c r="T59" s="299"/>
      <c r="U59" s="58"/>
      <c r="V59" s="58"/>
      <c r="W59" s="58"/>
      <c r="X59" s="58"/>
      <c r="Y59" s="58"/>
      <c r="Z59" s="58"/>
      <c r="AA59" s="58"/>
      <c r="AB59" s="58"/>
      <c r="AC59" s="58"/>
      <c r="AD59" s="16"/>
    </row>
    <row r="60" spans="1:30" s="11" customFormat="1" ht="3" hidden="1" customHeight="1" outlineLevel="1" x14ac:dyDescent="0.35">
      <c r="A60" s="93" t="s">
        <v>99</v>
      </c>
      <c r="B60" s="18"/>
      <c r="C60" s="78"/>
      <c r="D60" s="78"/>
      <c r="E60" s="78"/>
      <c r="F60" s="78"/>
      <c r="G60" s="28"/>
      <c r="H60" s="28"/>
      <c r="I60" s="28"/>
      <c r="J60" s="28"/>
      <c r="K60" s="28"/>
      <c r="L60" s="29">
        <v>0</v>
      </c>
      <c r="M60" s="285"/>
      <c r="N60" s="28"/>
      <c r="O60" s="28"/>
      <c r="P60" s="28"/>
      <c r="Q60" s="28"/>
      <c r="R60" s="28"/>
      <c r="S60" s="28"/>
      <c r="T60" s="30"/>
      <c r="U60" s="28"/>
      <c r="V60" s="28"/>
      <c r="W60" s="28"/>
      <c r="X60" s="30"/>
      <c r="Y60" s="28"/>
      <c r="Z60" s="28"/>
      <c r="AA60" s="28"/>
      <c r="AB60" s="31"/>
      <c r="AC60" s="31"/>
      <c r="AD60" s="12"/>
    </row>
    <row r="61" spans="1:30" s="17" customFormat="1" ht="15.5" hidden="1" outlineLevel="1" collapsed="1" x14ac:dyDescent="0.35">
      <c r="A61" s="93" t="s">
        <v>100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20">
        <f ca="1">LOOKUP(1000,INDIRECT("L1:"&amp;CELL("address",INDIRECT("R[-1]C",FALSE))))+1</f>
        <v>1</v>
      </c>
      <c r="M61" s="298" t="s">
        <v>458</v>
      </c>
      <c r="N61" s="298"/>
      <c r="O61" s="5"/>
      <c r="P61" s="33"/>
      <c r="Q61" s="33"/>
      <c r="R61" s="33"/>
      <c r="S61" s="33"/>
      <c r="T61" s="167">
        <f>IF($S$6="Exclude", SUMIFS(S62:S65, J62:J65, "&lt;&gt;Yes", G62:G65, "&lt;&gt;Yes"), SUMIFS(S62:S65, J62:J65, "&lt;&gt;Yes"))</f>
        <v>0</v>
      </c>
      <c r="U61" s="33"/>
      <c r="V61" s="33"/>
      <c r="W61" s="33"/>
      <c r="X61" s="34"/>
      <c r="Y61" s="35"/>
      <c r="Z61" s="35"/>
      <c r="AA61" s="35"/>
      <c r="AB61" s="240"/>
      <c r="AC61" s="36"/>
      <c r="AD61" s="26" t="str">
        <f>IF(M61="", "Error: Task name cannot be empty.", "")</f>
        <v/>
      </c>
    </row>
    <row r="62" spans="1:30" s="15" customFormat="1" ht="1.5" hidden="1" customHeight="1" outlineLevel="2" x14ac:dyDescent="0.35">
      <c r="A62" s="93" t="s">
        <v>101</v>
      </c>
      <c r="B62" s="21"/>
      <c r="C62" s="84"/>
      <c r="D62" s="84"/>
      <c r="E62" s="84"/>
      <c r="F62" s="83"/>
      <c r="G62" s="32"/>
      <c r="H62" s="32"/>
      <c r="I62" s="32"/>
      <c r="J62" s="32"/>
      <c r="K62" s="32"/>
      <c r="L62" s="175">
        <f ca="1">L61</f>
        <v>1</v>
      </c>
      <c r="M62" s="176" t="s">
        <v>105</v>
      </c>
      <c r="N62" s="173"/>
      <c r="O62" s="174"/>
      <c r="P62" s="33"/>
      <c r="Q62" s="33"/>
      <c r="R62" s="33"/>
      <c r="S62" s="33"/>
      <c r="T62" s="167"/>
      <c r="U62" s="33"/>
      <c r="V62" s="33"/>
      <c r="W62" s="33"/>
      <c r="X62" s="34"/>
      <c r="Y62" s="35"/>
      <c r="Z62" s="35"/>
      <c r="AA62" s="35"/>
      <c r="AB62" s="36"/>
      <c r="AC62" s="36"/>
      <c r="AD62" s="26"/>
    </row>
    <row r="63" spans="1:30" ht="43.5" hidden="1" outlineLevel="2" x14ac:dyDescent="0.35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/>
      <c r="L63" s="22"/>
      <c r="M63" s="286" t="str">
        <f ca="1">IFERROR(OFFSET(M63,-1,,1,1)+0.1,OFFSET(M63,-1,-1,1,1)&amp;".1")</f>
        <v>1.1</v>
      </c>
      <c r="N63" s="23" t="s">
        <v>468</v>
      </c>
      <c r="O63" s="23"/>
      <c r="P63" s="23"/>
      <c r="Q63" s="144"/>
      <c r="R63" s="137"/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0</v>
      </c>
      <c r="T63" s="170"/>
      <c r="U63" s="24">
        <v>0</v>
      </c>
      <c r="V63" s="24">
        <v>1</v>
      </c>
      <c r="W63" s="24">
        <v>0</v>
      </c>
      <c r="X63" s="168"/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0</v>
      </c>
      <c r="Z63" s="25"/>
      <c r="AA63" s="169">
        <f>Y63+Y63*VLOOKUP(I63,EXTRAS_ARRAY,2,FALSE)</f>
        <v>0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>Error: Effort value is not defined or is invalid.</v>
      </c>
    </row>
    <row r="64" spans="1:30" ht="43.5" hidden="1" outlineLevel="2" x14ac:dyDescent="0.35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/>
      <c r="L64" s="22"/>
      <c r="M64" s="286">
        <f ca="1">IFERROR(OFFSET(M64,-1,,1,1)+0.1,OFFSET(M64,-1,-1,1,1)&amp;".1")</f>
        <v>1.2000000000000002</v>
      </c>
      <c r="N64" s="23" t="s">
        <v>469</v>
      </c>
      <c r="O64" s="23"/>
      <c r="P64" s="23" t="s">
        <v>471</v>
      </c>
      <c r="Q64" s="144"/>
      <c r="R64" s="137"/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0</v>
      </c>
      <c r="T64" s="170"/>
      <c r="U64" s="24">
        <v>0</v>
      </c>
      <c r="V64" s="24">
        <v>1</v>
      </c>
      <c r="W64" s="24">
        <v>0</v>
      </c>
      <c r="X64" s="168"/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0</v>
      </c>
      <c r="Z64" s="25"/>
      <c r="AA64" s="169">
        <f>Y64+Y64*VLOOKUP(I64,EXTRAS_ARRAY,2,FALSE)</f>
        <v>0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>Error: Effort value is not defined or is invalid.</v>
      </c>
    </row>
    <row r="65" spans="1:30" s="11" customFormat="1" ht="7.5" hidden="1" customHeight="1" outlineLevel="2" x14ac:dyDescent="0.35">
      <c r="A65" s="93" t="s">
        <v>132</v>
      </c>
      <c r="B65" s="18"/>
      <c r="C65" s="78"/>
      <c r="D65" s="78"/>
      <c r="E65" s="78"/>
      <c r="F65" s="78"/>
      <c r="G65" s="10"/>
      <c r="H65" s="10"/>
      <c r="I65" s="10"/>
      <c r="J65" s="10"/>
      <c r="K65" s="10"/>
      <c r="L65" s="10"/>
      <c r="M65" s="287"/>
      <c r="N65" s="10"/>
      <c r="O65" s="10"/>
      <c r="P65" s="10"/>
      <c r="Q65" s="10"/>
      <c r="R65" s="10"/>
      <c r="S65" s="10"/>
      <c r="T65" s="18"/>
      <c r="U65" s="10"/>
      <c r="V65" s="10"/>
      <c r="W65" s="10"/>
      <c r="X65" s="18"/>
      <c r="Y65" s="10"/>
      <c r="Z65" s="10"/>
      <c r="AA65" s="10"/>
      <c r="AB65" s="60"/>
      <c r="AC65" s="60"/>
      <c r="AD65" s="12"/>
    </row>
    <row r="66" spans="1:30" s="17" customFormat="1" ht="15.5" hidden="1" outlineLevel="1" collapsed="1" x14ac:dyDescent="0.35">
      <c r="A66" s="93" t="s">
        <v>100</v>
      </c>
      <c r="B66" s="21"/>
      <c r="C66" s="84"/>
      <c r="D66" s="84"/>
      <c r="E66" s="84"/>
      <c r="F66" s="83"/>
      <c r="G66" s="32"/>
      <c r="H66" s="32"/>
      <c r="I66" s="32"/>
      <c r="J66" s="32"/>
      <c r="K66" s="32"/>
      <c r="L66" s="20">
        <f ca="1">LOOKUP(1000,INDIRECT("L1:"&amp;CELL("address",INDIRECT("R[-1]C",FALSE))))+1</f>
        <v>2</v>
      </c>
      <c r="M66" s="298" t="s">
        <v>465</v>
      </c>
      <c r="N66" s="298"/>
      <c r="O66" s="5"/>
      <c r="P66" s="33"/>
      <c r="Q66" s="33"/>
      <c r="R66" s="33"/>
      <c r="S66" s="33"/>
      <c r="T66" s="167">
        <f>IF($S$6="Exclude", SUMIFS(S67:S69, J67:J69, "&lt;&gt;Yes", G67:G69, "&lt;&gt;Yes"), SUMIFS(S67:S69, J67:J69, "&lt;&gt;Yes"))</f>
        <v>0</v>
      </c>
      <c r="U66" s="33"/>
      <c r="V66" s="33"/>
      <c r="W66" s="33"/>
      <c r="X66" s="34"/>
      <c r="Y66" s="35"/>
      <c r="Z66" s="35"/>
      <c r="AA66" s="35"/>
      <c r="AB66" s="240"/>
      <c r="AC66" s="36"/>
      <c r="AD66" s="26" t="str">
        <f>IF(M66="", "Error: Task name cannot be empty.", "")</f>
        <v/>
      </c>
    </row>
    <row r="67" spans="1:30" s="15" customFormat="1" ht="1.5" hidden="1" customHeight="1" outlineLevel="2" x14ac:dyDescent="0.35">
      <c r="A67" s="93" t="s">
        <v>101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175">
        <f ca="1">L66</f>
        <v>2</v>
      </c>
      <c r="M67" s="176" t="s">
        <v>105</v>
      </c>
      <c r="N67" s="173"/>
      <c r="O67" s="174"/>
      <c r="P67" s="33"/>
      <c r="Q67" s="33"/>
      <c r="R67" s="33"/>
      <c r="S67" s="33"/>
      <c r="T67" s="167"/>
      <c r="U67" s="33"/>
      <c r="V67" s="33"/>
      <c r="W67" s="33"/>
      <c r="X67" s="34"/>
      <c r="Y67" s="35"/>
      <c r="Z67" s="35"/>
      <c r="AA67" s="35"/>
      <c r="AB67" s="36"/>
      <c r="AC67" s="36"/>
      <c r="AD67" s="26"/>
    </row>
    <row r="68" spans="1:30" ht="43.5" hidden="1" outlineLevel="2" x14ac:dyDescent="0.35">
      <c r="A68" s="93" t="s">
        <v>0</v>
      </c>
      <c r="B68" s="21"/>
      <c r="C68" s="85"/>
      <c r="D68" s="85"/>
      <c r="E68" s="85"/>
      <c r="F68" s="86"/>
      <c r="G68" s="22" t="s">
        <v>23</v>
      </c>
      <c r="H68" s="22" t="s">
        <v>23</v>
      </c>
      <c r="I68" s="23" t="s">
        <v>23</v>
      </c>
      <c r="J68" s="22" t="s">
        <v>23</v>
      </c>
      <c r="K68" s="38"/>
      <c r="L68" s="22"/>
      <c r="M68" s="286" t="str">
        <f ca="1">IFERROR(OFFSET(M68,-1,,1,1)+0.1,OFFSET(M68,-1,-1,1,1)&amp;".1")</f>
        <v>2.1</v>
      </c>
      <c r="N68" s="23" t="s">
        <v>470</v>
      </c>
      <c r="O68" s="23"/>
      <c r="P68" s="23"/>
      <c r="Q68" s="144"/>
      <c r="R68" s="137"/>
      <c r="S68" s="169">
        <f>CEILING((IF(J68="Yes", 0, IF(H68="-",AA68,AA68+AA68*VLOOKUP(H68,BUFFERS_BY_TYPE,2,FALSE)))) +
   (IF(J68="Yes", 0, IF(H68="-",AA68,AA68+AA68*VLOOKUP(H68,BUFFERS_BY_TYPE,2,FALSE))))*VLOOKUP($S$5, SALES_CALL_SCALE_ARRAY, 2,FALSE),0.25)</f>
        <v>0</v>
      </c>
      <c r="T68" s="170"/>
      <c r="U68" s="24">
        <v>0</v>
      </c>
      <c r="V68" s="24">
        <v>1</v>
      </c>
      <c r="W68" s="24">
        <v>0</v>
      </c>
      <c r="X68" s="168"/>
      <c r="Y68" s="169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0</v>
      </c>
      <c r="Z68" s="25"/>
      <c r="AA68" s="169">
        <f>Y68+Y68*VLOOKUP(I68,EXTRAS_ARRAY,2,FALSE)</f>
        <v>0</v>
      </c>
      <c r="AB68" s="23"/>
      <c r="AC68" s="37"/>
      <c r="AD68" s="26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>Error: Effort value is not defined or is invalid.</v>
      </c>
    </row>
    <row r="69" spans="1:30" s="11" customFormat="1" ht="7.5" hidden="1" customHeight="1" outlineLevel="2" x14ac:dyDescent="0.35">
      <c r="A69" s="93" t="s">
        <v>132</v>
      </c>
      <c r="B69" s="18"/>
      <c r="C69" s="78"/>
      <c r="D69" s="78"/>
      <c r="E69" s="78"/>
      <c r="F69" s="78"/>
      <c r="G69" s="10"/>
      <c r="H69" s="10"/>
      <c r="I69" s="10"/>
      <c r="J69" s="10"/>
      <c r="K69" s="10"/>
      <c r="L69" s="10"/>
      <c r="M69" s="287"/>
      <c r="N69" s="10"/>
      <c r="O69" s="10"/>
      <c r="P69" s="10"/>
      <c r="Q69" s="10"/>
      <c r="R69" s="10"/>
      <c r="S69" s="10"/>
      <c r="T69" s="18"/>
      <c r="U69" s="10"/>
      <c r="V69" s="10"/>
      <c r="W69" s="10"/>
      <c r="X69" s="18"/>
      <c r="Y69" s="10"/>
      <c r="Z69" s="10"/>
      <c r="AA69" s="10"/>
      <c r="AB69" s="60"/>
      <c r="AC69" s="60"/>
      <c r="AD69" s="12"/>
    </row>
    <row r="70" spans="1:30" s="17" customFormat="1" ht="15.5" hidden="1" outlineLevel="1" collapsed="1" x14ac:dyDescent="0.35">
      <c r="A70" s="93" t="s">
        <v>100</v>
      </c>
      <c r="B70" s="21"/>
      <c r="C70" s="84"/>
      <c r="D70" s="84"/>
      <c r="E70" s="84"/>
      <c r="F70" s="83"/>
      <c r="G70" s="32"/>
      <c r="H70" s="32"/>
      <c r="I70" s="32"/>
      <c r="J70" s="32"/>
      <c r="K70" s="32"/>
      <c r="L70" s="20">
        <f ca="1">LOOKUP(1000,INDIRECT("L1:"&amp;CELL("address",INDIRECT("R[-1]C",FALSE))))+1</f>
        <v>3</v>
      </c>
      <c r="M70" s="298" t="s">
        <v>476</v>
      </c>
      <c r="N70" s="298"/>
      <c r="O70" s="5"/>
      <c r="P70" s="33"/>
      <c r="Q70" s="33"/>
      <c r="R70" s="33"/>
      <c r="S70" s="33"/>
      <c r="T70" s="167">
        <f>IF($S$6="Exclude", SUMIFS(S71:S76, J71:J76, "&lt;&gt;Yes", G71:G76, "&lt;&gt;Yes"), SUMIFS(S71:S76, J71:J76, "&lt;&gt;Yes"))</f>
        <v>0</v>
      </c>
      <c r="U70" s="33"/>
      <c r="V70" s="33"/>
      <c r="W70" s="33"/>
      <c r="X70" s="34"/>
      <c r="Y70" s="35"/>
      <c r="Z70" s="35"/>
      <c r="AA70" s="35"/>
      <c r="AB70" s="240"/>
      <c r="AC70" s="36"/>
      <c r="AD70" s="26" t="str">
        <f>IF(M70="", "Error: Task name cannot be empty.", "")</f>
        <v/>
      </c>
    </row>
    <row r="71" spans="1:30" s="15" customFormat="1" ht="1.5" hidden="1" customHeight="1" outlineLevel="2" x14ac:dyDescent="0.35">
      <c r="A71" s="93" t="s">
        <v>101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175">
        <f ca="1">L70</f>
        <v>3</v>
      </c>
      <c r="M71" s="176" t="s">
        <v>105</v>
      </c>
      <c r="N71" s="173"/>
      <c r="O71" s="174"/>
      <c r="P71" s="33"/>
      <c r="Q71" s="33"/>
      <c r="R71" s="33"/>
      <c r="S71" s="33"/>
      <c r="T71" s="167"/>
      <c r="U71" s="33"/>
      <c r="V71" s="33"/>
      <c r="W71" s="33"/>
      <c r="X71" s="34"/>
      <c r="Y71" s="35"/>
      <c r="Z71" s="35"/>
      <c r="AA71" s="35"/>
      <c r="AB71" s="36"/>
      <c r="AC71" s="36"/>
      <c r="AD71" s="26"/>
    </row>
    <row r="72" spans="1:30" ht="43.5" hidden="1" outlineLevel="2" x14ac:dyDescent="0.35">
      <c r="A72" s="93" t="s">
        <v>0</v>
      </c>
      <c r="B72" s="21"/>
      <c r="C72" s="85"/>
      <c r="D72" s="85"/>
      <c r="E72" s="85"/>
      <c r="F72" s="86"/>
      <c r="G72" s="22" t="s">
        <v>23</v>
      </c>
      <c r="H72" s="22" t="s">
        <v>23</v>
      </c>
      <c r="I72" s="23" t="s">
        <v>23</v>
      </c>
      <c r="J72" s="22" t="s">
        <v>23</v>
      </c>
      <c r="K72" s="38"/>
      <c r="L72" s="22"/>
      <c r="M72" s="286" t="str">
        <f ca="1">IFERROR(OFFSET(M72,-1,,1,1)+0.1,OFFSET(M72,-1,-1,1,1)&amp;".1")</f>
        <v>3.1</v>
      </c>
      <c r="N72" s="23" t="s">
        <v>472</v>
      </c>
      <c r="O72" s="23"/>
      <c r="P72" s="23"/>
      <c r="Q72" s="144"/>
      <c r="R72" s="137"/>
      <c r="S72" s="169">
        <f>CEILING((IF(J72="Yes", 0, IF(H72="-",AA72,AA72+AA72*VLOOKUP(H72,BUFFERS_BY_TYPE,2,FALSE)))) +
   (IF(J72="Yes", 0, IF(H72="-",AA72,AA72+AA72*VLOOKUP(H72,BUFFERS_BY_TYPE,2,FALSE))))*VLOOKUP($S$5, SALES_CALL_SCALE_ARRAY, 2,FALSE),0.25)</f>
        <v>0</v>
      </c>
      <c r="T72" s="170"/>
      <c r="U72" s="24">
        <v>0</v>
      </c>
      <c r="V72" s="24">
        <v>1</v>
      </c>
      <c r="W72" s="24">
        <v>0</v>
      </c>
      <c r="X72" s="168"/>
      <c r="Y72" s="169">
        <f>CEILING((IF(P72=AS_DEV_EFFORT, DEV_EFFORT*Q72%,
                           IF(P72=AS_DURATION_EFFORT, (MANUAL_DURATION*5)*Q72%,
                                    (IF(Q72&lt;=1,X72,
                                          IF(SUM(U72:W72)=0,(Q72*X72),
                                               (((Q72*U72)*(X72+(X72*EXTRA_FOR_H)))+
                                               ((Q72*V72)*X72)+
                                               ((Q72*W72)*(X72-(X72*LESS_FOR_L)))
                                    )*IF(R72=0,1,R72))))))+Z72), 0.25)</f>
        <v>0</v>
      </c>
      <c r="Z72" s="25"/>
      <c r="AA72" s="169">
        <f>Y72+Y72*VLOOKUP(I72,EXTRAS_ARRAY,2,FALSE)</f>
        <v>0</v>
      </c>
      <c r="AB72" s="23"/>
      <c r="AC72" s="37"/>
      <c r="AD72" s="26" t="str">
        <f>IF(J72&lt;&gt;"Yes",
IF(S72&lt;=0,"Error: Effort value is not defined or is invalid.",
IF(AND(SUM(U72:W72)&gt;0,SUM(U72:W72)&lt;&gt;1),"Error: Complexity % distribution should sum to 100%.",
IF(AND(P72=AS_DEV_EFFORT,X72&lt;&gt;0),"Error: PDs should not be defined when defining as dev effort %.",
IF(AND(P72=AS_DURATION_EFFORT,X72&lt;&gt;0),"Error: PDs should not be defined when defining as duration effort %.","")))))</f>
        <v>Error: Effort value is not defined or is invalid.</v>
      </c>
    </row>
    <row r="73" spans="1:30" ht="43.5" hidden="1" outlineLevel="2" x14ac:dyDescent="0.35">
      <c r="A73" s="93" t="s">
        <v>0</v>
      </c>
      <c r="B73" s="21"/>
      <c r="C73" s="85"/>
      <c r="D73" s="85"/>
      <c r="E73" s="85"/>
      <c r="F73" s="86"/>
      <c r="G73" s="22" t="s">
        <v>23</v>
      </c>
      <c r="H73" s="22" t="s">
        <v>23</v>
      </c>
      <c r="I73" s="23" t="s">
        <v>23</v>
      </c>
      <c r="J73" s="22" t="s">
        <v>23</v>
      </c>
      <c r="K73" s="38"/>
      <c r="L73" s="22"/>
      <c r="M73" s="286">
        <f ca="1">IFERROR(OFFSET(M73,-1,,1,1)+0.1,OFFSET(M73,-1,-1,1,1)&amp;".1")</f>
        <v>3.2</v>
      </c>
      <c r="N73" s="23" t="s">
        <v>473</v>
      </c>
      <c r="O73" s="23"/>
      <c r="P73" s="23"/>
      <c r="Q73" s="144"/>
      <c r="R73" s="137"/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0</v>
      </c>
      <c r="T73" s="170"/>
      <c r="U73" s="24">
        <v>0</v>
      </c>
      <c r="V73" s="24">
        <v>1</v>
      </c>
      <c r="W73" s="24">
        <v>0</v>
      </c>
      <c r="X73" s="168"/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0</v>
      </c>
      <c r="Z73" s="25"/>
      <c r="AA73" s="169">
        <f>Y73+Y73*VLOOKUP(I73,EXTRAS_ARRAY,2,FALSE)</f>
        <v>0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>Error: Effort value is not defined or is invalid.</v>
      </c>
    </row>
    <row r="74" spans="1:30" ht="43.5" hidden="1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>
        <f ca="1">IFERROR(OFFSET(M74,-1,,1,1)+0.1,OFFSET(M74,-1,-1,1,1)&amp;".1")</f>
        <v>3.3000000000000003</v>
      </c>
      <c r="N74" s="23" t="s">
        <v>474</v>
      </c>
      <c r="O74" s="23"/>
      <c r="P74" s="23" t="s">
        <v>471</v>
      </c>
      <c r="Q74" s="144">
        <v>1</v>
      </c>
      <c r="R74" s="137"/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0</v>
      </c>
      <c r="T74" s="170"/>
      <c r="U74" s="24">
        <v>0</v>
      </c>
      <c r="V74" s="24">
        <v>1</v>
      </c>
      <c r="W74" s="24">
        <v>0</v>
      </c>
      <c r="X74" s="168"/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0</v>
      </c>
      <c r="Z74" s="25"/>
      <c r="AA74" s="169">
        <f>Y74+Y74*VLOOKUP(I74,EXTRAS_ARRAY,2,FALSE)</f>
        <v>0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>Error: Effort value is not defined or is invalid.</v>
      </c>
    </row>
    <row r="75" spans="1:30" ht="43.5" hidden="1" outlineLevel="2" x14ac:dyDescent="0.35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3.4000000000000004</v>
      </c>
      <c r="N75" s="23" t="s">
        <v>475</v>
      </c>
      <c r="O75" s="23"/>
      <c r="P75" s="23"/>
      <c r="Q75" s="144"/>
      <c r="R75" s="137"/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0</v>
      </c>
      <c r="T75" s="170"/>
      <c r="U75" s="24">
        <v>0</v>
      </c>
      <c r="V75" s="24">
        <v>1</v>
      </c>
      <c r="W75" s="24">
        <v>0</v>
      </c>
      <c r="X75" s="168"/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0</v>
      </c>
      <c r="Z75" s="25"/>
      <c r="AA75" s="169">
        <f>Y75+Y75*VLOOKUP(I75,EXTRAS_ARRAY,2,FALSE)</f>
        <v>0</v>
      </c>
      <c r="AB75" s="23"/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>Error: Effort value is not defined or is invalid.</v>
      </c>
    </row>
    <row r="76" spans="1:30" s="11" customFormat="1" ht="7.5" hidden="1" customHeight="1" outlineLevel="2" x14ac:dyDescent="0.35">
      <c r="A76" s="93" t="s">
        <v>132</v>
      </c>
      <c r="B76" s="18"/>
      <c r="C76" s="78"/>
      <c r="D76" s="78"/>
      <c r="E76" s="78"/>
      <c r="F76" s="78"/>
      <c r="G76" s="10"/>
      <c r="H76" s="10"/>
      <c r="I76" s="10"/>
      <c r="J76" s="10"/>
      <c r="K76" s="10"/>
      <c r="L76" s="10"/>
      <c r="M76" s="287"/>
      <c r="N76" s="10"/>
      <c r="O76" s="10"/>
      <c r="P76" s="10"/>
      <c r="Q76" s="10"/>
      <c r="R76" s="10"/>
      <c r="S76" s="10"/>
      <c r="T76" s="18"/>
      <c r="U76" s="10"/>
      <c r="V76" s="10"/>
      <c r="W76" s="10"/>
      <c r="X76" s="18"/>
      <c r="Y76" s="10"/>
      <c r="Z76" s="10"/>
      <c r="AA76" s="10"/>
      <c r="AB76" s="60"/>
      <c r="AC76" s="60"/>
      <c r="AD76" s="12"/>
    </row>
    <row r="77" spans="1:30" s="17" customFormat="1" ht="15.5" hidden="1" outlineLevel="1" collapsed="1" x14ac:dyDescent="0.35">
      <c r="A77" s="93" t="s">
        <v>100</v>
      </c>
      <c r="B77" s="21"/>
      <c r="C77" s="84"/>
      <c r="D77" s="84"/>
      <c r="E77" s="84"/>
      <c r="F77" s="83"/>
      <c r="G77" s="32"/>
      <c r="H77" s="32"/>
      <c r="I77" s="32"/>
      <c r="J77" s="32"/>
      <c r="K77" s="32"/>
      <c r="L77" s="20">
        <f ca="1">LOOKUP(1000,INDIRECT("L1:"&amp;CELL("address",INDIRECT("R[-1]C",FALSE))))+1</f>
        <v>4</v>
      </c>
      <c r="M77" s="298" t="s">
        <v>466</v>
      </c>
      <c r="N77" s="298"/>
      <c r="O77" s="5"/>
      <c r="P77" s="33"/>
      <c r="Q77" s="33"/>
      <c r="R77" s="33"/>
      <c r="S77" s="33"/>
      <c r="T77" s="167">
        <f>IF($S$6="Exclude", SUMIFS(S78:S87, J78:J87, "&lt;&gt;Yes", G78:G87, "&lt;&gt;Yes"), SUMIFS(S78:S87, J78:J87, "&lt;&gt;Yes"))</f>
        <v>0</v>
      </c>
      <c r="U77" s="33"/>
      <c r="V77" s="33"/>
      <c r="W77" s="33"/>
      <c r="X77" s="34"/>
      <c r="Y77" s="35"/>
      <c r="Z77" s="35"/>
      <c r="AA77" s="35"/>
      <c r="AB77" s="240"/>
      <c r="AC77" s="36"/>
      <c r="AD77" s="26" t="str">
        <f>IF(M77="", "Error: Task name cannot be empty.", "")</f>
        <v/>
      </c>
    </row>
    <row r="78" spans="1:30" s="15" customFormat="1" ht="1.5" hidden="1" customHeight="1" outlineLevel="2" x14ac:dyDescent="0.35">
      <c r="A78" s="93" t="s">
        <v>101</v>
      </c>
      <c r="B78" s="21"/>
      <c r="C78" s="84"/>
      <c r="D78" s="84"/>
      <c r="E78" s="84"/>
      <c r="F78" s="83"/>
      <c r="G78" s="32"/>
      <c r="H78" s="32"/>
      <c r="I78" s="32"/>
      <c r="J78" s="32"/>
      <c r="K78" s="32"/>
      <c r="L78" s="175">
        <f ca="1">L77</f>
        <v>4</v>
      </c>
      <c r="M78" s="176" t="s">
        <v>105</v>
      </c>
      <c r="N78" s="173"/>
      <c r="O78" s="174"/>
      <c r="P78" s="33"/>
      <c r="Q78" s="33"/>
      <c r="R78" s="33"/>
      <c r="S78" s="33"/>
      <c r="T78" s="167"/>
      <c r="U78" s="33"/>
      <c r="V78" s="33"/>
      <c r="W78" s="33"/>
      <c r="X78" s="34"/>
      <c r="Y78" s="35"/>
      <c r="Z78" s="35"/>
      <c r="AA78" s="35"/>
      <c r="AB78" s="36"/>
      <c r="AC78" s="36"/>
      <c r="AD78" s="26"/>
    </row>
    <row r="79" spans="1:30" ht="72.5" hidden="1" outlineLevel="2" x14ac:dyDescent="0.35">
      <c r="A79" s="93" t="s">
        <v>0</v>
      </c>
      <c r="B79" s="21"/>
      <c r="C79" s="85"/>
      <c r="D79" s="85"/>
      <c r="E79" s="85"/>
      <c r="F79" s="86"/>
      <c r="G79" s="22" t="s">
        <v>23</v>
      </c>
      <c r="H79" s="22" t="s">
        <v>23</v>
      </c>
      <c r="I79" s="23" t="s">
        <v>23</v>
      </c>
      <c r="J79" s="22" t="s">
        <v>23</v>
      </c>
      <c r="K79" s="38"/>
      <c r="L79" s="22"/>
      <c r="M79" s="286" t="str">
        <f t="shared" ref="M79:M86" ca="1" si="5">IFERROR(OFFSET(M79,-1,,1,1)+0.1,OFFSET(M79,-1,-1,1,1)&amp;".1")</f>
        <v>4.1</v>
      </c>
      <c r="N79" s="23" t="s">
        <v>477</v>
      </c>
      <c r="O79" s="23"/>
      <c r="P79" s="23"/>
      <c r="Q79" s="144"/>
      <c r="R79" s="137"/>
      <c r="S79" s="169">
        <f t="shared" ref="S79:S86" si="6">CEILING((IF(J79="Yes", 0, IF(H79="-",AA79,AA79+AA79*VLOOKUP(H79,BUFFERS_BY_TYPE,2,FALSE)))) +
   (IF(J79="Yes", 0, IF(H79="-",AA79,AA79+AA79*VLOOKUP(H79,BUFFERS_BY_TYPE,2,FALSE))))*VLOOKUP($S$5, SALES_CALL_SCALE_ARRAY, 2,FALSE),0.25)</f>
        <v>0</v>
      </c>
      <c r="T79" s="170"/>
      <c r="U79" s="24">
        <v>0</v>
      </c>
      <c r="V79" s="24">
        <v>1</v>
      </c>
      <c r="W79" s="24">
        <v>0</v>
      </c>
      <c r="X79" s="168"/>
      <c r="Y79" s="169">
        <f t="shared" ref="Y79:Y86" si="7"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0</v>
      </c>
      <c r="Z79" s="25"/>
      <c r="AA79" s="169">
        <f t="shared" ref="AA79:AA86" si="8">Y79+Y79*VLOOKUP(I79,EXTRAS_ARRAY,2,FALSE)</f>
        <v>0</v>
      </c>
      <c r="AB79" s="23"/>
      <c r="AC79" s="37"/>
      <c r="AD79" s="26" t="str">
        <f t="shared" ref="AD79:AD86" si="9"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>Error: Effort value is not defined or is invalid.</v>
      </c>
    </row>
    <row r="80" spans="1:30" ht="43.5" hidden="1" outlineLevel="2" x14ac:dyDescent="0.35">
      <c r="A80" s="93" t="s">
        <v>0</v>
      </c>
      <c r="B80" s="21"/>
      <c r="C80" s="85"/>
      <c r="D80" s="85"/>
      <c r="E80" s="85"/>
      <c r="F80" s="86"/>
      <c r="G80" s="22" t="s">
        <v>23</v>
      </c>
      <c r="H80" s="22" t="s">
        <v>23</v>
      </c>
      <c r="I80" s="23" t="s">
        <v>23</v>
      </c>
      <c r="J80" s="22" t="s">
        <v>23</v>
      </c>
      <c r="K80" s="38"/>
      <c r="L80" s="22"/>
      <c r="M80" s="286">
        <f t="shared" ca="1" si="5"/>
        <v>4.1999999999999993</v>
      </c>
      <c r="N80" s="23" t="s">
        <v>478</v>
      </c>
      <c r="O80" s="23"/>
      <c r="P80" s="23"/>
      <c r="Q80" s="144"/>
      <c r="R80" s="137"/>
      <c r="S80" s="169">
        <f t="shared" si="6"/>
        <v>0</v>
      </c>
      <c r="T80" s="170"/>
      <c r="U80" s="24">
        <v>0</v>
      </c>
      <c r="V80" s="24">
        <v>1</v>
      </c>
      <c r="W80" s="24">
        <v>0</v>
      </c>
      <c r="X80" s="168"/>
      <c r="Y80" s="169">
        <f t="shared" si="7"/>
        <v>0</v>
      </c>
      <c r="Z80" s="25"/>
      <c r="AA80" s="169">
        <f t="shared" si="8"/>
        <v>0</v>
      </c>
      <c r="AB80" s="23"/>
      <c r="AC80" s="37"/>
      <c r="AD80" s="26" t="str">
        <f t="shared" si="9"/>
        <v>Error: Effort value is not defined or is invalid.</v>
      </c>
    </row>
    <row r="81" spans="1:30" ht="43.5" hidden="1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>
        <f t="shared" ca="1" si="5"/>
        <v>4.2999999999999989</v>
      </c>
      <c r="N81" s="23" t="s">
        <v>479</v>
      </c>
      <c r="O81" s="23"/>
      <c r="P81" s="23"/>
      <c r="Q81" s="144"/>
      <c r="R81" s="137"/>
      <c r="S81" s="169">
        <f t="shared" si="6"/>
        <v>0</v>
      </c>
      <c r="T81" s="170"/>
      <c r="U81" s="24">
        <v>0</v>
      </c>
      <c r="V81" s="24">
        <v>1</v>
      </c>
      <c r="W81" s="24">
        <v>0</v>
      </c>
      <c r="X81" s="168"/>
      <c r="Y81" s="169">
        <f t="shared" si="7"/>
        <v>0</v>
      </c>
      <c r="Z81" s="25"/>
      <c r="AA81" s="169">
        <f t="shared" si="8"/>
        <v>0</v>
      </c>
      <c r="AB81" s="23"/>
      <c r="AC81" s="37"/>
      <c r="AD81" s="26" t="str">
        <f t="shared" si="9"/>
        <v>Error: Effort value is not defined or is invalid.</v>
      </c>
    </row>
    <row r="82" spans="1:30" ht="43.5" hidden="1" outlineLevel="2" x14ac:dyDescent="0.35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t="shared" ca="1" si="5"/>
        <v>4.3999999999999986</v>
      </c>
      <c r="N82" s="23" t="s">
        <v>480</v>
      </c>
      <c r="O82" s="23"/>
      <c r="P82" s="23"/>
      <c r="Q82" s="144"/>
      <c r="R82" s="137"/>
      <c r="S82" s="169">
        <f t="shared" si="6"/>
        <v>0</v>
      </c>
      <c r="T82" s="170"/>
      <c r="U82" s="24">
        <v>0</v>
      </c>
      <c r="V82" s="24">
        <v>1</v>
      </c>
      <c r="W82" s="24">
        <v>0</v>
      </c>
      <c r="X82" s="168"/>
      <c r="Y82" s="169">
        <f t="shared" si="7"/>
        <v>0</v>
      </c>
      <c r="Z82" s="25"/>
      <c r="AA82" s="169">
        <f t="shared" si="8"/>
        <v>0</v>
      </c>
      <c r="AB82" s="23"/>
      <c r="AC82" s="37"/>
      <c r="AD82" s="26" t="str">
        <f t="shared" si="9"/>
        <v>Error: Effort value is not defined or is invalid.</v>
      </c>
    </row>
    <row r="83" spans="1:30" ht="43.5" hidden="1" outlineLevel="2" x14ac:dyDescent="0.35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t="shared" ca="1" si="5"/>
        <v>4.4999999999999982</v>
      </c>
      <c r="N83" s="23" t="s">
        <v>481</v>
      </c>
      <c r="O83" s="23"/>
      <c r="P83" s="23"/>
      <c r="Q83" s="144"/>
      <c r="R83" s="137"/>
      <c r="S83" s="169">
        <f t="shared" si="6"/>
        <v>0</v>
      </c>
      <c r="T83" s="170"/>
      <c r="U83" s="24">
        <v>0</v>
      </c>
      <c r="V83" s="24">
        <v>1</v>
      </c>
      <c r="W83" s="24">
        <v>0</v>
      </c>
      <c r="X83" s="168"/>
      <c r="Y83" s="169">
        <f t="shared" si="7"/>
        <v>0</v>
      </c>
      <c r="Z83" s="25"/>
      <c r="AA83" s="169">
        <f t="shared" si="8"/>
        <v>0</v>
      </c>
      <c r="AB83" s="23"/>
      <c r="AC83" s="37"/>
      <c r="AD83" s="26" t="str">
        <f t="shared" si="9"/>
        <v>Error: Effort value is not defined or is invalid.</v>
      </c>
    </row>
    <row r="84" spans="1:30" ht="43.5" hidden="1" outlineLevel="2" x14ac:dyDescent="0.35">
      <c r="A84" s="93" t="s">
        <v>0</v>
      </c>
      <c r="B84" s="21"/>
      <c r="C84" s="85"/>
      <c r="D84" s="85"/>
      <c r="E84" s="85"/>
      <c r="F84" s="86"/>
      <c r="G84" s="22" t="s">
        <v>23</v>
      </c>
      <c r="H84" s="22" t="s">
        <v>23</v>
      </c>
      <c r="I84" s="23" t="s">
        <v>23</v>
      </c>
      <c r="J84" s="22" t="s">
        <v>23</v>
      </c>
      <c r="K84" s="38"/>
      <c r="L84" s="22"/>
      <c r="M84" s="286">
        <f t="shared" ca="1" si="5"/>
        <v>4.5999999999999979</v>
      </c>
      <c r="N84" s="23" t="s">
        <v>482</v>
      </c>
      <c r="O84" s="23"/>
      <c r="P84" s="23"/>
      <c r="Q84" s="144"/>
      <c r="R84" s="137"/>
      <c r="S84" s="169">
        <f t="shared" si="6"/>
        <v>0</v>
      </c>
      <c r="T84" s="170"/>
      <c r="U84" s="24">
        <v>0</v>
      </c>
      <c r="V84" s="24">
        <v>1</v>
      </c>
      <c r="W84" s="24">
        <v>0</v>
      </c>
      <c r="X84" s="168"/>
      <c r="Y84" s="169">
        <f t="shared" si="7"/>
        <v>0</v>
      </c>
      <c r="Z84" s="25"/>
      <c r="AA84" s="169">
        <f t="shared" si="8"/>
        <v>0</v>
      </c>
      <c r="AB84" s="23"/>
      <c r="AC84" s="37"/>
      <c r="AD84" s="26" t="str">
        <f t="shared" si="9"/>
        <v>Error: Effort value is not defined or is invalid.</v>
      </c>
    </row>
    <row r="85" spans="1:30" ht="43.5" hidden="1" outlineLevel="2" x14ac:dyDescent="0.35">
      <c r="A85" s="93" t="s">
        <v>0</v>
      </c>
      <c r="B85" s="21"/>
      <c r="C85" s="85"/>
      <c r="D85" s="85"/>
      <c r="E85" s="85"/>
      <c r="F85" s="86"/>
      <c r="G85" s="22" t="s">
        <v>23</v>
      </c>
      <c r="H85" s="22" t="s">
        <v>23</v>
      </c>
      <c r="I85" s="23" t="s">
        <v>23</v>
      </c>
      <c r="J85" s="22" t="s">
        <v>23</v>
      </c>
      <c r="K85" s="38"/>
      <c r="L85" s="22"/>
      <c r="M85" s="286">
        <f t="shared" ca="1" si="5"/>
        <v>4.6999999999999975</v>
      </c>
      <c r="N85" s="23" t="s">
        <v>483</v>
      </c>
      <c r="O85" s="23"/>
      <c r="P85" s="23"/>
      <c r="Q85" s="144"/>
      <c r="R85" s="137"/>
      <c r="S85" s="169">
        <f t="shared" si="6"/>
        <v>0</v>
      </c>
      <c r="T85" s="170"/>
      <c r="U85" s="24">
        <v>0</v>
      </c>
      <c r="V85" s="24">
        <v>1</v>
      </c>
      <c r="W85" s="24">
        <v>0</v>
      </c>
      <c r="X85" s="168"/>
      <c r="Y85" s="169">
        <f t="shared" si="7"/>
        <v>0</v>
      </c>
      <c r="Z85" s="25"/>
      <c r="AA85" s="169">
        <f t="shared" si="8"/>
        <v>0</v>
      </c>
      <c r="AB85" s="23"/>
      <c r="AC85" s="37"/>
      <c r="AD85" s="26" t="str">
        <f t="shared" si="9"/>
        <v>Error: Effort value is not defined or is invalid.</v>
      </c>
    </row>
    <row r="86" spans="1:30" ht="43.5" hidden="1" outlineLevel="2" x14ac:dyDescent="0.35">
      <c r="A86" s="93" t="s">
        <v>0</v>
      </c>
      <c r="B86" s="21"/>
      <c r="C86" s="85"/>
      <c r="D86" s="85"/>
      <c r="E86" s="85"/>
      <c r="F86" s="86"/>
      <c r="G86" s="22" t="s">
        <v>23</v>
      </c>
      <c r="H86" s="22" t="s">
        <v>23</v>
      </c>
      <c r="I86" s="23" t="s">
        <v>23</v>
      </c>
      <c r="J86" s="22" t="s">
        <v>23</v>
      </c>
      <c r="K86" s="38"/>
      <c r="L86" s="22"/>
      <c r="M86" s="286">
        <f t="shared" ca="1" si="5"/>
        <v>4.7999999999999972</v>
      </c>
      <c r="N86" s="23" t="s">
        <v>484</v>
      </c>
      <c r="O86" s="23"/>
      <c r="P86" s="23"/>
      <c r="Q86" s="144"/>
      <c r="R86" s="137"/>
      <c r="S86" s="169">
        <f t="shared" si="6"/>
        <v>0</v>
      </c>
      <c r="T86" s="170"/>
      <c r="U86" s="24">
        <v>0</v>
      </c>
      <c r="V86" s="24">
        <v>1</v>
      </c>
      <c r="W86" s="24">
        <v>0</v>
      </c>
      <c r="X86" s="168"/>
      <c r="Y86" s="169">
        <f t="shared" si="7"/>
        <v>0</v>
      </c>
      <c r="Z86" s="25"/>
      <c r="AA86" s="169">
        <f t="shared" si="8"/>
        <v>0</v>
      </c>
      <c r="AB86" s="23"/>
      <c r="AC86" s="37"/>
      <c r="AD86" s="26" t="str">
        <f t="shared" si="9"/>
        <v>Error: Effort value is not defined or is invalid.</v>
      </c>
    </row>
    <row r="87" spans="1:30" s="11" customFormat="1" ht="7.5" hidden="1" customHeight="1" outlineLevel="2" x14ac:dyDescent="0.35">
      <c r="A87" s="93" t="s">
        <v>132</v>
      </c>
      <c r="B87" s="18"/>
      <c r="C87" s="78"/>
      <c r="D87" s="78"/>
      <c r="E87" s="78"/>
      <c r="F87" s="78"/>
      <c r="G87" s="10"/>
      <c r="H87" s="10"/>
      <c r="I87" s="10"/>
      <c r="J87" s="10"/>
      <c r="K87" s="10"/>
      <c r="L87" s="10"/>
      <c r="M87" s="287"/>
      <c r="N87" s="10"/>
      <c r="O87" s="10"/>
      <c r="P87" s="10"/>
      <c r="Q87" s="10"/>
      <c r="R87" s="10"/>
      <c r="S87" s="10"/>
      <c r="T87" s="18"/>
      <c r="U87" s="10"/>
      <c r="V87" s="10"/>
      <c r="W87" s="10"/>
      <c r="X87" s="18"/>
      <c r="Y87" s="10"/>
      <c r="Z87" s="10"/>
      <c r="AA87" s="10"/>
      <c r="AB87" s="60"/>
      <c r="AC87" s="60"/>
      <c r="AD87" s="12"/>
    </row>
    <row r="88" spans="1:30" s="11" customFormat="1" ht="3" hidden="1" customHeight="1" outlineLevel="1" x14ac:dyDescent="0.35">
      <c r="A88" s="93" t="s">
        <v>102</v>
      </c>
      <c r="B88" s="10"/>
      <c r="C88" s="78"/>
      <c r="D88" s="78"/>
      <c r="E88" s="78"/>
      <c r="F88" s="78"/>
      <c r="G88" s="59"/>
      <c r="H88" s="59"/>
      <c r="I88" s="59"/>
      <c r="J88" s="59"/>
      <c r="K88" s="59"/>
      <c r="L88" s="61"/>
      <c r="M88" s="288"/>
      <c r="N88" s="62"/>
      <c r="O88" s="62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2"/>
      <c r="AC88" s="62"/>
      <c r="AD88" s="12"/>
    </row>
    <row r="89" spans="1:30" s="17" customFormat="1" ht="18.5" collapsed="1" x14ac:dyDescent="0.35">
      <c r="A89" s="93" t="s">
        <v>98</v>
      </c>
      <c r="B89" s="14"/>
      <c r="C89" s="79"/>
      <c r="D89" s="79"/>
      <c r="E89" s="79"/>
      <c r="F89" s="78"/>
      <c r="G89" s="55"/>
      <c r="H89" s="55"/>
      <c r="I89" s="55"/>
      <c r="J89" s="55"/>
      <c r="K89" s="55"/>
      <c r="L89" s="55" t="s">
        <v>69</v>
      </c>
      <c r="M89" s="284" t="s">
        <v>73</v>
      </c>
      <c r="N89" s="56"/>
      <c r="O89" s="57"/>
      <c r="P89" s="58"/>
      <c r="Q89" s="58"/>
      <c r="R89" s="58"/>
      <c r="S89" s="299">
        <f>CEILING(SUMIF(J90:J128, "&lt;&gt;Yes", T90:T128),1)</f>
        <v>0</v>
      </c>
      <c r="T89" s="299"/>
      <c r="U89" s="58"/>
      <c r="V89" s="58"/>
      <c r="W89" s="58"/>
      <c r="X89" s="181"/>
      <c r="Y89" s="181"/>
      <c r="Z89" s="58"/>
      <c r="AA89" s="181"/>
      <c r="AB89" s="58"/>
      <c r="AC89" s="58"/>
      <c r="AD89" s="16"/>
    </row>
    <row r="90" spans="1:30" s="11" customFormat="1" ht="3" hidden="1" customHeight="1" outlineLevel="1" x14ac:dyDescent="0.35">
      <c r="A90" s="93" t="s">
        <v>99</v>
      </c>
      <c r="B90" s="18"/>
      <c r="C90" s="78"/>
      <c r="D90" s="78"/>
      <c r="E90" s="78"/>
      <c r="F90" s="78"/>
      <c r="G90" s="28"/>
      <c r="H90" s="28"/>
      <c r="I90" s="28"/>
      <c r="J90" s="28"/>
      <c r="K90" s="28"/>
      <c r="L90" s="29">
        <v>0</v>
      </c>
      <c r="M90" s="285"/>
      <c r="N90" s="28"/>
      <c r="O90" s="28"/>
      <c r="P90" s="28"/>
      <c r="Q90" s="28"/>
      <c r="R90" s="28"/>
      <c r="S90" s="28"/>
      <c r="T90" s="30"/>
      <c r="U90" s="28"/>
      <c r="V90" s="28"/>
      <c r="W90" s="28"/>
      <c r="X90" s="30"/>
      <c r="Y90" s="28"/>
      <c r="Z90" s="28"/>
      <c r="AA90" s="28"/>
      <c r="AB90" s="31"/>
      <c r="AC90" s="31"/>
      <c r="AD90" s="12"/>
    </row>
    <row r="91" spans="1:30" s="17" customFormat="1" ht="15.5" hidden="1" outlineLevel="1" collapsed="1" x14ac:dyDescent="0.35">
      <c r="A91" s="93" t="s">
        <v>100</v>
      </c>
      <c r="B91" s="21"/>
      <c r="C91" s="84"/>
      <c r="D91" s="84"/>
      <c r="E91" s="84"/>
      <c r="F91" s="83"/>
      <c r="G91" s="32"/>
      <c r="H91" s="32"/>
      <c r="I91" s="32"/>
      <c r="J91" s="32"/>
      <c r="K91" s="32"/>
      <c r="L91" s="20">
        <f ca="1">LOOKUP(1000,INDIRECT("L1:"&amp;CELL("address",INDIRECT("R[-1]C",FALSE))))+1</f>
        <v>1</v>
      </c>
      <c r="M91" s="298" t="s">
        <v>448</v>
      </c>
      <c r="N91" s="298"/>
      <c r="O91" s="5"/>
      <c r="P91" s="33"/>
      <c r="Q91" s="33"/>
      <c r="R91" s="33"/>
      <c r="S91" s="33"/>
      <c r="T91" s="167">
        <f>IF($S$6="Exclude", SUMIFS(S92:S97, J92:J97, "&lt;&gt;Yes", G92:G97, "&lt;&gt;Yes"), SUMIFS(S92:S97, J92:J97, "&lt;&gt;Yes"))</f>
        <v>0</v>
      </c>
      <c r="U91" s="33"/>
      <c r="V91" s="33"/>
      <c r="W91" s="33"/>
      <c r="X91" s="34"/>
      <c r="Y91" s="35"/>
      <c r="Z91" s="35"/>
      <c r="AA91" s="35"/>
      <c r="AB91" s="240"/>
      <c r="AC91" s="36"/>
      <c r="AD91" s="26" t="str">
        <f>IF(M91="", "Error: Task name cannot be empty.", "")</f>
        <v/>
      </c>
    </row>
    <row r="92" spans="1:30" s="15" customFormat="1" ht="1.5" hidden="1" customHeight="1" outlineLevel="2" x14ac:dyDescent="0.35">
      <c r="A92" s="93" t="s">
        <v>101</v>
      </c>
      <c r="B92" s="21"/>
      <c r="C92" s="84"/>
      <c r="D92" s="84"/>
      <c r="E92" s="84"/>
      <c r="F92" s="83"/>
      <c r="G92" s="32"/>
      <c r="H92" s="32"/>
      <c r="I92" s="32"/>
      <c r="J92" s="32"/>
      <c r="K92" s="32"/>
      <c r="L92" s="175">
        <f ca="1">L91</f>
        <v>1</v>
      </c>
      <c r="M92" s="176" t="s">
        <v>105</v>
      </c>
      <c r="N92" s="173"/>
      <c r="O92" s="174"/>
      <c r="P92" s="33"/>
      <c r="Q92" s="33"/>
      <c r="R92" s="33"/>
      <c r="S92" s="33"/>
      <c r="T92" s="167"/>
      <c r="U92" s="33"/>
      <c r="V92" s="33"/>
      <c r="W92" s="33"/>
      <c r="X92" s="34"/>
      <c r="Y92" s="35"/>
      <c r="Z92" s="35"/>
      <c r="AA92" s="35"/>
      <c r="AB92" s="36"/>
      <c r="AC92" s="36"/>
      <c r="AD92" s="26"/>
    </row>
    <row r="93" spans="1:30" ht="43.5" hidden="1" outlineLevel="2" x14ac:dyDescent="0.35">
      <c r="A93" s="93" t="s">
        <v>0</v>
      </c>
      <c r="B93" s="21"/>
      <c r="C93" s="85"/>
      <c r="D93" s="85"/>
      <c r="E93" s="85"/>
      <c r="F93" s="86"/>
      <c r="G93" s="22" t="s">
        <v>23</v>
      </c>
      <c r="H93" s="22" t="s">
        <v>23</v>
      </c>
      <c r="I93" s="23" t="s">
        <v>23</v>
      </c>
      <c r="J93" s="22" t="s">
        <v>23</v>
      </c>
      <c r="K93" s="38"/>
      <c r="L93" s="22"/>
      <c r="M93" s="286" t="str">
        <f ca="1">IFERROR(OFFSET(M93,-1,,1,1)+0.1,OFFSET(M93,-1,-1,1,1)&amp;".1")</f>
        <v>1.1</v>
      </c>
      <c r="N93" s="23" t="s">
        <v>492</v>
      </c>
      <c r="O93" s="23"/>
      <c r="P93" s="23"/>
      <c r="Q93" s="144"/>
      <c r="R93" s="137"/>
      <c r="S93" s="169">
        <f>CEILING((IF(J93="Yes", 0, IF(H93="-",AA93,AA93+AA93*VLOOKUP(H93,BUFFERS_BY_TYPE,2,FALSE)))) +
   (IF(J93="Yes", 0, IF(H93="-",AA93,AA93+AA93*VLOOKUP(H93,BUFFERS_BY_TYPE,2,FALSE))))*VLOOKUP($S$5, SALES_CALL_SCALE_ARRAY, 2,FALSE),0.25)</f>
        <v>0</v>
      </c>
      <c r="T93" s="170"/>
      <c r="U93" s="24">
        <v>0</v>
      </c>
      <c r="V93" s="24">
        <v>1</v>
      </c>
      <c r="W93" s="24">
        <v>0</v>
      </c>
      <c r="X93" s="168"/>
      <c r="Y93" s="169">
        <f>CEILING((IF(P93=AS_DEV_EFFORT, DEV_EFFORT*Q93%,
                           IF(P93=AS_DURATION_EFFORT, (MANUAL_DURATION*5)*Q93%,
                                    (IF(Q93&lt;=1,X93,
                                          IF(SUM(U93:W93)=0,(Q93*X93),
                                               (((Q93*U93)*(X93+(X93*EXTRA_FOR_H)))+
                                               ((Q93*V93)*X93)+
                                               ((Q93*W93)*(X93-(X93*LESS_FOR_L)))
                                    )*IF(R93=0,1,R93))))))+Z93), 0.25)</f>
        <v>0</v>
      </c>
      <c r="Z93" s="25"/>
      <c r="AA93" s="169">
        <f>Y93+Y93*VLOOKUP(I93,EXTRAS_ARRAY,2,FALSE)</f>
        <v>0</v>
      </c>
      <c r="AB93" s="23"/>
      <c r="AC93" s="37"/>
      <c r="AD93" s="26" t="str">
        <f>IF(J93&lt;&gt;"Yes",
IF(S93&lt;=0,"Error: Effort value is not defined or is invalid.",
IF(AND(SUM(U93:W93)&gt;0,SUM(U93:W93)&lt;&gt;1),"Error: Complexity % distribution should sum to 100%.",
IF(AND(P93=AS_DEV_EFFORT,X93&lt;&gt;0),"Error: PDs should not be defined when defining as dev effort %.",
IF(AND(P93=AS_DURATION_EFFORT,X93&lt;&gt;0),"Error: PDs should not be defined when defining as duration effort %.","")))))</f>
        <v>Error: Effort value is not defined or is invalid.</v>
      </c>
    </row>
    <row r="94" spans="1:30" ht="43.5" hidden="1" outlineLevel="2" x14ac:dyDescent="0.35">
      <c r="A94" s="93" t="s">
        <v>0</v>
      </c>
      <c r="B94" s="21"/>
      <c r="C94" s="85"/>
      <c r="D94" s="85"/>
      <c r="E94" s="85"/>
      <c r="F94" s="86"/>
      <c r="G94" s="22" t="s">
        <v>23</v>
      </c>
      <c r="H94" s="22" t="s">
        <v>23</v>
      </c>
      <c r="I94" s="23" t="s">
        <v>23</v>
      </c>
      <c r="J94" s="22" t="s">
        <v>23</v>
      </c>
      <c r="K94" s="38"/>
      <c r="L94" s="22"/>
      <c r="M94" s="286">
        <f ca="1">IFERROR(OFFSET(M94,-1,,1,1)+0.1,OFFSET(M94,-1,-1,1,1)&amp;".1")</f>
        <v>1.2000000000000002</v>
      </c>
      <c r="N94" s="23" t="s">
        <v>493</v>
      </c>
      <c r="O94" s="23"/>
      <c r="P94" s="23"/>
      <c r="Q94" s="144"/>
      <c r="R94" s="137"/>
      <c r="S94" s="169">
        <f>CEILING((IF(J94="Yes", 0, IF(H94="-",AA94,AA94+AA94*VLOOKUP(H94,BUFFERS_BY_TYPE,2,FALSE)))) +
   (IF(J94="Yes", 0, IF(H94="-",AA94,AA94+AA94*VLOOKUP(H94,BUFFERS_BY_TYPE,2,FALSE))))*VLOOKUP($S$5, SALES_CALL_SCALE_ARRAY, 2,FALSE),0.25)</f>
        <v>0</v>
      </c>
      <c r="T94" s="170"/>
      <c r="U94" s="24">
        <v>0</v>
      </c>
      <c r="V94" s="24">
        <v>1</v>
      </c>
      <c r="W94" s="24">
        <v>0</v>
      </c>
      <c r="X94" s="168"/>
      <c r="Y94" s="169">
        <f>CEILING((IF(P94=AS_DEV_EFFORT, DEV_EFFORT*Q94%,
                           IF(P94=AS_DURATION_EFFORT, (MANUAL_DURATION*5)*Q94%,
                                    (IF(Q94&lt;=1,X94,
                                          IF(SUM(U94:W94)=0,(Q94*X94),
                                               (((Q94*U94)*(X94+(X94*EXTRA_FOR_H)))+
                                               ((Q94*V94)*X94)+
                                               ((Q94*W94)*(X94-(X94*LESS_FOR_L)))
                                    )*IF(R94=0,1,R94))))))+Z94), 0.25)</f>
        <v>0</v>
      </c>
      <c r="Z94" s="25"/>
      <c r="AA94" s="169">
        <f>Y94+Y94*VLOOKUP(I94,EXTRAS_ARRAY,2,FALSE)</f>
        <v>0</v>
      </c>
      <c r="AB94" s="23"/>
      <c r="AC94" s="37"/>
      <c r="AD94" s="26" t="str">
        <f>IF(J94&lt;&gt;"Yes",
IF(S94&lt;=0,"Error: Effort value is not defined or is invalid.",
IF(AND(SUM(U94:W94)&gt;0,SUM(U94:W94)&lt;&gt;1),"Error: Complexity % distribution should sum to 100%.",
IF(AND(P94=AS_DEV_EFFORT,X94&lt;&gt;0),"Error: PDs should not be defined when defining as dev effort %.",
IF(AND(P94=AS_DURATION_EFFORT,X94&lt;&gt;0),"Error: PDs should not be defined when defining as duration effort %.","")))))</f>
        <v>Error: Effort value is not defined or is invalid.</v>
      </c>
    </row>
    <row r="95" spans="1:30" ht="43.5" hidden="1" outlineLevel="2" x14ac:dyDescent="0.35">
      <c r="A95" s="93" t="s">
        <v>0</v>
      </c>
      <c r="B95" s="21"/>
      <c r="C95" s="85"/>
      <c r="D95" s="85"/>
      <c r="E95" s="85"/>
      <c r="F95" s="86"/>
      <c r="G95" s="22" t="s">
        <v>23</v>
      </c>
      <c r="H95" s="22" t="s">
        <v>23</v>
      </c>
      <c r="I95" s="23" t="s">
        <v>23</v>
      </c>
      <c r="J95" s="22" t="s">
        <v>23</v>
      </c>
      <c r="K95" s="38"/>
      <c r="L95" s="22"/>
      <c r="M95" s="286">
        <f ca="1">IFERROR(OFFSET(M95,-1,,1,1)+0.1,OFFSET(M95,-1,-1,1,1)&amp;".1")</f>
        <v>1.3000000000000003</v>
      </c>
      <c r="N95" s="23" t="s">
        <v>494</v>
      </c>
      <c r="O95" s="23"/>
      <c r="P95" s="23"/>
      <c r="Q95" s="144"/>
      <c r="R95" s="137"/>
      <c r="S95" s="169">
        <f>CEILING((IF(J95="Yes", 0, IF(H95="-",AA95,AA95+AA95*VLOOKUP(H95,BUFFERS_BY_TYPE,2,FALSE)))) +
   (IF(J95="Yes", 0, IF(H95="-",AA95,AA95+AA95*VLOOKUP(H95,BUFFERS_BY_TYPE,2,FALSE))))*VLOOKUP($S$5, SALES_CALL_SCALE_ARRAY, 2,FALSE),0.25)</f>
        <v>0</v>
      </c>
      <c r="T95" s="170"/>
      <c r="U95" s="24">
        <v>0</v>
      </c>
      <c r="V95" s="24">
        <v>1</v>
      </c>
      <c r="W95" s="24">
        <v>0</v>
      </c>
      <c r="X95" s="168"/>
      <c r="Y95" s="169">
        <f>CEILING((IF(P95=AS_DEV_EFFORT, DEV_EFFORT*Q95%,
                           IF(P95=AS_DURATION_EFFORT, (MANUAL_DURATION*5)*Q95%,
                                    (IF(Q95&lt;=1,X95,
                                          IF(SUM(U95:W95)=0,(Q95*X95),
                                               (((Q95*U95)*(X95+(X95*EXTRA_FOR_H)))+
                                               ((Q95*V95)*X95)+
                                               ((Q95*W95)*(X95-(X95*LESS_FOR_L)))
                                    )*IF(R95=0,1,R95))))))+Z95), 0.25)</f>
        <v>0</v>
      </c>
      <c r="Z95" s="25"/>
      <c r="AA95" s="169">
        <f>Y95+Y95*VLOOKUP(I95,EXTRAS_ARRAY,2,FALSE)</f>
        <v>0</v>
      </c>
      <c r="AB95" s="23"/>
      <c r="AC95" s="37"/>
      <c r="AD95" s="26" t="str">
        <f>IF(J95&lt;&gt;"Yes",
IF(S95&lt;=0,"Error: Effort value is not defined or is invalid.",
IF(AND(SUM(U95:W95)&gt;0,SUM(U95:W95)&lt;&gt;1),"Error: Complexity % distribution should sum to 100%.",
IF(AND(P95=AS_DEV_EFFORT,X95&lt;&gt;0),"Error: PDs should not be defined when defining as dev effort %.",
IF(AND(P95=AS_DURATION_EFFORT,X95&lt;&gt;0),"Error: PDs should not be defined when defining as duration effort %.","")))))</f>
        <v>Error: Effort value is not defined or is invalid.</v>
      </c>
    </row>
    <row r="96" spans="1:30" ht="43.5" hidden="1" outlineLevel="2" x14ac:dyDescent="0.35">
      <c r="A96" s="93" t="s">
        <v>0</v>
      </c>
      <c r="B96" s="21"/>
      <c r="C96" s="85"/>
      <c r="D96" s="85"/>
      <c r="E96" s="85"/>
      <c r="F96" s="86"/>
      <c r="G96" s="22" t="s">
        <v>23</v>
      </c>
      <c r="H96" s="22" t="s">
        <v>23</v>
      </c>
      <c r="I96" s="23" t="s">
        <v>23</v>
      </c>
      <c r="J96" s="22" t="s">
        <v>23</v>
      </c>
      <c r="K96" s="38"/>
      <c r="L96" s="22"/>
      <c r="M96" s="286">
        <f ca="1">IFERROR(OFFSET(M96,-1,,1,1)+0.1,OFFSET(M96,-1,-1,1,1)&amp;".1")</f>
        <v>1.4000000000000004</v>
      </c>
      <c r="N96" s="23" t="s">
        <v>495</v>
      </c>
      <c r="O96" s="23"/>
      <c r="P96" s="23"/>
      <c r="Q96" s="144"/>
      <c r="R96" s="137"/>
      <c r="S96" s="169">
        <f>CEILING((IF(J96="Yes", 0, IF(H96="-",AA96,AA96+AA96*VLOOKUP(H96,BUFFERS_BY_TYPE,2,FALSE)))) +
   (IF(J96="Yes", 0, IF(H96="-",AA96,AA96+AA96*VLOOKUP(H96,BUFFERS_BY_TYPE,2,FALSE))))*VLOOKUP($S$5, SALES_CALL_SCALE_ARRAY, 2,FALSE),0.25)</f>
        <v>0</v>
      </c>
      <c r="T96" s="170"/>
      <c r="U96" s="24">
        <v>0</v>
      </c>
      <c r="V96" s="24">
        <v>1</v>
      </c>
      <c r="W96" s="24">
        <v>0</v>
      </c>
      <c r="X96" s="168"/>
      <c r="Y96" s="169">
        <f>CEILING((IF(P96=AS_DEV_EFFORT, DEV_EFFORT*Q96%,
                           IF(P96=AS_DURATION_EFFORT, (MANUAL_DURATION*5)*Q96%,
                                    (IF(Q96&lt;=1,X96,
                                          IF(SUM(U96:W96)=0,(Q96*X96),
                                               (((Q96*U96)*(X96+(X96*EXTRA_FOR_H)))+
                                               ((Q96*V96)*X96)+
                                               ((Q96*W96)*(X96-(X96*LESS_FOR_L)))
                                    )*IF(R96=0,1,R96))))))+Z96), 0.25)</f>
        <v>0</v>
      </c>
      <c r="Z96" s="25"/>
      <c r="AA96" s="169">
        <f>Y96+Y96*VLOOKUP(I96,EXTRAS_ARRAY,2,FALSE)</f>
        <v>0</v>
      </c>
      <c r="AB96" s="23"/>
      <c r="AC96" s="37"/>
      <c r="AD96" s="26" t="str">
        <f>IF(J96&lt;&gt;"Yes",
IF(S96&lt;=0,"Error: Effort value is not defined or is invalid.",
IF(AND(SUM(U96:W96)&gt;0,SUM(U96:W96)&lt;&gt;1),"Error: Complexity % distribution should sum to 100%.",
IF(AND(P96=AS_DEV_EFFORT,X96&lt;&gt;0),"Error: PDs should not be defined when defining as dev effort %.",
IF(AND(P96=AS_DURATION_EFFORT,X96&lt;&gt;0),"Error: PDs should not be defined when defining as duration effort %.","")))))</f>
        <v>Error: Effort value is not defined or is invalid.</v>
      </c>
    </row>
    <row r="97" spans="1:30" s="11" customFormat="1" ht="7.5" hidden="1" customHeight="1" outlineLevel="2" x14ac:dyDescent="0.35">
      <c r="A97" s="93" t="s">
        <v>132</v>
      </c>
      <c r="B97" s="18"/>
      <c r="C97" s="78"/>
      <c r="D97" s="78"/>
      <c r="E97" s="78"/>
      <c r="F97" s="78"/>
      <c r="G97" s="10"/>
      <c r="H97" s="10"/>
      <c r="I97" s="10"/>
      <c r="J97" s="10"/>
      <c r="K97" s="10"/>
      <c r="L97" s="10"/>
      <c r="M97" s="287"/>
      <c r="N97" s="10"/>
      <c r="O97" s="10"/>
      <c r="P97" s="10"/>
      <c r="Q97" s="10"/>
      <c r="R97" s="10"/>
      <c r="S97" s="10"/>
      <c r="T97" s="18"/>
      <c r="U97" s="10"/>
      <c r="V97" s="10"/>
      <c r="W97" s="10"/>
      <c r="X97" s="18"/>
      <c r="Y97" s="10"/>
      <c r="Z97" s="10"/>
      <c r="AA97" s="10"/>
      <c r="AB97" s="60"/>
      <c r="AC97" s="60"/>
      <c r="AD97" s="12"/>
    </row>
    <row r="98" spans="1:30" s="17" customFormat="1" ht="15.5" hidden="1" outlineLevel="1" collapsed="1" x14ac:dyDescent="0.35">
      <c r="A98" s="93" t="s">
        <v>100</v>
      </c>
      <c r="B98" s="21"/>
      <c r="C98" s="84"/>
      <c r="D98" s="84"/>
      <c r="E98" s="84"/>
      <c r="F98" s="83"/>
      <c r="G98" s="32"/>
      <c r="H98" s="32"/>
      <c r="I98" s="32"/>
      <c r="J98" s="32"/>
      <c r="K98" s="32"/>
      <c r="L98" s="20">
        <f ca="1">LOOKUP(1000,INDIRECT("L1:"&amp;CELL("address",INDIRECT("R[-1]C",FALSE))))+1</f>
        <v>2</v>
      </c>
      <c r="M98" s="298" t="s">
        <v>449</v>
      </c>
      <c r="N98" s="298"/>
      <c r="O98" s="5"/>
      <c r="P98" s="33"/>
      <c r="Q98" s="33"/>
      <c r="R98" s="33"/>
      <c r="S98" s="33"/>
      <c r="T98" s="167">
        <f>IF($S$6="Exclude", SUMIFS(S99:S105, J99:J105, "&lt;&gt;Yes", G99:G105, "&lt;&gt;Yes"), SUMIFS(S99:S105, J99:J105, "&lt;&gt;Yes"))</f>
        <v>0</v>
      </c>
      <c r="U98" s="33"/>
      <c r="V98" s="33"/>
      <c r="W98" s="33"/>
      <c r="X98" s="34"/>
      <c r="Y98" s="35"/>
      <c r="Z98" s="35"/>
      <c r="AA98" s="35"/>
      <c r="AB98" s="240"/>
      <c r="AC98" s="36"/>
      <c r="AD98" s="26" t="str">
        <f>IF(M98="", "Error: Task name cannot be empty.", "")</f>
        <v/>
      </c>
    </row>
    <row r="99" spans="1:30" s="15" customFormat="1" ht="1.5" hidden="1" customHeight="1" outlineLevel="2" x14ac:dyDescent="0.35">
      <c r="A99" s="93" t="s">
        <v>101</v>
      </c>
      <c r="B99" s="21"/>
      <c r="C99" s="84"/>
      <c r="D99" s="84"/>
      <c r="E99" s="84"/>
      <c r="F99" s="83"/>
      <c r="G99" s="32"/>
      <c r="H99" s="32"/>
      <c r="I99" s="32"/>
      <c r="J99" s="32"/>
      <c r="K99" s="32"/>
      <c r="L99" s="175">
        <f ca="1">L98</f>
        <v>2</v>
      </c>
      <c r="M99" s="176" t="s">
        <v>105</v>
      </c>
      <c r="N99" s="173"/>
      <c r="O99" s="174"/>
      <c r="P99" s="33"/>
      <c r="Q99" s="33"/>
      <c r="R99" s="33"/>
      <c r="S99" s="33"/>
      <c r="T99" s="167"/>
      <c r="U99" s="33"/>
      <c r="V99" s="33"/>
      <c r="W99" s="33"/>
      <c r="X99" s="34"/>
      <c r="Y99" s="35"/>
      <c r="Z99" s="35"/>
      <c r="AA99" s="35"/>
      <c r="AB99" s="36"/>
      <c r="AC99" s="36"/>
      <c r="AD99" s="26"/>
    </row>
    <row r="100" spans="1:30" ht="43.5" hidden="1" outlineLevel="2" x14ac:dyDescent="0.35">
      <c r="A100" s="93" t="s">
        <v>0</v>
      </c>
      <c r="B100" s="21"/>
      <c r="C100" s="85"/>
      <c r="D100" s="85"/>
      <c r="E100" s="85"/>
      <c r="F100" s="86"/>
      <c r="G100" s="22" t="s">
        <v>23</v>
      </c>
      <c r="H100" s="22" t="s">
        <v>23</v>
      </c>
      <c r="I100" s="23" t="s">
        <v>23</v>
      </c>
      <c r="J100" s="22" t="s">
        <v>23</v>
      </c>
      <c r="K100" s="38"/>
      <c r="L100" s="22"/>
      <c r="M100" s="286" t="str">
        <f ca="1">IFERROR(OFFSET(M100,-1,,1,1)+0.1,OFFSET(M100,-1,-1,1,1)&amp;".1")</f>
        <v>2.1</v>
      </c>
      <c r="N100" s="23" t="s">
        <v>496</v>
      </c>
      <c r="O100" s="23"/>
      <c r="P100" s="23"/>
      <c r="Q100" s="144"/>
      <c r="R100" s="137"/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>0</v>
      </c>
      <c r="T100" s="170"/>
      <c r="U100" s="24">
        <v>0</v>
      </c>
      <c r="V100" s="24">
        <v>1</v>
      </c>
      <c r="W100" s="24">
        <v>0</v>
      </c>
      <c r="X100" s="168"/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0</v>
      </c>
      <c r="Z100" s="25"/>
      <c r="AA100" s="169">
        <f>Y100+Y100*VLOOKUP(I100,EXTRAS_ARRAY,2,FALSE)</f>
        <v>0</v>
      </c>
      <c r="AB100" s="23"/>
      <c r="AC100" s="37"/>
      <c r="AD100" s="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>Error: Effort value is not defined or is invalid.</v>
      </c>
    </row>
    <row r="101" spans="1:30" ht="43.5" hidden="1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>
        <f ca="1">IFERROR(OFFSET(M101,-1,,1,1)+0.1,OFFSET(M101,-1,-1,1,1)&amp;".1")</f>
        <v>2.2000000000000002</v>
      </c>
      <c r="N101" s="23" t="s">
        <v>497</v>
      </c>
      <c r="O101" s="23"/>
      <c r="P101" s="23"/>
      <c r="Q101" s="144"/>
      <c r="R101" s="137"/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0</v>
      </c>
      <c r="T101" s="170"/>
      <c r="U101" s="24">
        <v>0</v>
      </c>
      <c r="V101" s="24">
        <v>1</v>
      </c>
      <c r="W101" s="24">
        <v>0</v>
      </c>
      <c r="X101" s="168"/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0</v>
      </c>
      <c r="Z101" s="25"/>
      <c r="AA101" s="169">
        <f>Y101+Y101*VLOOKUP(I101,EXTRAS_ARRAY,2,FALSE)</f>
        <v>0</v>
      </c>
      <c r="AB101" s="23"/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>Error: Effort value is not defined or is invalid.</v>
      </c>
    </row>
    <row r="102" spans="1:30" ht="43.5" hidden="1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2.3000000000000003</v>
      </c>
      <c r="N102" s="23" t="s">
        <v>498</v>
      </c>
      <c r="O102" s="23"/>
      <c r="P102" s="23"/>
      <c r="Q102" s="144"/>
      <c r="R102" s="137"/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0</v>
      </c>
      <c r="T102" s="170"/>
      <c r="U102" s="24">
        <v>0</v>
      </c>
      <c r="V102" s="24">
        <v>1</v>
      </c>
      <c r="W102" s="24">
        <v>0</v>
      </c>
      <c r="X102" s="168"/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0</v>
      </c>
      <c r="Z102" s="25"/>
      <c r="AA102" s="169">
        <f>Y102+Y102*VLOOKUP(I102,EXTRAS_ARRAY,2,FALSE)</f>
        <v>0</v>
      </c>
      <c r="AB102" s="23"/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>Error: Effort value is not defined or is invalid.</v>
      </c>
    </row>
    <row r="103" spans="1:30" ht="43.5" hidden="1" outlineLevel="2" x14ac:dyDescent="0.35">
      <c r="A103" s="93" t="s">
        <v>0</v>
      </c>
      <c r="B103" s="21"/>
      <c r="C103" s="85"/>
      <c r="D103" s="85"/>
      <c r="E103" s="85"/>
      <c r="F103" s="86"/>
      <c r="G103" s="22" t="s">
        <v>23</v>
      </c>
      <c r="H103" s="22" t="s">
        <v>23</v>
      </c>
      <c r="I103" s="23" t="s">
        <v>23</v>
      </c>
      <c r="J103" s="22" t="s">
        <v>23</v>
      </c>
      <c r="K103" s="38"/>
      <c r="L103" s="22"/>
      <c r="M103" s="286">
        <f ca="1">IFERROR(OFFSET(M103,-1,,1,1)+0.1,OFFSET(M103,-1,-1,1,1)&amp;".1")</f>
        <v>2.4000000000000004</v>
      </c>
      <c r="N103" s="23" t="s">
        <v>499</v>
      </c>
      <c r="O103" s="23"/>
      <c r="P103" s="23"/>
      <c r="Q103" s="144"/>
      <c r="R103" s="137"/>
      <c r="S103" s="169">
        <f>CEILING((IF(J103="Yes", 0, IF(H103="-",AA103,AA103+AA103*VLOOKUP(H103,BUFFERS_BY_TYPE,2,FALSE)))) +
   (IF(J103="Yes", 0, IF(H103="-",AA103,AA103+AA103*VLOOKUP(H103,BUFFERS_BY_TYPE,2,FALSE))))*VLOOKUP($S$5, SALES_CALL_SCALE_ARRAY, 2,FALSE),0.25)</f>
        <v>0</v>
      </c>
      <c r="T103" s="170"/>
      <c r="U103" s="24">
        <v>0</v>
      </c>
      <c r="V103" s="24">
        <v>1</v>
      </c>
      <c r="W103" s="24">
        <v>0</v>
      </c>
      <c r="X103" s="168"/>
      <c r="Y103" s="169">
        <f>CEILING((IF(P103=AS_DEV_EFFORT, DEV_EFFORT*Q103%,
                           IF(P103=AS_DURATION_EFFORT, (MANUAL_DURATION*5)*Q103%,
                                    (IF(Q103&lt;=1,X103,
                                          IF(SUM(U103:W103)=0,(Q103*X103),
                                               (((Q103*U103)*(X103+(X103*EXTRA_FOR_H)))+
                                               ((Q103*V103)*X103)+
                                               ((Q103*W103)*(X103-(X103*LESS_FOR_L)))
                                    )*IF(R103=0,1,R103))))))+Z103), 0.25)</f>
        <v>0</v>
      </c>
      <c r="Z103" s="25"/>
      <c r="AA103" s="169">
        <f>Y103+Y103*VLOOKUP(I103,EXTRAS_ARRAY,2,FALSE)</f>
        <v>0</v>
      </c>
      <c r="AB103" s="23"/>
      <c r="AC103" s="37"/>
      <c r="AD103" s="26" t="str">
        <f>IF(J103&lt;&gt;"Yes",
IF(S103&lt;=0,"Error: Effort value is not defined or is invalid.",
IF(AND(SUM(U103:W103)&gt;0,SUM(U103:W103)&lt;&gt;1),"Error: Complexity % distribution should sum to 100%.",
IF(AND(P103=AS_DEV_EFFORT,X103&lt;&gt;0),"Error: PDs should not be defined when defining as dev effort %.",
IF(AND(P103=AS_DURATION_EFFORT,X103&lt;&gt;0),"Error: PDs should not be defined when defining as duration effort %.","")))))</f>
        <v>Error: Effort value is not defined or is invalid.</v>
      </c>
    </row>
    <row r="104" spans="1:30" ht="43.5" hidden="1" outlineLevel="2" x14ac:dyDescent="0.35">
      <c r="A104" s="93" t="s">
        <v>0</v>
      </c>
      <c r="B104" s="21"/>
      <c r="C104" s="85"/>
      <c r="D104" s="85"/>
      <c r="E104" s="85"/>
      <c r="F104" s="86"/>
      <c r="G104" s="22" t="s">
        <v>23</v>
      </c>
      <c r="H104" s="22" t="s">
        <v>23</v>
      </c>
      <c r="I104" s="23" t="s">
        <v>23</v>
      </c>
      <c r="J104" s="22" t="s">
        <v>23</v>
      </c>
      <c r="K104" s="38"/>
      <c r="L104" s="22"/>
      <c r="M104" s="286">
        <f ca="1">IFERROR(OFFSET(M104,-1,,1,1)+0.1,OFFSET(M104,-1,-1,1,1)&amp;".1")</f>
        <v>2.5000000000000004</v>
      </c>
      <c r="N104" s="23" t="s">
        <v>500</v>
      </c>
      <c r="O104" s="23"/>
      <c r="P104" s="23"/>
      <c r="Q104" s="144"/>
      <c r="R104" s="137"/>
      <c r="S104" s="169">
        <f>CEILING((IF(J104="Yes", 0, IF(H104="-",AA104,AA104+AA104*VLOOKUP(H104,BUFFERS_BY_TYPE,2,FALSE)))) +
   (IF(J104="Yes", 0, IF(H104="-",AA104,AA104+AA104*VLOOKUP(H104,BUFFERS_BY_TYPE,2,FALSE))))*VLOOKUP($S$5, SALES_CALL_SCALE_ARRAY, 2,FALSE),0.25)</f>
        <v>0</v>
      </c>
      <c r="T104" s="170"/>
      <c r="U104" s="24">
        <v>0</v>
      </c>
      <c r="V104" s="24">
        <v>1</v>
      </c>
      <c r="W104" s="24">
        <v>0</v>
      </c>
      <c r="X104" s="168"/>
      <c r="Y104" s="169">
        <f>CEILING((IF(P104=AS_DEV_EFFORT, DEV_EFFORT*Q104%,
                           IF(P104=AS_DURATION_EFFORT, (MANUAL_DURATION*5)*Q104%,
                                    (IF(Q104&lt;=1,X104,
                                          IF(SUM(U104:W104)=0,(Q104*X104),
                                               (((Q104*U104)*(X104+(X104*EXTRA_FOR_H)))+
                                               ((Q104*V104)*X104)+
                                               ((Q104*W104)*(X104-(X104*LESS_FOR_L)))
                                    )*IF(R104=0,1,R104))))))+Z104), 0.25)</f>
        <v>0</v>
      </c>
      <c r="Z104" s="25"/>
      <c r="AA104" s="169">
        <f>Y104+Y104*VLOOKUP(I104,EXTRAS_ARRAY,2,FALSE)</f>
        <v>0</v>
      </c>
      <c r="AB104" s="23"/>
      <c r="AC104" s="37"/>
      <c r="AD104" s="26" t="str">
        <f>IF(J104&lt;&gt;"Yes",
IF(S104&lt;=0,"Error: Effort value is not defined or is invalid.",
IF(AND(SUM(U104:W104)&gt;0,SUM(U104:W104)&lt;&gt;1),"Error: Complexity % distribution should sum to 100%.",
IF(AND(P104=AS_DEV_EFFORT,X104&lt;&gt;0),"Error: PDs should not be defined when defining as dev effort %.",
IF(AND(P104=AS_DURATION_EFFORT,X104&lt;&gt;0),"Error: PDs should not be defined when defining as duration effort %.","")))))</f>
        <v>Error: Effort value is not defined or is invalid.</v>
      </c>
    </row>
    <row r="105" spans="1:30" s="11" customFormat="1" ht="7.5" hidden="1" customHeight="1" outlineLevel="2" x14ac:dyDescent="0.35">
      <c r="A105" s="93" t="s">
        <v>132</v>
      </c>
      <c r="B105" s="18"/>
      <c r="C105" s="78"/>
      <c r="D105" s="78"/>
      <c r="E105" s="78"/>
      <c r="F105" s="78"/>
      <c r="G105" s="10"/>
      <c r="H105" s="10"/>
      <c r="I105" s="10"/>
      <c r="J105" s="10"/>
      <c r="K105" s="10"/>
      <c r="L105" s="10"/>
      <c r="M105" s="287"/>
      <c r="N105" s="10"/>
      <c r="O105" s="10"/>
      <c r="P105" s="10"/>
      <c r="Q105" s="10"/>
      <c r="R105" s="10"/>
      <c r="S105" s="10"/>
      <c r="T105" s="18"/>
      <c r="U105" s="10"/>
      <c r="V105" s="10"/>
      <c r="W105" s="10"/>
      <c r="X105" s="18"/>
      <c r="Y105" s="10"/>
      <c r="Z105" s="10"/>
      <c r="AA105" s="10"/>
      <c r="AB105" s="60"/>
      <c r="AC105" s="60"/>
      <c r="AD105" s="12"/>
    </row>
    <row r="106" spans="1:30" s="17" customFormat="1" ht="15.5" hidden="1" outlineLevel="1" x14ac:dyDescent="0.35">
      <c r="A106" s="93" t="s">
        <v>107</v>
      </c>
      <c r="B106" s="21"/>
      <c r="C106" s="84"/>
      <c r="D106" s="84"/>
      <c r="E106" s="84"/>
      <c r="F106" s="83"/>
      <c r="G106" s="185"/>
      <c r="H106" s="185"/>
      <c r="I106" s="185"/>
      <c r="J106" s="185"/>
      <c r="K106" s="185"/>
      <c r="L106" s="92" t="s">
        <v>109</v>
      </c>
      <c r="M106" s="316" t="s">
        <v>124</v>
      </c>
      <c r="N106" s="316"/>
      <c r="O106" s="87"/>
      <c r="P106" s="88"/>
      <c r="Q106" s="88"/>
      <c r="R106" s="88"/>
      <c r="S106" s="300">
        <f>SUMGROUP(ROW(), "T")</f>
        <v>0</v>
      </c>
      <c r="T106" s="300"/>
      <c r="U106" s="309"/>
      <c r="V106" s="309"/>
      <c r="W106" s="309"/>
      <c r="X106" s="89"/>
      <c r="Y106" s="90"/>
      <c r="Z106" s="90"/>
      <c r="AA106" s="90"/>
      <c r="AB106" s="243"/>
      <c r="AC106" s="91"/>
      <c r="AD106" s="26" t="str">
        <f>IF(M106="", "Error: Module name cannot be empty.", "")</f>
        <v/>
      </c>
    </row>
    <row r="107" spans="1:30" s="17" customFormat="1" ht="15.5" hidden="1" outlineLevel="1" collapsed="1" x14ac:dyDescent="0.35">
      <c r="A107" s="93" t="s">
        <v>100</v>
      </c>
      <c r="B107" s="21"/>
      <c r="C107" s="84"/>
      <c r="D107" s="84"/>
      <c r="E107" s="84"/>
      <c r="F107" s="83"/>
      <c r="G107" s="32"/>
      <c r="H107" s="32"/>
      <c r="I107" s="32"/>
      <c r="J107" s="32"/>
      <c r="K107" s="32"/>
      <c r="L107" s="20">
        <f ca="1">LOOKUP(1000,INDIRECT("L1:"&amp;CELL("address",INDIRECT("R[-1]C",FALSE))))+1</f>
        <v>3</v>
      </c>
      <c r="M107" s="298" t="s">
        <v>108</v>
      </c>
      <c r="N107" s="298"/>
      <c r="O107" s="5"/>
      <c r="P107" s="33"/>
      <c r="Q107" s="33"/>
      <c r="R107" s="33"/>
      <c r="S107" s="33"/>
      <c r="T107" s="167">
        <f>IF($S$6="Exclude", SUMIFS(S108:S111, J108:J111, "&lt;&gt;Yes", G108:G111, "&lt;&gt;Yes"), SUMIFS(S108:S111, J108:J111, "&lt;&gt;Yes"))</f>
        <v>0</v>
      </c>
      <c r="U107" s="33"/>
      <c r="V107" s="33"/>
      <c r="W107" s="33"/>
      <c r="X107" s="34"/>
      <c r="Y107" s="35"/>
      <c r="Z107" s="35"/>
      <c r="AA107" s="35"/>
      <c r="AB107" s="240"/>
      <c r="AC107" s="36"/>
      <c r="AD107" s="26" t="str">
        <f>IF(M107="", "Error: Task name cannot be empty.", "")</f>
        <v/>
      </c>
    </row>
    <row r="108" spans="1:30" s="15" customFormat="1" ht="1.5" hidden="1" customHeight="1" outlineLevel="2" x14ac:dyDescent="0.35">
      <c r="A108" s="93" t="s">
        <v>101</v>
      </c>
      <c r="B108" s="21"/>
      <c r="C108" s="84"/>
      <c r="D108" s="84"/>
      <c r="E108" s="84"/>
      <c r="F108" s="83"/>
      <c r="G108" s="32"/>
      <c r="H108" s="32"/>
      <c r="I108" s="32"/>
      <c r="J108" s="32"/>
      <c r="K108" s="32"/>
      <c r="L108" s="175">
        <f ca="1">L107</f>
        <v>3</v>
      </c>
      <c r="M108" s="176" t="s">
        <v>105</v>
      </c>
      <c r="N108" s="173"/>
      <c r="O108" s="174"/>
      <c r="P108" s="33"/>
      <c r="Q108" s="33"/>
      <c r="R108" s="33"/>
      <c r="S108" s="33"/>
      <c r="T108" s="167"/>
      <c r="U108" s="33"/>
      <c r="V108" s="33"/>
      <c r="W108" s="33"/>
      <c r="X108" s="34"/>
      <c r="Y108" s="35"/>
      <c r="Z108" s="35"/>
      <c r="AA108" s="35"/>
      <c r="AB108" s="36"/>
      <c r="AC108" s="36"/>
      <c r="AD108" s="26"/>
    </row>
    <row r="109" spans="1:30" ht="43.5" hidden="1" outlineLevel="2" x14ac:dyDescent="0.35">
      <c r="A109" s="93" t="s">
        <v>0</v>
      </c>
      <c r="B109" s="21"/>
      <c r="C109" s="85"/>
      <c r="D109" s="85"/>
      <c r="E109" s="85"/>
      <c r="F109" s="86"/>
      <c r="G109" s="22" t="s">
        <v>23</v>
      </c>
      <c r="H109" s="22" t="s">
        <v>23</v>
      </c>
      <c r="I109" s="23" t="s">
        <v>23</v>
      </c>
      <c r="J109" s="22" t="s">
        <v>23</v>
      </c>
      <c r="K109" s="38"/>
      <c r="L109" s="22"/>
      <c r="M109" s="286" t="str">
        <f ca="1">IFERROR(OFFSET(M109,-1,,1,1)+0.1,OFFSET(M109,-1,-1,1,1)&amp;".1")</f>
        <v>3.1</v>
      </c>
      <c r="N109" s="23" t="s">
        <v>501</v>
      </c>
      <c r="O109" s="23"/>
      <c r="P109" s="23"/>
      <c r="Q109" s="144"/>
      <c r="R109" s="137"/>
      <c r="S109" s="169">
        <f>CEILING((IF(J109="Yes", 0, IF(H109="-",AA109,AA109+AA109*VLOOKUP(H109,BUFFERS_BY_TYPE,2,FALSE)))) +
   (IF(J109="Yes", 0, IF(H109="-",AA109,AA109+AA109*VLOOKUP(H109,BUFFERS_BY_TYPE,2,FALSE))))*VLOOKUP($S$5, SALES_CALL_SCALE_ARRAY, 2,FALSE),0.25)</f>
        <v>0</v>
      </c>
      <c r="T109" s="170"/>
      <c r="U109" s="24">
        <v>0</v>
      </c>
      <c r="V109" s="24">
        <v>1</v>
      </c>
      <c r="W109" s="24">
        <v>0</v>
      </c>
      <c r="X109" s="168"/>
      <c r="Y109" s="169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>0</v>
      </c>
      <c r="Z109" s="25"/>
      <c r="AA109" s="169">
        <f>Y109+Y109*VLOOKUP(I109,EXTRAS_ARRAY,2,FALSE)</f>
        <v>0</v>
      </c>
      <c r="AB109" s="23"/>
      <c r="AC109" s="37"/>
      <c r="AD109" s="26" t="str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>Error: Effort value is not defined or is invalid.</v>
      </c>
    </row>
    <row r="110" spans="1:30" ht="43.5" hidden="1" outlineLevel="2" x14ac:dyDescent="0.35">
      <c r="A110" s="93" t="s">
        <v>0</v>
      </c>
      <c r="B110" s="21"/>
      <c r="C110" s="85"/>
      <c r="D110" s="85"/>
      <c r="E110" s="85"/>
      <c r="F110" s="86"/>
      <c r="G110" s="22" t="s">
        <v>23</v>
      </c>
      <c r="H110" s="22" t="s">
        <v>23</v>
      </c>
      <c r="I110" s="23" t="s">
        <v>23</v>
      </c>
      <c r="J110" s="22" t="s">
        <v>23</v>
      </c>
      <c r="K110" s="38"/>
      <c r="L110" s="22"/>
      <c r="M110" s="286">
        <f ca="1">IFERROR(OFFSET(M110,-1,,1,1)+0.1,OFFSET(M110,-1,-1,1,1)&amp;".1")</f>
        <v>3.2</v>
      </c>
      <c r="N110" s="23" t="s">
        <v>502</v>
      </c>
      <c r="O110" s="23"/>
      <c r="P110" s="23"/>
      <c r="Q110" s="144"/>
      <c r="R110" s="137"/>
      <c r="S110" s="169">
        <f>CEILING((IF(J110="Yes", 0, IF(H110="-",AA110,AA110+AA110*VLOOKUP(H110,BUFFERS_BY_TYPE,2,FALSE)))) +
   (IF(J110="Yes", 0, IF(H110="-",AA110,AA110+AA110*VLOOKUP(H110,BUFFERS_BY_TYPE,2,FALSE))))*VLOOKUP($S$5, SALES_CALL_SCALE_ARRAY, 2,FALSE),0.25)</f>
        <v>0</v>
      </c>
      <c r="T110" s="170"/>
      <c r="U110" s="24">
        <v>0</v>
      </c>
      <c r="V110" s="24">
        <v>1</v>
      </c>
      <c r="W110" s="24">
        <v>0</v>
      </c>
      <c r="X110" s="168"/>
      <c r="Y110" s="169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>0</v>
      </c>
      <c r="Z110" s="25"/>
      <c r="AA110" s="169">
        <f>Y110+Y110*VLOOKUP(I110,EXTRAS_ARRAY,2,FALSE)</f>
        <v>0</v>
      </c>
      <c r="AB110" s="23"/>
      <c r="AC110" s="37"/>
      <c r="AD110" s="26" t="str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>Error: Effort value is not defined or is invalid.</v>
      </c>
    </row>
    <row r="111" spans="1:30" s="11" customFormat="1" ht="7.5" hidden="1" customHeight="1" outlineLevel="2" x14ac:dyDescent="0.35">
      <c r="A111" s="93" t="s">
        <v>132</v>
      </c>
      <c r="B111" s="18"/>
      <c r="C111" s="78"/>
      <c r="D111" s="78"/>
      <c r="E111" s="78"/>
      <c r="F111" s="78"/>
      <c r="G111" s="10"/>
      <c r="H111" s="10"/>
      <c r="I111" s="10"/>
      <c r="J111" s="10"/>
      <c r="K111" s="10"/>
      <c r="L111" s="10"/>
      <c r="M111" s="287"/>
      <c r="N111" s="10"/>
      <c r="O111" s="10"/>
      <c r="P111" s="10"/>
      <c r="Q111" s="10"/>
      <c r="R111" s="10"/>
      <c r="S111" s="10"/>
      <c r="T111" s="18"/>
      <c r="U111" s="10"/>
      <c r="V111" s="10"/>
      <c r="W111" s="10"/>
      <c r="X111" s="18"/>
      <c r="Y111" s="10"/>
      <c r="Z111" s="10"/>
      <c r="AA111" s="10"/>
      <c r="AB111" s="60"/>
      <c r="AC111" s="60"/>
      <c r="AD111" s="12"/>
    </row>
    <row r="112" spans="1:30" s="17" customFormat="1" ht="15.5" hidden="1" outlineLevel="1" x14ac:dyDescent="0.35">
      <c r="A112" s="93" t="s">
        <v>107</v>
      </c>
      <c r="B112" s="21"/>
      <c r="C112" s="84"/>
      <c r="D112" s="84"/>
      <c r="E112" s="84"/>
      <c r="F112" s="83"/>
      <c r="G112" s="185"/>
      <c r="H112" s="185"/>
      <c r="I112" s="185"/>
      <c r="J112" s="185"/>
      <c r="K112" s="185"/>
      <c r="L112" s="92" t="s">
        <v>109</v>
      </c>
      <c r="M112" s="316" t="s">
        <v>450</v>
      </c>
      <c r="N112" s="316"/>
      <c r="O112" s="87"/>
      <c r="P112" s="88"/>
      <c r="Q112" s="88"/>
      <c r="R112" s="88"/>
      <c r="S112" s="300">
        <f>SUMGROUP(ROW(), "T")</f>
        <v>0</v>
      </c>
      <c r="T112" s="300"/>
      <c r="U112" s="309"/>
      <c r="V112" s="309"/>
      <c r="W112" s="309"/>
      <c r="X112" s="89"/>
      <c r="Y112" s="90"/>
      <c r="Z112" s="90"/>
      <c r="AA112" s="90"/>
      <c r="AB112" s="243"/>
      <c r="AC112" s="91"/>
      <c r="AD112" s="26" t="str">
        <f>IF(M112="", "Error: Module name cannot be empty.", "")</f>
        <v/>
      </c>
    </row>
    <row r="113" spans="1:30" s="17" customFormat="1" ht="15.5" hidden="1" outlineLevel="1" collapsed="1" x14ac:dyDescent="0.35">
      <c r="A113" s="93" t="s">
        <v>100</v>
      </c>
      <c r="B113" s="21"/>
      <c r="C113" s="84"/>
      <c r="D113" s="84"/>
      <c r="E113" s="84"/>
      <c r="F113" s="83"/>
      <c r="G113" s="32"/>
      <c r="H113" s="32"/>
      <c r="I113" s="32"/>
      <c r="J113" s="32"/>
      <c r="K113" s="32"/>
      <c r="L113" s="20">
        <f ca="1">LOOKUP(1000,INDIRECT("L1:"&amp;CELL("address",INDIRECT("R[-1]C",FALSE))))+1</f>
        <v>4</v>
      </c>
      <c r="M113" s="298" t="s">
        <v>451</v>
      </c>
      <c r="N113" s="298"/>
      <c r="O113" s="5"/>
      <c r="P113" s="33"/>
      <c r="Q113" s="33"/>
      <c r="R113" s="33"/>
      <c r="S113" s="33"/>
      <c r="T113" s="167">
        <f>IF($S$6="Exclude", SUMIFS(S114:S117, J114:J117, "&lt;&gt;Yes", G114:G117, "&lt;&gt;Yes"), SUMIFS(S114:S117, J114:J117, "&lt;&gt;Yes"))</f>
        <v>0</v>
      </c>
      <c r="U113" s="33"/>
      <c r="V113" s="33"/>
      <c r="W113" s="33"/>
      <c r="X113" s="34"/>
      <c r="Y113" s="35"/>
      <c r="Z113" s="35"/>
      <c r="AA113" s="35"/>
      <c r="AB113" s="240"/>
      <c r="AC113" s="36"/>
      <c r="AD113" s="26" t="str">
        <f>IF(M113="", "Error: Task name cannot be empty.", "")</f>
        <v/>
      </c>
    </row>
    <row r="114" spans="1:30" s="15" customFormat="1" ht="1.5" hidden="1" customHeight="1" outlineLevel="2" x14ac:dyDescent="0.35">
      <c r="A114" s="93" t="s">
        <v>101</v>
      </c>
      <c r="B114" s="21"/>
      <c r="C114" s="84"/>
      <c r="D114" s="84"/>
      <c r="E114" s="84"/>
      <c r="F114" s="83"/>
      <c r="G114" s="32"/>
      <c r="H114" s="32"/>
      <c r="I114" s="32"/>
      <c r="J114" s="32"/>
      <c r="K114" s="32"/>
      <c r="L114" s="175">
        <f ca="1">L113</f>
        <v>4</v>
      </c>
      <c r="M114" s="176" t="s">
        <v>105</v>
      </c>
      <c r="N114" s="173"/>
      <c r="O114" s="174"/>
      <c r="P114" s="33"/>
      <c r="Q114" s="33"/>
      <c r="R114" s="33"/>
      <c r="S114" s="33"/>
      <c r="T114" s="167"/>
      <c r="U114" s="33"/>
      <c r="V114" s="33"/>
      <c r="W114" s="33"/>
      <c r="X114" s="34"/>
      <c r="Y114" s="35"/>
      <c r="Z114" s="35"/>
      <c r="AA114" s="35"/>
      <c r="AB114" s="36"/>
      <c r="AC114" s="36"/>
      <c r="AD114" s="26"/>
    </row>
    <row r="115" spans="1:30" ht="43.5" hidden="1" outlineLevel="2" x14ac:dyDescent="0.35">
      <c r="A115" s="93" t="s">
        <v>0</v>
      </c>
      <c r="B115" s="21"/>
      <c r="C115" s="85"/>
      <c r="D115" s="85"/>
      <c r="E115" s="85"/>
      <c r="F115" s="86"/>
      <c r="G115" s="22" t="s">
        <v>23</v>
      </c>
      <c r="H115" s="22" t="s">
        <v>23</v>
      </c>
      <c r="I115" s="23" t="s">
        <v>23</v>
      </c>
      <c r="J115" s="22" t="s">
        <v>23</v>
      </c>
      <c r="K115" s="38"/>
      <c r="L115" s="22"/>
      <c r="M115" s="286" t="str">
        <f ca="1">IFERROR(OFFSET(M115,-1,,1,1)+0.1,OFFSET(M115,-1,-1,1,1)&amp;".1")</f>
        <v>4.1</v>
      </c>
      <c r="N115" s="23" t="s">
        <v>504</v>
      </c>
      <c r="O115" s="23"/>
      <c r="P115" s="23"/>
      <c r="Q115" s="144"/>
      <c r="R115" s="137"/>
      <c r="S115" s="169">
        <f>CEILING((IF(J115="Yes", 0, IF(H115="-",AA115,AA115+AA115*VLOOKUP(H115,BUFFERS_BY_TYPE,2,FALSE)))) +
   (IF(J115="Yes", 0, IF(H115="-",AA115,AA115+AA115*VLOOKUP(H115,BUFFERS_BY_TYPE,2,FALSE))))*VLOOKUP($S$5, SALES_CALL_SCALE_ARRAY, 2,FALSE),0.25)</f>
        <v>0</v>
      </c>
      <c r="T115" s="170"/>
      <c r="U115" s="24">
        <v>0</v>
      </c>
      <c r="V115" s="24">
        <v>1</v>
      </c>
      <c r="W115" s="24">
        <v>0</v>
      </c>
      <c r="X115" s="168"/>
      <c r="Y115" s="169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0</v>
      </c>
      <c r="Z115" s="25"/>
      <c r="AA115" s="169">
        <f>Y115+Y115*VLOOKUP(I115,EXTRAS_ARRAY,2,FALSE)</f>
        <v>0</v>
      </c>
      <c r="AB115" s="23"/>
      <c r="AC115" s="37"/>
      <c r="AD115" s="26" t="str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>Error: Effort value is not defined or is invalid.</v>
      </c>
    </row>
    <row r="116" spans="1:30" ht="58" hidden="1" outlineLevel="2" x14ac:dyDescent="0.35">
      <c r="A116" s="93" t="s">
        <v>0</v>
      </c>
      <c r="B116" s="21"/>
      <c r="C116" s="85"/>
      <c r="D116" s="85"/>
      <c r="E116" s="85"/>
      <c r="F116" s="86"/>
      <c r="G116" s="22" t="s">
        <v>23</v>
      </c>
      <c r="H116" s="22" t="s">
        <v>23</v>
      </c>
      <c r="I116" s="23" t="s">
        <v>23</v>
      </c>
      <c r="J116" s="22" t="s">
        <v>23</v>
      </c>
      <c r="K116" s="38"/>
      <c r="L116" s="22"/>
      <c r="M116" s="286">
        <f ca="1">IFERROR(OFFSET(M116,-1,,1,1)+0.1,OFFSET(M116,-1,-1,1,1)&amp;".1")</f>
        <v>4.1999999999999993</v>
      </c>
      <c r="N116" s="23" t="s">
        <v>442</v>
      </c>
      <c r="O116" s="23"/>
      <c r="P116" s="23"/>
      <c r="Q116" s="144"/>
      <c r="R116" s="137"/>
      <c r="S116" s="169">
        <f>CEILING((IF(J116="Yes", 0, IF(H116="-",AA116,AA116+AA116*VLOOKUP(H116,BUFFERS_BY_TYPE,2,FALSE)))) +
   (IF(J116="Yes", 0, IF(H116="-",AA116,AA116+AA116*VLOOKUP(H116,BUFFERS_BY_TYPE,2,FALSE))))*VLOOKUP($S$5, SALES_CALL_SCALE_ARRAY, 2,FALSE),0.25)</f>
        <v>0</v>
      </c>
      <c r="T116" s="170"/>
      <c r="U116" s="24">
        <v>0</v>
      </c>
      <c r="V116" s="24">
        <v>1</v>
      </c>
      <c r="W116" s="24">
        <v>0</v>
      </c>
      <c r="X116" s="168"/>
      <c r="Y116" s="169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>0</v>
      </c>
      <c r="Z116" s="25"/>
      <c r="AA116" s="169">
        <f>Y116+Y116*VLOOKUP(I116,EXTRAS_ARRAY,2,FALSE)</f>
        <v>0</v>
      </c>
      <c r="AB116" s="23"/>
      <c r="AC116" s="37"/>
      <c r="AD116" s="26" t="str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>Error: Effort value is not defined or is invalid.</v>
      </c>
    </row>
    <row r="117" spans="1:30" s="11" customFormat="1" ht="7.5" hidden="1" customHeight="1" outlineLevel="2" x14ac:dyDescent="0.35">
      <c r="A117" s="93" t="s">
        <v>132</v>
      </c>
      <c r="B117" s="18"/>
      <c r="C117" s="78"/>
      <c r="D117" s="78"/>
      <c r="E117" s="78"/>
      <c r="F117" s="78"/>
      <c r="G117" s="10"/>
      <c r="H117" s="10"/>
      <c r="I117" s="10"/>
      <c r="J117" s="10"/>
      <c r="K117" s="10"/>
      <c r="L117" s="10"/>
      <c r="M117" s="287"/>
      <c r="N117" s="10"/>
      <c r="O117" s="10"/>
      <c r="P117" s="10"/>
      <c r="Q117" s="10"/>
      <c r="R117" s="10"/>
      <c r="S117" s="10"/>
      <c r="T117" s="18"/>
      <c r="U117" s="10"/>
      <c r="V117" s="10"/>
      <c r="W117" s="10"/>
      <c r="X117" s="18"/>
      <c r="Y117" s="10"/>
      <c r="Z117" s="10"/>
      <c r="AA117" s="10"/>
      <c r="AB117" s="60"/>
      <c r="AC117" s="60"/>
      <c r="AD117" s="12"/>
    </row>
    <row r="118" spans="1:30" s="17" customFormat="1" ht="15.5" hidden="1" outlineLevel="1" collapsed="1" x14ac:dyDescent="0.35">
      <c r="A118" s="93" t="s">
        <v>100</v>
      </c>
      <c r="B118" s="21"/>
      <c r="C118" s="84"/>
      <c r="D118" s="84"/>
      <c r="E118" s="84"/>
      <c r="F118" s="83"/>
      <c r="G118" s="32"/>
      <c r="H118" s="32"/>
      <c r="I118" s="32"/>
      <c r="J118" s="32"/>
      <c r="K118" s="32"/>
      <c r="L118" s="20">
        <f ca="1">LOOKUP(1000,INDIRECT("L1:"&amp;CELL("address",INDIRECT("R[-1]C",FALSE))))+1</f>
        <v>5</v>
      </c>
      <c r="M118" s="298" t="s">
        <v>452</v>
      </c>
      <c r="N118" s="298"/>
      <c r="O118" s="5"/>
      <c r="P118" s="33"/>
      <c r="Q118" s="33"/>
      <c r="R118" s="33"/>
      <c r="S118" s="33"/>
      <c r="T118" s="167">
        <f>IF($S$6="Exclude", SUMIFS(S119:S121, J119:J121, "&lt;&gt;Yes", G119:G121, "&lt;&gt;Yes"), SUMIFS(S119:S121, J119:J121, "&lt;&gt;Yes"))</f>
        <v>0</v>
      </c>
      <c r="U118" s="33"/>
      <c r="V118" s="33"/>
      <c r="W118" s="33"/>
      <c r="X118" s="34"/>
      <c r="Y118" s="35"/>
      <c r="Z118" s="35"/>
      <c r="AA118" s="35"/>
      <c r="AB118" s="240"/>
      <c r="AC118" s="36"/>
      <c r="AD118" s="26" t="str">
        <f>IF(M118="", "Error: Task name cannot be empty.", "")</f>
        <v/>
      </c>
    </row>
    <row r="119" spans="1:30" s="15" customFormat="1" ht="1.5" hidden="1" customHeight="1" outlineLevel="2" x14ac:dyDescent="0.35">
      <c r="A119" s="93" t="s">
        <v>101</v>
      </c>
      <c r="B119" s="21"/>
      <c r="C119" s="84"/>
      <c r="D119" s="84"/>
      <c r="E119" s="84"/>
      <c r="F119" s="83"/>
      <c r="G119" s="32"/>
      <c r="H119" s="32"/>
      <c r="I119" s="32"/>
      <c r="J119" s="32"/>
      <c r="K119" s="32"/>
      <c r="L119" s="175">
        <f ca="1">L118</f>
        <v>5</v>
      </c>
      <c r="M119" s="176" t="s">
        <v>105</v>
      </c>
      <c r="N119" s="173"/>
      <c r="O119" s="174"/>
      <c r="P119" s="33"/>
      <c r="Q119" s="33"/>
      <c r="R119" s="33"/>
      <c r="S119" s="33"/>
      <c r="T119" s="167"/>
      <c r="U119" s="33"/>
      <c r="V119" s="33"/>
      <c r="W119" s="33"/>
      <c r="X119" s="34"/>
      <c r="Y119" s="35"/>
      <c r="Z119" s="35"/>
      <c r="AA119" s="35"/>
      <c r="AB119" s="36"/>
      <c r="AC119" s="36"/>
      <c r="AD119" s="26"/>
    </row>
    <row r="120" spans="1:30" ht="43.5" hidden="1" outlineLevel="2" x14ac:dyDescent="0.35">
      <c r="A120" s="93" t="s">
        <v>0</v>
      </c>
      <c r="B120" s="21"/>
      <c r="C120" s="85"/>
      <c r="D120" s="85"/>
      <c r="E120" s="85"/>
      <c r="F120" s="86"/>
      <c r="G120" s="22" t="s">
        <v>23</v>
      </c>
      <c r="H120" s="22" t="s">
        <v>23</v>
      </c>
      <c r="I120" s="23" t="s">
        <v>23</v>
      </c>
      <c r="J120" s="22" t="s">
        <v>23</v>
      </c>
      <c r="K120" s="38"/>
      <c r="L120" s="22"/>
      <c r="M120" s="286" t="str">
        <f ca="1">IFERROR(OFFSET(M120,-1,,1,1)+0.1,OFFSET(M120,-1,-1,1,1)&amp;".1")</f>
        <v>5.1</v>
      </c>
      <c r="N120" s="23" t="s">
        <v>503</v>
      </c>
      <c r="O120" s="23"/>
      <c r="P120" s="23"/>
      <c r="Q120" s="144"/>
      <c r="R120" s="137"/>
      <c r="S120" s="169">
        <f>CEILING((IF(J120="Yes", 0, IF(H120="-",AA120,AA120+AA120*VLOOKUP(H120,BUFFERS_BY_TYPE,2,FALSE)))) +
   (IF(J120="Yes", 0, IF(H120="-",AA120,AA120+AA120*VLOOKUP(H120,BUFFERS_BY_TYPE,2,FALSE))))*VLOOKUP($S$5, SALES_CALL_SCALE_ARRAY, 2,FALSE),0.25)</f>
        <v>0</v>
      </c>
      <c r="T120" s="170"/>
      <c r="U120" s="24">
        <v>0</v>
      </c>
      <c r="V120" s="24">
        <v>1</v>
      </c>
      <c r="W120" s="24">
        <v>0</v>
      </c>
      <c r="X120" s="168"/>
      <c r="Y120" s="169">
        <f>CEILING((IF(P120=AS_DEV_EFFORT, DEV_EFFORT*Q120%,
                           IF(P120=AS_DURATION_EFFORT, (MANUAL_DURATION*5)*Q120%,
                                    (IF(Q120&lt;=1,X120,
                                          IF(SUM(U120:W120)=0,(Q120*X120),
                                               (((Q120*U120)*(X120+(X120*EXTRA_FOR_H)))+
                                               ((Q120*V120)*X120)+
                                               ((Q120*W120)*(X120-(X120*LESS_FOR_L)))
                                    )*IF(R120=0,1,R120))))))+Z120), 0.25)</f>
        <v>0</v>
      </c>
      <c r="Z120" s="25"/>
      <c r="AA120" s="169">
        <f>Y120+Y120*VLOOKUP(I120,EXTRAS_ARRAY,2,FALSE)</f>
        <v>0</v>
      </c>
      <c r="AB120" s="23"/>
      <c r="AC120" s="37"/>
      <c r="AD120" s="26" t="str">
        <f>IF(J120&lt;&gt;"Yes",
IF(S120&lt;=0,"Error: Effort value is not defined or is invalid.",
IF(AND(SUM(U120:W120)&gt;0,SUM(U120:W120)&lt;&gt;1),"Error: Complexity % distribution should sum to 100%.",
IF(AND(P120=AS_DEV_EFFORT,X120&lt;&gt;0),"Error: PDs should not be defined when defining as dev effort %.",
IF(AND(P120=AS_DURATION_EFFORT,X120&lt;&gt;0),"Error: PDs should not be defined when defining as duration effort %.","")))))</f>
        <v>Error: Effort value is not defined or is invalid.</v>
      </c>
    </row>
    <row r="121" spans="1:30" s="11" customFormat="1" ht="7.5" hidden="1" customHeight="1" outlineLevel="2" x14ac:dyDescent="0.35">
      <c r="A121" s="93" t="s">
        <v>132</v>
      </c>
      <c r="B121" s="18"/>
      <c r="C121" s="78"/>
      <c r="D121" s="78"/>
      <c r="E121" s="78"/>
      <c r="F121" s="78"/>
      <c r="G121" s="10"/>
      <c r="H121" s="10"/>
      <c r="I121" s="10"/>
      <c r="J121" s="10"/>
      <c r="K121" s="10"/>
      <c r="L121" s="10"/>
      <c r="M121" s="287"/>
      <c r="N121" s="10"/>
      <c r="O121" s="10"/>
      <c r="P121" s="10"/>
      <c r="Q121" s="10"/>
      <c r="R121" s="10"/>
      <c r="S121" s="10"/>
      <c r="T121" s="18"/>
      <c r="U121" s="10"/>
      <c r="V121" s="10"/>
      <c r="W121" s="10"/>
      <c r="X121" s="18"/>
      <c r="Y121" s="10"/>
      <c r="Z121" s="10"/>
      <c r="AA121" s="10"/>
      <c r="AB121" s="60"/>
      <c r="AC121" s="60"/>
      <c r="AD121" s="12"/>
    </row>
    <row r="122" spans="1:30" s="17" customFormat="1" ht="15.5" hidden="1" outlineLevel="1" x14ac:dyDescent="0.35">
      <c r="A122" s="93" t="s">
        <v>107</v>
      </c>
      <c r="B122" s="21"/>
      <c r="C122" s="84"/>
      <c r="D122" s="84"/>
      <c r="E122" s="84"/>
      <c r="F122" s="83"/>
      <c r="G122" s="185"/>
      <c r="H122" s="185"/>
      <c r="I122" s="185"/>
      <c r="J122" s="185"/>
      <c r="K122" s="185"/>
      <c r="L122" s="92" t="s">
        <v>109</v>
      </c>
      <c r="M122" s="316" t="s">
        <v>519</v>
      </c>
      <c r="N122" s="316"/>
      <c r="O122" s="87"/>
      <c r="P122" s="88"/>
      <c r="Q122" s="88"/>
      <c r="R122" s="88"/>
      <c r="S122" s="300">
        <f>SUMGROUP(ROW(), "T")</f>
        <v>0</v>
      </c>
      <c r="T122" s="300"/>
      <c r="U122" s="309"/>
      <c r="V122" s="309"/>
      <c r="W122" s="309"/>
      <c r="X122" s="89"/>
      <c r="Y122" s="90"/>
      <c r="Z122" s="90"/>
      <c r="AA122" s="90"/>
      <c r="AB122" s="243"/>
      <c r="AC122" s="91"/>
      <c r="AD122" s="26" t="str">
        <f>IF(M122="", "Error: Module name cannot be empty.", "")</f>
        <v/>
      </c>
    </row>
    <row r="123" spans="1:30" s="17" customFormat="1" ht="15.5" hidden="1" outlineLevel="1" collapsed="1" x14ac:dyDescent="0.35">
      <c r="A123" s="93" t="s">
        <v>100</v>
      </c>
      <c r="B123" s="21"/>
      <c r="C123" s="84"/>
      <c r="D123" s="84"/>
      <c r="E123" s="84"/>
      <c r="F123" s="83"/>
      <c r="G123" s="32"/>
      <c r="H123" s="32"/>
      <c r="I123" s="32"/>
      <c r="J123" s="32"/>
      <c r="K123" s="32"/>
      <c r="L123" s="20">
        <f ca="1">LOOKUP(1000,INDIRECT("L1:"&amp;CELL("address",INDIRECT("R[-1]C",FALSE))))+1</f>
        <v>6</v>
      </c>
      <c r="M123" s="298" t="s">
        <v>519</v>
      </c>
      <c r="N123" s="298"/>
      <c r="O123" s="5"/>
      <c r="P123" s="33"/>
      <c r="Q123" s="33"/>
      <c r="R123" s="33"/>
      <c r="S123" s="33"/>
      <c r="T123" s="167">
        <f>IF($S$6="Exclude", SUMIFS(S124:S127, J124:J127, "&lt;&gt;Yes", G124:G127, "&lt;&gt;Yes"), SUMIFS(S124:S127, J124:J127, "&lt;&gt;Yes"))</f>
        <v>0</v>
      </c>
      <c r="U123" s="33"/>
      <c r="V123" s="33"/>
      <c r="W123" s="33"/>
      <c r="X123" s="34"/>
      <c r="Y123" s="35"/>
      <c r="Z123" s="35"/>
      <c r="AA123" s="35"/>
      <c r="AB123" s="240"/>
      <c r="AC123" s="36"/>
      <c r="AD123" s="26" t="str">
        <f>IF(M123="", "Error: Task name cannot be empty.", "")</f>
        <v/>
      </c>
    </row>
    <row r="124" spans="1:30" s="15" customFormat="1" ht="1.5" hidden="1" customHeight="1" outlineLevel="2" x14ac:dyDescent="0.35">
      <c r="A124" s="93" t="s">
        <v>101</v>
      </c>
      <c r="B124" s="21"/>
      <c r="C124" s="84"/>
      <c r="D124" s="84"/>
      <c r="E124" s="84"/>
      <c r="F124" s="83"/>
      <c r="G124" s="32"/>
      <c r="H124" s="32"/>
      <c r="I124" s="32"/>
      <c r="J124" s="32"/>
      <c r="K124" s="32"/>
      <c r="L124" s="175">
        <f ca="1">L123</f>
        <v>6</v>
      </c>
      <c r="M124" s="176" t="s">
        <v>105</v>
      </c>
      <c r="N124" s="173"/>
      <c r="O124" s="174"/>
      <c r="P124" s="33"/>
      <c r="Q124" s="33"/>
      <c r="R124" s="33"/>
      <c r="S124" s="33"/>
      <c r="T124" s="167"/>
      <c r="U124" s="33"/>
      <c r="V124" s="33"/>
      <c r="W124" s="33"/>
      <c r="X124" s="34"/>
      <c r="Y124" s="35"/>
      <c r="Z124" s="35"/>
      <c r="AA124" s="35"/>
      <c r="AB124" s="36"/>
      <c r="AC124" s="36"/>
      <c r="AD124" s="26"/>
    </row>
    <row r="125" spans="1:30" ht="43.5" hidden="1" outlineLevel="2" x14ac:dyDescent="0.35">
      <c r="A125" s="93" t="s">
        <v>0</v>
      </c>
      <c r="B125" s="21"/>
      <c r="C125" s="85"/>
      <c r="D125" s="85"/>
      <c r="E125" s="85"/>
      <c r="F125" s="86"/>
      <c r="G125" s="22" t="s">
        <v>23</v>
      </c>
      <c r="H125" s="22" t="s">
        <v>23</v>
      </c>
      <c r="I125" s="23" t="s">
        <v>23</v>
      </c>
      <c r="J125" s="22" t="s">
        <v>23</v>
      </c>
      <c r="K125" s="38"/>
      <c r="L125" s="22"/>
      <c r="M125" s="286" t="str">
        <f ca="1">IFERROR(OFFSET(M125,-1,,1,1)+0.1,OFFSET(M125,-1,-1,1,1)&amp;".1")</f>
        <v>6.1</v>
      </c>
      <c r="N125" s="23" t="s">
        <v>520</v>
      </c>
      <c r="O125" s="23"/>
      <c r="P125" s="23"/>
      <c r="Q125" s="144"/>
      <c r="R125" s="137"/>
      <c r="S125" s="169">
        <f>CEILING((IF(J125="Yes", 0, IF(H125="-",AA125,AA125+AA125*VLOOKUP(H125,BUFFERS_BY_TYPE,2,FALSE)))) +
   (IF(J125="Yes", 0, IF(H125="-",AA125,AA125+AA125*VLOOKUP(H125,BUFFERS_BY_TYPE,2,FALSE))))*VLOOKUP($S$5, SALES_CALL_SCALE_ARRAY, 2,FALSE),0.25)</f>
        <v>0</v>
      </c>
      <c r="T125" s="170"/>
      <c r="U125" s="24">
        <v>0</v>
      </c>
      <c r="V125" s="24">
        <v>1</v>
      </c>
      <c r="W125" s="24">
        <v>0</v>
      </c>
      <c r="X125" s="168"/>
      <c r="Y125" s="169">
        <f>CEILING((IF(P125=AS_DEV_EFFORT, DEV_EFFORT*Q125%,
                           IF(P125=AS_DURATION_EFFORT, (MANUAL_DURATION*5)*Q125%,
                                    (IF(Q125&lt;=1,X125,
                                          IF(SUM(U125:W125)=0,(Q125*X125),
                                               (((Q125*U125)*(X125+(X125*EXTRA_FOR_H)))+
                                               ((Q125*V125)*X125)+
                                               ((Q125*W125)*(X125-(X125*LESS_FOR_L)))
                                    )*IF(R125=0,1,R125))))))+Z125), 0.25)</f>
        <v>0</v>
      </c>
      <c r="Z125" s="25"/>
      <c r="AA125" s="169">
        <f>Y125+Y125*VLOOKUP(I125,EXTRAS_ARRAY,2,FALSE)</f>
        <v>0</v>
      </c>
      <c r="AB125" s="23"/>
      <c r="AC125" s="37"/>
      <c r="AD125" s="26" t="str">
        <f>IF(J125&lt;&gt;"Yes",
IF(S125&lt;=0,"Error: Effort value is not defined or is invalid.",
IF(AND(SUM(U125:W125)&gt;0,SUM(U125:W125)&lt;&gt;1),"Error: Complexity % distribution should sum to 100%.",
IF(AND(P125=AS_DEV_EFFORT,X125&lt;&gt;0),"Error: PDs should not be defined when defining as dev effort %.",
IF(AND(P125=AS_DURATION_EFFORT,X125&lt;&gt;0),"Error: PDs should not be defined when defining as duration effort %.","")))))</f>
        <v>Error: Effort value is not defined or is invalid.</v>
      </c>
    </row>
    <row r="126" spans="1:30" ht="43.5" hidden="1" outlineLevel="2" x14ac:dyDescent="0.35">
      <c r="A126" s="93" t="s">
        <v>0</v>
      </c>
      <c r="B126" s="21"/>
      <c r="C126" s="85"/>
      <c r="D126" s="85"/>
      <c r="E126" s="85"/>
      <c r="F126" s="86"/>
      <c r="G126" s="22" t="s">
        <v>23</v>
      </c>
      <c r="H126" s="22" t="s">
        <v>23</v>
      </c>
      <c r="I126" s="23" t="s">
        <v>23</v>
      </c>
      <c r="J126" s="22" t="s">
        <v>23</v>
      </c>
      <c r="K126" s="38" t="s">
        <v>568</v>
      </c>
      <c r="L126" s="22"/>
      <c r="M126" s="286">
        <f ca="1">IFERROR(OFFSET(M126,-1,,1,1)+0.1,OFFSET(M126,-1,-1,1,1)&amp;".1")</f>
        <v>6.1999999999999993</v>
      </c>
      <c r="N126" s="23" t="s">
        <v>521</v>
      </c>
      <c r="O126" s="23"/>
      <c r="P126" s="23"/>
      <c r="Q126" s="144"/>
      <c r="R126" s="137"/>
      <c r="S126" s="169">
        <f>CEILING((IF(J126="Yes", 0, IF(H126="-",AA126,AA126+AA126*VLOOKUP(H126,BUFFERS_BY_TYPE,2,FALSE)))) +
   (IF(J126="Yes", 0, IF(H126="-",AA126,AA126+AA126*VLOOKUP(H126,BUFFERS_BY_TYPE,2,FALSE))))*VLOOKUP($S$5, SALES_CALL_SCALE_ARRAY, 2,FALSE),0.25)</f>
        <v>0</v>
      </c>
      <c r="T126" s="170"/>
      <c r="U126" s="24">
        <v>0</v>
      </c>
      <c r="V126" s="24">
        <v>1</v>
      </c>
      <c r="W126" s="24">
        <v>0</v>
      </c>
      <c r="X126" s="168"/>
      <c r="Y126" s="169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>0</v>
      </c>
      <c r="Z126" s="25"/>
      <c r="AA126" s="169">
        <f>Y126+Y126*VLOOKUP(I126,EXTRAS_ARRAY,2,FALSE)</f>
        <v>0</v>
      </c>
      <c r="AB126" s="23"/>
      <c r="AC126" s="37"/>
      <c r="AD126" s="26" t="str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>Error: Effort value is not defined or is invalid.</v>
      </c>
    </row>
    <row r="127" spans="1:30" s="11" customFormat="1" ht="7.5" hidden="1" customHeight="1" outlineLevel="2" x14ac:dyDescent="0.35">
      <c r="A127" s="93" t="s">
        <v>132</v>
      </c>
      <c r="B127" s="18"/>
      <c r="C127" s="78"/>
      <c r="D127" s="78"/>
      <c r="E127" s="78"/>
      <c r="F127" s="78"/>
      <c r="G127" s="10"/>
      <c r="H127" s="10"/>
      <c r="I127" s="10"/>
      <c r="J127" s="10"/>
      <c r="K127" s="10"/>
      <c r="L127" s="10"/>
      <c r="M127" s="287"/>
      <c r="N127" s="10"/>
      <c r="O127" s="10"/>
      <c r="P127" s="10"/>
      <c r="Q127" s="10"/>
      <c r="R127" s="10"/>
      <c r="S127" s="10"/>
      <c r="T127" s="18"/>
      <c r="U127" s="10"/>
      <c r="V127" s="10"/>
      <c r="W127" s="10"/>
      <c r="X127" s="18"/>
      <c r="Y127" s="10"/>
      <c r="Z127" s="10"/>
      <c r="AA127" s="10"/>
      <c r="AB127" s="60"/>
      <c r="AC127" s="60"/>
      <c r="AD127" s="12"/>
    </row>
    <row r="128" spans="1:30" s="11" customFormat="1" ht="3" hidden="1" customHeight="1" outlineLevel="1" x14ac:dyDescent="0.35">
      <c r="A128" s="93" t="s">
        <v>102</v>
      </c>
      <c r="B128" s="10"/>
      <c r="C128" s="78"/>
      <c r="D128" s="78"/>
      <c r="E128" s="78"/>
      <c r="F128" s="78"/>
      <c r="G128" s="59"/>
      <c r="H128" s="59"/>
      <c r="I128" s="59"/>
      <c r="J128" s="59"/>
      <c r="K128" s="59"/>
      <c r="L128" s="61"/>
      <c r="M128" s="288"/>
      <c r="N128" s="62"/>
      <c r="O128" s="62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2"/>
      <c r="AC128" s="62"/>
      <c r="AD128" s="12"/>
    </row>
    <row r="129" spans="1:30" s="17" customFormat="1" ht="18.5" collapsed="1" x14ac:dyDescent="0.35">
      <c r="A129" s="93" t="s">
        <v>98</v>
      </c>
      <c r="B129" s="14"/>
      <c r="C129" s="79"/>
      <c r="D129" s="79"/>
      <c r="E129" s="79"/>
      <c r="F129" s="78"/>
      <c r="G129" s="55"/>
      <c r="H129" s="55"/>
      <c r="I129" s="55"/>
      <c r="J129" s="55"/>
      <c r="K129" s="55"/>
      <c r="L129" s="55" t="s">
        <v>70</v>
      </c>
      <c r="M129" s="284" t="s">
        <v>74</v>
      </c>
      <c r="N129" s="56"/>
      <c r="O129" s="57"/>
      <c r="P129" s="58"/>
      <c r="Q129" s="58"/>
      <c r="R129" s="58"/>
      <c r="S129" s="299">
        <f>CEILING(SUMIF(J130:J166, "&lt;&gt;Yes", T130:T166),1)</f>
        <v>1</v>
      </c>
      <c r="T129" s="299"/>
      <c r="U129" s="58"/>
      <c r="V129" s="58"/>
      <c r="W129" s="58"/>
      <c r="X129" s="58"/>
      <c r="Y129" s="58"/>
      <c r="Z129" s="58"/>
      <c r="AA129" s="58"/>
      <c r="AB129" s="58"/>
      <c r="AC129" s="58"/>
      <c r="AD129" s="16"/>
    </row>
    <row r="130" spans="1:30" s="11" customFormat="1" ht="3" hidden="1" customHeight="1" outlineLevel="1" x14ac:dyDescent="0.35">
      <c r="A130" s="93" t="s">
        <v>99</v>
      </c>
      <c r="B130" s="18"/>
      <c r="C130" s="78"/>
      <c r="D130" s="78"/>
      <c r="E130" s="78"/>
      <c r="F130" s="78"/>
      <c r="G130" s="28"/>
      <c r="H130" s="28"/>
      <c r="I130" s="28"/>
      <c r="J130" s="28"/>
      <c r="K130" s="28"/>
      <c r="L130" s="29">
        <v>0</v>
      </c>
      <c r="M130" s="285"/>
      <c r="N130" s="28"/>
      <c r="O130" s="28"/>
      <c r="P130" s="28"/>
      <c r="Q130" s="28"/>
      <c r="R130" s="28"/>
      <c r="S130" s="28"/>
      <c r="T130" s="30"/>
      <c r="U130" s="28"/>
      <c r="V130" s="28"/>
      <c r="W130" s="28"/>
      <c r="X130" s="30"/>
      <c r="Y130" s="28"/>
      <c r="Z130" s="28"/>
      <c r="AA130" s="28"/>
      <c r="AB130" s="31"/>
      <c r="AC130" s="31"/>
      <c r="AD130" s="12"/>
    </row>
    <row r="131" spans="1:30" s="17" customFormat="1" ht="15.5" hidden="1" outlineLevel="1" x14ac:dyDescent="0.35">
      <c r="A131" s="93" t="s">
        <v>107</v>
      </c>
      <c r="B131" s="21"/>
      <c r="C131" s="84"/>
      <c r="D131" s="84"/>
      <c r="E131" s="84"/>
      <c r="F131" s="83"/>
      <c r="G131" s="185"/>
      <c r="H131" s="185"/>
      <c r="I131" s="185"/>
      <c r="J131" s="185"/>
      <c r="K131" s="185"/>
      <c r="L131" s="92" t="s">
        <v>109</v>
      </c>
      <c r="M131" s="316" t="s">
        <v>569</v>
      </c>
      <c r="N131" s="316"/>
      <c r="O131" s="87"/>
      <c r="P131" s="88"/>
      <c r="Q131" s="88"/>
      <c r="R131" s="88"/>
      <c r="S131" s="300">
        <f>SUMGROUP(ROW(), "T")</f>
        <v>0</v>
      </c>
      <c r="T131" s="300"/>
      <c r="U131" s="309"/>
      <c r="V131" s="309"/>
      <c r="W131" s="309"/>
      <c r="X131" s="89"/>
      <c r="Y131" s="90"/>
      <c r="Z131" s="90"/>
      <c r="AA131" s="90"/>
      <c r="AB131" s="243"/>
      <c r="AC131" s="91"/>
      <c r="AD131" s="26" t="str">
        <f>IF(M131="", "Error: Module name cannot be empty.", "")</f>
        <v/>
      </c>
    </row>
    <row r="132" spans="1:30" s="17" customFormat="1" ht="15.5" hidden="1" outlineLevel="1" collapsed="1" x14ac:dyDescent="0.35">
      <c r="A132" s="93" t="s">
        <v>100</v>
      </c>
      <c r="B132" s="21"/>
      <c r="C132" s="84"/>
      <c r="D132" s="84"/>
      <c r="E132" s="84"/>
      <c r="F132" s="83"/>
      <c r="G132" s="32"/>
      <c r="H132" s="32"/>
      <c r="I132" s="32"/>
      <c r="J132" s="32"/>
      <c r="K132" s="32"/>
      <c r="L132" s="20">
        <f ca="1">LOOKUP(1000,INDIRECT("L1:"&amp;CELL("address",INDIRECT("R[-1]C",FALSE))))+1</f>
        <v>1</v>
      </c>
      <c r="M132" s="298" t="s">
        <v>570</v>
      </c>
      <c r="N132" s="298"/>
      <c r="O132" s="5"/>
      <c r="P132" s="33"/>
      <c r="Q132" s="33"/>
      <c r="R132" s="33"/>
      <c r="S132" s="33"/>
      <c r="T132" s="167">
        <f>IF($S$6="Exclude", SUMIFS(S133:S136, J133:J136, "&lt;&gt;Yes", G133:G136, "&lt;&gt;Yes"), SUMIFS(S133:S136, J133:J136, "&lt;&gt;Yes"))</f>
        <v>0</v>
      </c>
      <c r="U132" s="33"/>
      <c r="V132" s="33"/>
      <c r="W132" s="33"/>
      <c r="X132" s="34"/>
      <c r="Y132" s="35"/>
      <c r="Z132" s="35"/>
      <c r="AA132" s="35"/>
      <c r="AB132" s="240"/>
      <c r="AC132" s="36"/>
      <c r="AD132" s="26" t="str">
        <f>IF(M132="", "Error: Task name cannot be empty.", "")</f>
        <v/>
      </c>
    </row>
    <row r="133" spans="1:30" s="15" customFormat="1" ht="1.5" hidden="1" customHeight="1" outlineLevel="2" x14ac:dyDescent="0.35">
      <c r="A133" s="93" t="s">
        <v>101</v>
      </c>
      <c r="B133" s="21"/>
      <c r="C133" s="84"/>
      <c r="D133" s="84"/>
      <c r="E133" s="84"/>
      <c r="F133" s="83"/>
      <c r="G133" s="32"/>
      <c r="H133" s="32"/>
      <c r="I133" s="32"/>
      <c r="J133" s="32"/>
      <c r="K133" s="32"/>
      <c r="L133" s="175">
        <f ca="1">L132</f>
        <v>1</v>
      </c>
      <c r="M133" s="176" t="s">
        <v>105</v>
      </c>
      <c r="N133" s="173"/>
      <c r="O133" s="174"/>
      <c r="P133" s="33"/>
      <c r="Q133" s="33"/>
      <c r="R133" s="33"/>
      <c r="S133" s="33"/>
      <c r="T133" s="167"/>
      <c r="U133" s="33"/>
      <c r="V133" s="33"/>
      <c r="W133" s="33"/>
      <c r="X133" s="34"/>
      <c r="Y133" s="35"/>
      <c r="Z133" s="35"/>
      <c r="AA133" s="35"/>
      <c r="AB133" s="36"/>
      <c r="AC133" s="36"/>
      <c r="AD133" s="26"/>
    </row>
    <row r="134" spans="1:30" ht="43.5" hidden="1" outlineLevel="2" x14ac:dyDescent="0.35">
      <c r="A134" s="93" t="s">
        <v>0</v>
      </c>
      <c r="B134" s="21"/>
      <c r="C134" s="85"/>
      <c r="D134" s="85"/>
      <c r="E134" s="85"/>
      <c r="F134" s="86"/>
      <c r="G134" s="22" t="s">
        <v>23</v>
      </c>
      <c r="H134" s="22" t="s">
        <v>23</v>
      </c>
      <c r="I134" s="23" t="s">
        <v>23</v>
      </c>
      <c r="J134" s="22" t="s">
        <v>23</v>
      </c>
      <c r="K134" s="38"/>
      <c r="L134" s="22"/>
      <c r="M134" s="286" t="str">
        <f ca="1">IFERROR(OFFSET(M134,-1,,1,1)+0.1,OFFSET(M134,-1,-1,1,1)&amp;".1")</f>
        <v>1.1</v>
      </c>
      <c r="N134" s="23" t="s">
        <v>571</v>
      </c>
      <c r="O134" s="23"/>
      <c r="P134" s="23"/>
      <c r="Q134" s="144"/>
      <c r="R134" s="137"/>
      <c r="S134" s="169">
        <f>CEILING((IF(J134="Yes", 0, IF(H134="-",AA134,AA134+AA134*VLOOKUP(H134,BUFFERS_BY_TYPE,2,FALSE)))) +
   (IF(J134="Yes", 0, IF(H134="-",AA134,AA134+AA134*VLOOKUP(H134,BUFFERS_BY_TYPE,2,FALSE))))*VLOOKUP($S$5, SALES_CALL_SCALE_ARRAY, 2,FALSE),0.25)</f>
        <v>0</v>
      </c>
      <c r="T134" s="170"/>
      <c r="U134" s="24">
        <v>0</v>
      </c>
      <c r="V134" s="24">
        <v>1</v>
      </c>
      <c r="W134" s="24">
        <v>0</v>
      </c>
      <c r="X134" s="168"/>
      <c r="Y134" s="169">
        <f>CEILING((IF(P134=AS_DEV_EFFORT, DEV_EFFORT*Q134%,
                           IF(P134=AS_DURATION_EFFORT, (MANUAL_DURATION*5)*Q134%,
                                    (IF(Q134&lt;=1,X134,
                                          IF(SUM(U134:W134)=0,(Q134*X134),
                                               (((Q134*U134)*(X134+(X134*EXTRA_FOR_H)))+
                                               ((Q134*V134)*X134)+
                                               ((Q134*W134)*(X134-(X134*LESS_FOR_L)))
                                    )*IF(R134=0,1,R134))))))+Z134), 0.25)</f>
        <v>0</v>
      </c>
      <c r="Z134" s="25"/>
      <c r="AA134" s="169">
        <f>Y134+Y134*VLOOKUP(I134,EXTRAS_ARRAY,2,FALSE)</f>
        <v>0</v>
      </c>
      <c r="AB134" s="23"/>
      <c r="AC134" s="37"/>
      <c r="AD134" s="26" t="str">
        <f>IF(J134&lt;&gt;"Yes",
IF(S134&lt;=0,"Error: Effort value is not defined or is invalid.",
IF(AND(SUM(U134:W134)&gt;0,SUM(U134:W134)&lt;&gt;1),"Error: Complexity % distribution should sum to 100%.",
IF(AND(P134=AS_DEV_EFFORT,X134&lt;&gt;0),"Error: PDs should not be defined when defining as dev effort %.",
IF(AND(P134=AS_DURATION_EFFORT,X134&lt;&gt;0),"Error: PDs should not be defined when defining as duration effort %.","")))))</f>
        <v>Error: Effort value is not defined or is invalid.</v>
      </c>
    </row>
    <row r="135" spans="1:30" ht="43.5" hidden="1" outlineLevel="2" x14ac:dyDescent="0.35">
      <c r="A135" s="93" t="s">
        <v>0</v>
      </c>
      <c r="B135" s="21"/>
      <c r="C135" s="85"/>
      <c r="D135" s="85"/>
      <c r="E135" s="85"/>
      <c r="F135" s="86"/>
      <c r="G135" s="22" t="s">
        <v>23</v>
      </c>
      <c r="H135" s="22" t="s">
        <v>23</v>
      </c>
      <c r="I135" s="23" t="s">
        <v>23</v>
      </c>
      <c r="J135" s="22" t="s">
        <v>23</v>
      </c>
      <c r="K135" s="38"/>
      <c r="L135" s="22"/>
      <c r="M135" s="286">
        <f ca="1">IFERROR(OFFSET(M135,-1,,1,1)+0.1,OFFSET(M135,-1,-1,1,1)&amp;".1")</f>
        <v>1.2000000000000002</v>
      </c>
      <c r="N135" s="23" t="s">
        <v>572</v>
      </c>
      <c r="O135" s="23"/>
      <c r="P135" s="23" t="s">
        <v>573</v>
      </c>
      <c r="Q135" s="144">
        <f>Total_Use_Cases</f>
        <v>0</v>
      </c>
      <c r="R135" s="137"/>
      <c r="S135" s="169">
        <f>CEILING((IF(J135="Yes", 0, IF(H135="-",AA135,AA135+AA135*VLOOKUP(H135,BUFFERS_BY_TYPE,2,FALSE)))) +
   (IF(J135="Yes", 0, IF(H135="-",AA135,AA135+AA135*VLOOKUP(H135,BUFFERS_BY_TYPE,2,FALSE))))*VLOOKUP($S$5, SALES_CALL_SCALE_ARRAY, 2,FALSE),0.25)</f>
        <v>0</v>
      </c>
      <c r="T135" s="170"/>
      <c r="U135" s="24">
        <v>0</v>
      </c>
      <c r="V135" s="24">
        <v>1</v>
      </c>
      <c r="W135" s="24">
        <v>0</v>
      </c>
      <c r="X135" s="168"/>
      <c r="Y135" s="169">
        <f>CEILING((IF(P135=AS_DEV_EFFORT, DEV_EFFORT*Q135%,
                           IF(P135=AS_DURATION_EFFORT, (MANUAL_DURATION*5)*Q135%,
                                    (IF(Q135&lt;=1,X135,
                                          IF(SUM(U135:W135)=0,(Q135*X135),
                                               (((Q135*U135)*(X135+(X135*EXTRA_FOR_H)))+
                                               ((Q135*V135)*X135)+
                                               ((Q135*W135)*(X135-(X135*LESS_FOR_L)))
                                    )*IF(R135=0,1,R135))))))+Z135), 0.25)</f>
        <v>0</v>
      </c>
      <c r="Z135" s="25"/>
      <c r="AA135" s="169">
        <f>Y135+Y135*VLOOKUP(I135,EXTRAS_ARRAY,2,FALSE)</f>
        <v>0</v>
      </c>
      <c r="AB135" s="23"/>
      <c r="AC135" s="37"/>
      <c r="AD135" s="26" t="str">
        <f>IF(J135&lt;&gt;"Yes",
IF(S135&lt;=0,"Error: Effort value is not defined or is invalid.",
IF(AND(SUM(U135:W135)&gt;0,SUM(U135:W135)&lt;&gt;1),"Error: Complexity % distribution should sum to 100%.",
IF(AND(P135=AS_DEV_EFFORT,X135&lt;&gt;0),"Error: PDs should not be defined when defining as dev effort %.",
IF(AND(P135=AS_DURATION_EFFORT,X135&lt;&gt;0),"Error: PDs should not be defined when defining as duration effort %.","")))))</f>
        <v>Error: Effort value is not defined or is invalid.</v>
      </c>
    </row>
    <row r="136" spans="1:30" s="11" customFormat="1" ht="7.5" hidden="1" customHeight="1" outlineLevel="2" x14ac:dyDescent="0.35">
      <c r="A136" s="93" t="s">
        <v>132</v>
      </c>
      <c r="B136" s="18"/>
      <c r="C136" s="78"/>
      <c r="D136" s="78"/>
      <c r="E136" s="78"/>
      <c r="F136" s="78"/>
      <c r="G136" s="10"/>
      <c r="H136" s="10"/>
      <c r="I136" s="10"/>
      <c r="J136" s="10"/>
      <c r="K136" s="10"/>
      <c r="L136" s="10"/>
      <c r="M136" s="287"/>
      <c r="N136" s="10"/>
      <c r="O136" s="10"/>
      <c r="P136" s="10"/>
      <c r="Q136" s="10"/>
      <c r="R136" s="10"/>
      <c r="S136" s="10"/>
      <c r="T136" s="18"/>
      <c r="U136" s="10"/>
      <c r="V136" s="10"/>
      <c r="W136" s="10"/>
      <c r="X136" s="18"/>
      <c r="Y136" s="10"/>
      <c r="Z136" s="10"/>
      <c r="AA136" s="10"/>
      <c r="AB136" s="60"/>
      <c r="AC136" s="60"/>
      <c r="AD136" s="12"/>
    </row>
    <row r="137" spans="1:30" s="17" customFormat="1" ht="15.5" hidden="1" outlineLevel="1" x14ac:dyDescent="0.35">
      <c r="A137" s="93" t="s">
        <v>107</v>
      </c>
      <c r="B137" s="21"/>
      <c r="C137" s="84"/>
      <c r="D137" s="84"/>
      <c r="E137" s="84"/>
      <c r="F137" s="83"/>
      <c r="G137" s="185"/>
      <c r="H137" s="185"/>
      <c r="I137" s="185"/>
      <c r="J137" s="185"/>
      <c r="K137" s="185"/>
      <c r="L137" s="92" t="s">
        <v>109</v>
      </c>
      <c r="M137" s="316" t="s">
        <v>574</v>
      </c>
      <c r="N137" s="316"/>
      <c r="O137" s="87"/>
      <c r="P137" s="88"/>
      <c r="Q137" s="88"/>
      <c r="R137" s="88"/>
      <c r="S137" s="300">
        <f>SUMGROUP(ROW(), "T")</f>
        <v>0.5</v>
      </c>
      <c r="T137" s="300"/>
      <c r="U137" s="309"/>
      <c r="V137" s="309"/>
      <c r="W137" s="309"/>
      <c r="X137" s="89"/>
      <c r="Y137" s="90"/>
      <c r="Z137" s="90"/>
      <c r="AA137" s="90"/>
      <c r="AB137" s="243"/>
      <c r="AC137" s="91"/>
      <c r="AD137" s="26" t="str">
        <f>IF(M137="", "Error: Module name cannot be empty.", "")</f>
        <v/>
      </c>
    </row>
    <row r="138" spans="1:30" s="17" customFormat="1" ht="15.5" hidden="1" outlineLevel="1" collapsed="1" x14ac:dyDescent="0.35">
      <c r="A138" s="93" t="s">
        <v>100</v>
      </c>
      <c r="B138" s="21"/>
      <c r="C138" s="84"/>
      <c r="D138" s="84"/>
      <c r="E138" s="84"/>
      <c r="F138" s="83"/>
      <c r="G138" s="32"/>
      <c r="H138" s="32"/>
      <c r="I138" s="32"/>
      <c r="J138" s="32"/>
      <c r="K138" s="32"/>
      <c r="L138" s="20">
        <f ca="1">LOOKUP(1000,INDIRECT("L1:"&amp;CELL("address",INDIRECT("R[-1]C",FALSE))))+1</f>
        <v>2</v>
      </c>
      <c r="M138" s="298" t="s">
        <v>467</v>
      </c>
      <c r="N138" s="298"/>
      <c r="O138" s="5"/>
      <c r="P138" s="33"/>
      <c r="Q138" s="33"/>
      <c r="R138" s="33"/>
      <c r="S138" s="33"/>
      <c r="T138" s="167">
        <f>IF($S$6="Exclude", SUMIFS(S139:S144, J139:J144, "&lt;&gt;Yes", G139:G144, "&lt;&gt;Yes"), SUMIFS(S139:S144, J139:J144, "&lt;&gt;Yes"))</f>
        <v>0</v>
      </c>
      <c r="U138" s="33"/>
      <c r="V138" s="33"/>
      <c r="W138" s="33"/>
      <c r="X138" s="34"/>
      <c r="Y138" s="35"/>
      <c r="Z138" s="35"/>
      <c r="AA138" s="35"/>
      <c r="AB138" s="240"/>
      <c r="AC138" s="36"/>
      <c r="AD138" s="26" t="str">
        <f>IF(M138="", "Error: Task name cannot be empty.", "")</f>
        <v/>
      </c>
    </row>
    <row r="139" spans="1:30" s="15" customFormat="1" ht="1.5" hidden="1" customHeight="1" outlineLevel="2" x14ac:dyDescent="0.35">
      <c r="A139" s="93" t="s">
        <v>101</v>
      </c>
      <c r="B139" s="21"/>
      <c r="C139" s="84"/>
      <c r="D139" s="84"/>
      <c r="E139" s="84"/>
      <c r="F139" s="83"/>
      <c r="G139" s="32"/>
      <c r="H139" s="32"/>
      <c r="I139" s="32"/>
      <c r="J139" s="32"/>
      <c r="K139" s="32"/>
      <c r="L139" s="175">
        <f ca="1">L138</f>
        <v>2</v>
      </c>
      <c r="M139" s="176" t="s">
        <v>105</v>
      </c>
      <c r="N139" s="173"/>
      <c r="O139" s="174"/>
      <c r="P139" s="33"/>
      <c r="Q139" s="33"/>
      <c r="R139" s="33"/>
      <c r="S139" s="33"/>
      <c r="T139" s="167"/>
      <c r="U139" s="33"/>
      <c r="V139" s="33"/>
      <c r="W139" s="33"/>
      <c r="X139" s="34"/>
      <c r="Y139" s="35"/>
      <c r="Z139" s="35"/>
      <c r="AA139" s="35"/>
      <c r="AB139" s="36"/>
      <c r="AC139" s="36"/>
      <c r="AD139" s="26"/>
    </row>
    <row r="140" spans="1:30" ht="43.5" hidden="1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/>
      <c r="L140" s="22"/>
      <c r="M140" s="286" t="str">
        <f ca="1">IFERROR(OFFSET(M140,-1,,1,1)+0.1,OFFSET(M140,-1,-1,1,1)&amp;".1")</f>
        <v>2.1</v>
      </c>
      <c r="N140" s="23" t="s">
        <v>485</v>
      </c>
      <c r="O140" s="23"/>
      <c r="P140" s="23"/>
      <c r="Q140" s="144"/>
      <c r="R140" s="137"/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</v>
      </c>
      <c r="T140" s="170"/>
      <c r="U140" s="24">
        <v>0</v>
      </c>
      <c r="V140" s="24">
        <v>1</v>
      </c>
      <c r="W140" s="24">
        <v>0</v>
      </c>
      <c r="X140" s="168"/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</v>
      </c>
      <c r="Z140" s="25"/>
      <c r="AA140" s="169">
        <f>Y140+Y140*VLOOKUP(I140,EXTRAS_ARRAY,2,FALSE)</f>
        <v>0</v>
      </c>
      <c r="AB140" s="23"/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>Error: Effort value is not defined or is invalid.</v>
      </c>
    </row>
    <row r="141" spans="1:30" ht="87" hidden="1" outlineLevel="2" x14ac:dyDescent="0.35">
      <c r="A141" s="93" t="s">
        <v>0</v>
      </c>
      <c r="B141" s="21"/>
      <c r="C141" s="85"/>
      <c r="D141" s="85"/>
      <c r="E141" s="85"/>
      <c r="F141" s="86"/>
      <c r="G141" s="22" t="s">
        <v>23</v>
      </c>
      <c r="H141" s="22" t="s">
        <v>23</v>
      </c>
      <c r="I141" s="23" t="s">
        <v>23</v>
      </c>
      <c r="J141" s="22" t="s">
        <v>23</v>
      </c>
      <c r="K141" s="38" t="s">
        <v>489</v>
      </c>
      <c r="L141" s="22"/>
      <c r="M141" s="286">
        <f ca="1">IFERROR(OFFSET(M141,-1,,1,1)+0.1,OFFSET(M141,-1,-1,1,1)&amp;".1")</f>
        <v>2.2000000000000002</v>
      </c>
      <c r="N141" s="23" t="s">
        <v>486</v>
      </c>
      <c r="O141" s="23" t="s">
        <v>575</v>
      </c>
      <c r="P141" s="23">
        <f>Total_Use_Cases * R141</f>
        <v>0</v>
      </c>
      <c r="Q141" s="144">
        <f>Total_Use_Cases</f>
        <v>0</v>
      </c>
      <c r="R141" s="137">
        <v>5</v>
      </c>
      <c r="S141" s="169">
        <f>CEILING((IF(J141="Yes", 0, IF(H141="-",AA141,AA141+AA141*VLOOKUP(H141,BUFFERS_BY_TYPE,2,FALSE)))) +
   (IF(J141="Yes", 0, IF(H141="-",AA141,AA141+AA141*VLOOKUP(H141,BUFFERS_BY_TYPE,2,FALSE))))*VLOOKUP($S$5, SALES_CALL_SCALE_ARRAY, 2,FALSE),0.25)</f>
        <v>0</v>
      </c>
      <c r="T141" s="170"/>
      <c r="U141" s="24">
        <v>0</v>
      </c>
      <c r="V141" s="24">
        <v>1</v>
      </c>
      <c r="W141" s="24">
        <v>0</v>
      </c>
      <c r="X141" s="168"/>
      <c r="Y141" s="169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0</v>
      </c>
      <c r="Z141" s="25"/>
      <c r="AA141" s="169">
        <f>Y141+Y141*VLOOKUP(I141,EXTRAS_ARRAY,2,FALSE)</f>
        <v>0</v>
      </c>
      <c r="AB141" s="23"/>
      <c r="AC141" s="37"/>
      <c r="AD141" s="26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>Error: Effort value is not defined or is invalid.</v>
      </c>
    </row>
    <row r="142" spans="1:30" ht="87" hidden="1" outlineLevel="2" x14ac:dyDescent="0.35">
      <c r="A142" s="93" t="s">
        <v>0</v>
      </c>
      <c r="B142" s="21"/>
      <c r="C142" s="85"/>
      <c r="D142" s="85"/>
      <c r="E142" s="85"/>
      <c r="F142" s="86"/>
      <c r="G142" s="22" t="s">
        <v>23</v>
      </c>
      <c r="H142" s="22" t="s">
        <v>23</v>
      </c>
      <c r="I142" s="23" t="s">
        <v>23</v>
      </c>
      <c r="J142" s="22" t="s">
        <v>23</v>
      </c>
      <c r="K142" s="38" t="s">
        <v>490</v>
      </c>
      <c r="L142" s="22"/>
      <c r="M142" s="286">
        <f ca="1">IFERROR(OFFSET(M142,-1,,1,1)+0.1,OFFSET(M142,-1,-1,1,1)&amp;".1")</f>
        <v>2.3000000000000003</v>
      </c>
      <c r="N142" s="23" t="s">
        <v>487</v>
      </c>
      <c r="O142" s="23" t="s">
        <v>575</v>
      </c>
      <c r="P142" s="23">
        <f>Total_Use_Cases * R142</f>
        <v>0</v>
      </c>
      <c r="Q142" s="144">
        <f>Total_Use_Cases</f>
        <v>0</v>
      </c>
      <c r="R142" s="137">
        <v>5</v>
      </c>
      <c r="S142" s="169">
        <f>CEILING((IF(J142="Yes", 0, IF(H142="-",AA142,AA142+AA142*VLOOKUP(H142,BUFFERS_BY_TYPE,2,FALSE)))) +
   (IF(J142="Yes", 0, IF(H142="-",AA142,AA142+AA142*VLOOKUP(H142,BUFFERS_BY_TYPE,2,FALSE))))*VLOOKUP($S$5, SALES_CALL_SCALE_ARRAY, 2,FALSE),0.25)</f>
        <v>0</v>
      </c>
      <c r="T142" s="170"/>
      <c r="U142" s="24">
        <v>0</v>
      </c>
      <c r="V142" s="24">
        <v>1</v>
      </c>
      <c r="W142" s="24">
        <v>0</v>
      </c>
      <c r="X142" s="168"/>
      <c r="Y142" s="169">
        <f>CEILING((IF(P142=AS_DEV_EFFORT, DEV_EFFORT*Q142%,
                           IF(P142=AS_DURATION_EFFORT, (MANUAL_DURATION*5)*Q142%,
                                    (IF(Q142&lt;=1,X142,
                                          IF(SUM(U142:W142)=0,(Q142*X142),
                                               (((Q142*U142)*(X142+(X142*EXTRA_FOR_H)))+
                                               ((Q142*V142)*X142)+
                                               ((Q142*W142)*(X142-(X142*LESS_FOR_L)))
                                    )*IF(R142=0,1,R142))))))+Z142), 0.25)</f>
        <v>0</v>
      </c>
      <c r="Z142" s="25"/>
      <c r="AA142" s="169">
        <f>Y142+Y142*VLOOKUP(I142,EXTRAS_ARRAY,2,FALSE)</f>
        <v>0</v>
      </c>
      <c r="AB142" s="23"/>
      <c r="AC142" s="37"/>
      <c r="AD142" s="26" t="str">
        <f>IF(J142&lt;&gt;"Yes",
IF(S142&lt;=0,"Error: Effort value is not defined or is invalid.",
IF(AND(SUM(U142:W142)&gt;0,SUM(U142:W142)&lt;&gt;1),"Error: Complexity % distribution should sum to 100%.",
IF(AND(P142=AS_DEV_EFFORT,X142&lt;&gt;0),"Error: PDs should not be defined when defining as dev effort %.",
IF(AND(P142=AS_DURATION_EFFORT,X142&lt;&gt;0),"Error: PDs should not be defined when defining as duration effort %.","")))))</f>
        <v>Error: Effort value is not defined or is invalid.</v>
      </c>
    </row>
    <row r="143" spans="1:30" ht="43.5" hidden="1" outlineLevel="2" x14ac:dyDescent="0.35">
      <c r="A143" s="93" t="s">
        <v>0</v>
      </c>
      <c r="B143" s="21"/>
      <c r="C143" s="85"/>
      <c r="D143" s="85"/>
      <c r="E143" s="85"/>
      <c r="F143" s="86"/>
      <c r="G143" s="22" t="s">
        <v>23</v>
      </c>
      <c r="H143" s="22" t="s">
        <v>23</v>
      </c>
      <c r="I143" s="23" t="s">
        <v>23</v>
      </c>
      <c r="J143" s="22" t="s">
        <v>23</v>
      </c>
      <c r="K143" s="38"/>
      <c r="L143" s="22"/>
      <c r="M143" s="286">
        <f ca="1">IFERROR(OFFSET(M143,-1,,1,1)+0.1,OFFSET(M143,-1,-1,1,1)&amp;".1")</f>
        <v>2.4000000000000004</v>
      </c>
      <c r="N143" s="23" t="s">
        <v>488</v>
      </c>
      <c r="O143" s="23"/>
      <c r="P143" s="23"/>
      <c r="Q143" s="144"/>
      <c r="R143" s="137"/>
      <c r="S143" s="169">
        <f>CEILING((IF(J143="Yes", 0, IF(H143="-",AA143,AA143+AA143*VLOOKUP(H143,BUFFERS_BY_TYPE,2,FALSE)))) +
   (IF(J143="Yes", 0, IF(H143="-",AA143,AA143+AA143*VLOOKUP(H143,BUFFERS_BY_TYPE,2,FALSE))))*VLOOKUP($S$5, SALES_CALL_SCALE_ARRAY, 2,FALSE),0.25)</f>
        <v>0</v>
      </c>
      <c r="T143" s="170"/>
      <c r="U143" s="24">
        <v>0</v>
      </c>
      <c r="V143" s="24">
        <v>1</v>
      </c>
      <c r="W143" s="24">
        <v>0</v>
      </c>
      <c r="X143" s="168"/>
      <c r="Y143" s="169">
        <f>CEILING((IF(P143=AS_DEV_EFFORT, DEV_EFFORT*Q143%,
                           IF(P143=AS_DURATION_EFFORT, (MANUAL_DURATION*5)*Q143%,
                                    (IF(Q143&lt;=1,X143,
                                          IF(SUM(U143:W143)=0,(Q143*X143),
                                               (((Q143*U143)*(X143+(X143*EXTRA_FOR_H)))+
                                               ((Q143*V143)*X143)+
                                               ((Q143*W143)*(X143-(X143*LESS_FOR_L)))
                                    )*IF(R143=0,1,R143))))))+Z143), 0.25)</f>
        <v>0</v>
      </c>
      <c r="Z143" s="25"/>
      <c r="AA143" s="169">
        <f>Y143+Y143*VLOOKUP(I143,EXTRAS_ARRAY,2,FALSE)</f>
        <v>0</v>
      </c>
      <c r="AB143" s="23"/>
      <c r="AC143" s="37"/>
      <c r="AD143" s="26" t="str">
        <f>IF(J143&lt;&gt;"Yes",
IF(S143&lt;=0,"Error: Effort value is not defined or is invalid.",
IF(AND(SUM(U143:W143)&gt;0,SUM(U143:W143)&lt;&gt;1),"Error: Complexity % distribution should sum to 100%.",
IF(AND(P143=AS_DEV_EFFORT,X143&lt;&gt;0),"Error: PDs should not be defined when defining as dev effort %.",
IF(AND(P143=AS_DURATION_EFFORT,X143&lt;&gt;0),"Error: PDs should not be defined when defining as duration effort %.","")))))</f>
        <v>Error: Effort value is not defined or is invalid.</v>
      </c>
    </row>
    <row r="144" spans="1:30" s="11" customFormat="1" ht="7.5" hidden="1" customHeight="1" outlineLevel="2" x14ac:dyDescent="0.35">
      <c r="A144" s="93" t="s">
        <v>132</v>
      </c>
      <c r="B144" s="18"/>
      <c r="C144" s="78"/>
      <c r="D144" s="78"/>
      <c r="E144" s="78"/>
      <c r="F144" s="78"/>
      <c r="G144" s="10"/>
      <c r="H144" s="10"/>
      <c r="I144" s="10"/>
      <c r="J144" s="10"/>
      <c r="K144" s="10"/>
      <c r="L144" s="10"/>
      <c r="M144" s="287"/>
      <c r="N144" s="10"/>
      <c r="O144" s="10"/>
      <c r="P144" s="10"/>
      <c r="Q144" s="10"/>
      <c r="R144" s="10"/>
      <c r="S144" s="10"/>
      <c r="T144" s="18"/>
      <c r="U144" s="10"/>
      <c r="V144" s="10"/>
      <c r="W144" s="10"/>
      <c r="X144" s="18"/>
      <c r="Y144" s="10"/>
      <c r="Z144" s="10"/>
      <c r="AA144" s="10"/>
      <c r="AB144" s="60"/>
      <c r="AC144" s="60"/>
      <c r="AD144" s="12"/>
    </row>
    <row r="145" spans="1:30" s="17" customFormat="1" ht="15.5" hidden="1" outlineLevel="1" collapsed="1" x14ac:dyDescent="0.35">
      <c r="A145" s="93" t="s">
        <v>100</v>
      </c>
      <c r="B145" s="21"/>
      <c r="C145" s="84"/>
      <c r="D145" s="84"/>
      <c r="E145" s="84"/>
      <c r="F145" s="83"/>
      <c r="G145" s="32"/>
      <c r="H145" s="32"/>
      <c r="I145" s="32"/>
      <c r="J145" s="32"/>
      <c r="K145" s="32"/>
      <c r="L145" s="20">
        <f ca="1">LOOKUP(1000,INDIRECT("L1:"&amp;CELL("address",INDIRECT("R[-1]C",FALSE))))+1</f>
        <v>3</v>
      </c>
      <c r="M145" s="298" t="s">
        <v>505</v>
      </c>
      <c r="N145" s="298"/>
      <c r="O145" s="5"/>
      <c r="P145" s="33"/>
      <c r="Q145" s="33"/>
      <c r="R145" s="33"/>
      <c r="S145" s="33"/>
      <c r="T145" s="167">
        <f>IF($S$6="Exclude", SUMIFS(S146:S149, J146:J149, "&lt;&gt;Yes", G146:G149, "&lt;&gt;Yes"), SUMIFS(S146:S149, J146:J149, "&lt;&gt;Yes"))</f>
        <v>0</v>
      </c>
      <c r="U145" s="33"/>
      <c r="V145" s="33"/>
      <c r="W145" s="33"/>
      <c r="X145" s="34"/>
      <c r="Y145" s="35"/>
      <c r="Z145" s="35"/>
      <c r="AA145" s="35"/>
      <c r="AB145" s="240"/>
      <c r="AC145" s="36"/>
      <c r="AD145" s="26" t="str">
        <f>IF(M145="", "Error: Task name cannot be empty.", "")</f>
        <v/>
      </c>
    </row>
    <row r="146" spans="1:30" s="15" customFormat="1" ht="1.5" hidden="1" customHeight="1" outlineLevel="2" x14ac:dyDescent="0.35">
      <c r="A146" s="93" t="s">
        <v>101</v>
      </c>
      <c r="B146" s="21"/>
      <c r="C146" s="84"/>
      <c r="D146" s="84"/>
      <c r="E146" s="84"/>
      <c r="F146" s="83"/>
      <c r="G146" s="32"/>
      <c r="H146" s="32"/>
      <c r="I146" s="32"/>
      <c r="J146" s="32"/>
      <c r="K146" s="32"/>
      <c r="L146" s="175">
        <f ca="1">L145</f>
        <v>3</v>
      </c>
      <c r="M146" s="176" t="s">
        <v>105</v>
      </c>
      <c r="N146" s="173"/>
      <c r="O146" s="174"/>
      <c r="P146" s="33"/>
      <c r="Q146" s="33"/>
      <c r="R146" s="33"/>
      <c r="S146" s="33"/>
      <c r="T146" s="167"/>
      <c r="U146" s="33"/>
      <c r="V146" s="33"/>
      <c r="W146" s="33"/>
      <c r="X146" s="34"/>
      <c r="Y146" s="35"/>
      <c r="Z146" s="35"/>
      <c r="AA146" s="35"/>
      <c r="AB146" s="36"/>
      <c r="AC146" s="36"/>
      <c r="AD146" s="26"/>
    </row>
    <row r="147" spans="1:30" ht="43.5" hidden="1" outlineLevel="2" x14ac:dyDescent="0.35">
      <c r="A147" s="93" t="s">
        <v>0</v>
      </c>
      <c r="B147" s="21"/>
      <c r="C147" s="85"/>
      <c r="D147" s="85"/>
      <c r="E147" s="85"/>
      <c r="F147" s="86"/>
      <c r="G147" s="22" t="s">
        <v>23</v>
      </c>
      <c r="H147" s="22" t="s">
        <v>23</v>
      </c>
      <c r="I147" s="23" t="s">
        <v>23</v>
      </c>
      <c r="J147" s="22" t="s">
        <v>23</v>
      </c>
      <c r="K147" s="38"/>
      <c r="L147" s="22"/>
      <c r="M147" s="286" t="str">
        <f ca="1">IFERROR(OFFSET(M147,-1,,1,1)+0.1,OFFSET(M147,-1,-1,1,1)&amp;".1")</f>
        <v>3.1</v>
      </c>
      <c r="N147" s="23" t="s">
        <v>506</v>
      </c>
      <c r="O147" s="23"/>
      <c r="P147" s="23"/>
      <c r="Q147" s="144"/>
      <c r="R147" s="137"/>
      <c r="S147" s="169">
        <f>CEILING((IF(J147="Yes", 0, IF(H147="-",AA147,AA147+AA147*VLOOKUP(H147,BUFFERS_BY_TYPE,2,FALSE)))) +
   (IF(J147="Yes", 0, IF(H147="-",AA147,AA147+AA147*VLOOKUP(H147,BUFFERS_BY_TYPE,2,FALSE))))*VLOOKUP($S$5, SALES_CALL_SCALE_ARRAY, 2,FALSE),0.25)</f>
        <v>0</v>
      </c>
      <c r="T147" s="170"/>
      <c r="U147" s="24">
        <v>0</v>
      </c>
      <c r="V147" s="24">
        <v>1</v>
      </c>
      <c r="W147" s="24">
        <v>0</v>
      </c>
      <c r="X147" s="168"/>
      <c r="Y147" s="169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0</v>
      </c>
      <c r="Z147" s="25"/>
      <c r="AA147" s="169">
        <f>Y147+Y147*VLOOKUP(I147,EXTRAS_ARRAY,2,FALSE)</f>
        <v>0</v>
      </c>
      <c r="AB147" s="23"/>
      <c r="AC147" s="37"/>
      <c r="AD147" s="26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>Error: Effort value is not defined or is invalid.</v>
      </c>
    </row>
    <row r="148" spans="1:30" ht="43.5" hidden="1" outlineLevel="2" x14ac:dyDescent="0.35">
      <c r="A148" s="93" t="s">
        <v>0</v>
      </c>
      <c r="B148" s="21"/>
      <c r="C148" s="85"/>
      <c r="D148" s="85"/>
      <c r="E148" s="85"/>
      <c r="F148" s="86"/>
      <c r="G148" s="22" t="s">
        <v>23</v>
      </c>
      <c r="H148" s="22" t="s">
        <v>23</v>
      </c>
      <c r="I148" s="23" t="s">
        <v>23</v>
      </c>
      <c r="J148" s="22" t="s">
        <v>23</v>
      </c>
      <c r="K148" s="38" t="s">
        <v>577</v>
      </c>
      <c r="L148" s="22"/>
      <c r="M148" s="286">
        <f ca="1">IFERROR(OFFSET(M148,-1,,1,1)+0.1,OFFSET(M148,-1,-1,1,1)&amp;".1")</f>
        <v>3.2</v>
      </c>
      <c r="N148" s="23" t="s">
        <v>507</v>
      </c>
      <c r="O148" s="23" t="s">
        <v>576</v>
      </c>
      <c r="P148" s="274">
        <v>0.1</v>
      </c>
      <c r="Q148" s="144">
        <f>Total_Test_Cases * P148</f>
        <v>0</v>
      </c>
      <c r="R148" s="137"/>
      <c r="S148" s="169">
        <f>CEILING((IF(J148="Yes", 0, IF(H148="-",AA148,AA148+AA148*VLOOKUP(H148,BUFFERS_BY_TYPE,2,FALSE)))) +
   (IF(J148="Yes", 0, IF(H148="-",AA148,AA148+AA148*VLOOKUP(H148,BUFFERS_BY_TYPE,2,FALSE))))*VLOOKUP($S$5, SALES_CALL_SCALE_ARRAY, 2,FALSE),0.25)</f>
        <v>0</v>
      </c>
      <c r="T148" s="170"/>
      <c r="U148" s="24">
        <v>0</v>
      </c>
      <c r="V148" s="24">
        <v>1</v>
      </c>
      <c r="W148" s="24">
        <v>0</v>
      </c>
      <c r="X148" s="168"/>
      <c r="Y148" s="169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0</v>
      </c>
      <c r="Z148" s="25"/>
      <c r="AA148" s="169">
        <f>Y148+Y148*VLOOKUP(I148,EXTRAS_ARRAY,2,FALSE)</f>
        <v>0</v>
      </c>
      <c r="AB148" s="23"/>
      <c r="AC148" s="37"/>
      <c r="AD148" s="26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>Error: Effort value is not defined or is invalid.</v>
      </c>
    </row>
    <row r="149" spans="1:30" s="11" customFormat="1" ht="7.5" hidden="1" customHeight="1" outlineLevel="2" x14ac:dyDescent="0.35">
      <c r="A149" s="93" t="s">
        <v>132</v>
      </c>
      <c r="B149" s="18"/>
      <c r="C149" s="78"/>
      <c r="D149" s="78"/>
      <c r="E149" s="78"/>
      <c r="F149" s="78"/>
      <c r="G149" s="10"/>
      <c r="H149" s="10"/>
      <c r="I149" s="10"/>
      <c r="J149" s="10"/>
      <c r="K149" s="10"/>
      <c r="L149" s="10"/>
      <c r="M149" s="287"/>
      <c r="N149" s="10"/>
      <c r="O149" s="10"/>
      <c r="P149" s="10"/>
      <c r="Q149" s="10"/>
      <c r="R149" s="10"/>
      <c r="S149" s="10"/>
      <c r="T149" s="18"/>
      <c r="U149" s="10"/>
      <c r="V149" s="10"/>
      <c r="W149" s="10"/>
      <c r="X149" s="18"/>
      <c r="Y149" s="10"/>
      <c r="Z149" s="10"/>
      <c r="AA149" s="10"/>
      <c r="AB149" s="60"/>
      <c r="AC149" s="60"/>
      <c r="AD149" s="12"/>
    </row>
    <row r="150" spans="1:30" s="17" customFormat="1" ht="15.5" hidden="1" outlineLevel="1" collapsed="1" x14ac:dyDescent="0.35">
      <c r="A150" s="93" t="s">
        <v>100</v>
      </c>
      <c r="B150" s="21"/>
      <c r="C150" s="84"/>
      <c r="D150" s="84"/>
      <c r="E150" s="84"/>
      <c r="F150" s="83"/>
      <c r="G150" s="32"/>
      <c r="H150" s="32"/>
      <c r="I150" s="32"/>
      <c r="J150" s="32"/>
      <c r="K150" s="32"/>
      <c r="L150" s="20">
        <f ca="1">LOOKUP(1000,INDIRECT("L1:"&amp;CELL("address",INDIRECT("R[-1]C",FALSE))))+1</f>
        <v>4</v>
      </c>
      <c r="M150" s="298" t="s">
        <v>508</v>
      </c>
      <c r="N150" s="298"/>
      <c r="O150" s="5"/>
      <c r="P150" s="33"/>
      <c r="Q150" s="33"/>
      <c r="R150" s="33"/>
      <c r="S150" s="33"/>
      <c r="T150" s="167">
        <f>IF($S$6="Exclude", SUMIFS(S151:S156, J151:J156, "&lt;&gt;Yes", G151:G156, "&lt;&gt;Yes"), SUMIFS(S151:S156, J151:J156, "&lt;&gt;Yes"))</f>
        <v>0.5</v>
      </c>
      <c r="U150" s="33"/>
      <c r="V150" s="33"/>
      <c r="W150" s="33"/>
      <c r="X150" s="34"/>
      <c r="Y150" s="35"/>
      <c r="Z150" s="35"/>
      <c r="AA150" s="35"/>
      <c r="AB150" s="240"/>
      <c r="AC150" s="36"/>
      <c r="AD150" s="26" t="str">
        <f>IF(M150="", "Error: Task name cannot be empty.", "")</f>
        <v/>
      </c>
    </row>
    <row r="151" spans="1:30" s="15" customFormat="1" ht="1.5" hidden="1" customHeight="1" outlineLevel="2" x14ac:dyDescent="0.35">
      <c r="A151" s="93" t="s">
        <v>101</v>
      </c>
      <c r="B151" s="21"/>
      <c r="C151" s="84"/>
      <c r="D151" s="84"/>
      <c r="E151" s="84"/>
      <c r="F151" s="83"/>
      <c r="G151" s="32"/>
      <c r="H151" s="32"/>
      <c r="I151" s="32"/>
      <c r="J151" s="32"/>
      <c r="K151" s="32"/>
      <c r="L151" s="175">
        <f ca="1">L150</f>
        <v>4</v>
      </c>
      <c r="M151" s="176" t="s">
        <v>105</v>
      </c>
      <c r="N151" s="173"/>
      <c r="O151" s="174"/>
      <c r="P151" s="33"/>
      <c r="Q151" s="33"/>
      <c r="R151" s="33"/>
      <c r="S151" s="33"/>
      <c r="T151" s="167"/>
      <c r="U151" s="33"/>
      <c r="V151" s="33"/>
      <c r="W151" s="33"/>
      <c r="X151" s="34"/>
      <c r="Y151" s="35"/>
      <c r="Z151" s="35"/>
      <c r="AA151" s="35"/>
      <c r="AB151" s="36"/>
      <c r="AC151" s="36"/>
      <c r="AD151" s="26"/>
    </row>
    <row r="152" spans="1:30" ht="43.5" hidden="1" outlineLevel="2" x14ac:dyDescent="0.35">
      <c r="A152" s="93" t="s">
        <v>0</v>
      </c>
      <c r="B152" s="21"/>
      <c r="C152" s="85"/>
      <c r="D152" s="85"/>
      <c r="E152" s="85"/>
      <c r="F152" s="86"/>
      <c r="G152" s="22" t="s">
        <v>23</v>
      </c>
      <c r="H152" s="22" t="s">
        <v>23</v>
      </c>
      <c r="I152" s="23" t="s">
        <v>23</v>
      </c>
      <c r="J152" s="22" t="s">
        <v>23</v>
      </c>
      <c r="K152" s="38"/>
      <c r="L152" s="22"/>
      <c r="M152" s="286" t="str">
        <f ca="1">IFERROR(OFFSET(M152,-1,,1,1)+0.1,OFFSET(M152,-1,-1,1,1)&amp;".1")</f>
        <v>4.1</v>
      </c>
      <c r="N152" s="23" t="s">
        <v>509</v>
      </c>
      <c r="O152" s="23"/>
      <c r="P152" s="23" t="s">
        <v>513</v>
      </c>
      <c r="Q152" s="144">
        <v>2</v>
      </c>
      <c r="R152" s="137"/>
      <c r="S152" s="169">
        <f>CEILING((IF(J152="Yes", 0, IF(H152="-",AA152,AA152+AA152*VLOOKUP(H152,BUFFERS_BY_TYPE,2,FALSE)))) +
   (IF(J152="Yes", 0, IF(H152="-",AA152,AA152+AA152*VLOOKUP(H152,BUFFERS_BY_TYPE,2,FALSE))))*VLOOKUP($S$5, SALES_CALL_SCALE_ARRAY, 2,FALSE),0.25)</f>
        <v>0</v>
      </c>
      <c r="T152" s="170"/>
      <c r="U152" s="24">
        <v>0</v>
      </c>
      <c r="V152" s="24">
        <v>1</v>
      </c>
      <c r="W152" s="24">
        <v>0</v>
      </c>
      <c r="X152" s="168"/>
      <c r="Y152" s="169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0</v>
      </c>
      <c r="Z152" s="25"/>
      <c r="AA152" s="169">
        <f>Y152+Y152*VLOOKUP(I152,EXTRAS_ARRAY,2,FALSE)</f>
        <v>0</v>
      </c>
      <c r="AB152" s="23"/>
      <c r="AC152" s="37"/>
      <c r="AD152" s="26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>Error: Effort value is not defined or is invalid.</v>
      </c>
    </row>
    <row r="153" spans="1:30" ht="29" hidden="1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>
        <f ca="1">IFERROR(OFFSET(M153,-1,,1,1)+0.1,OFFSET(M153,-1,-1,1,1)&amp;".1")</f>
        <v>4.1999999999999993</v>
      </c>
      <c r="N153" s="23" t="s">
        <v>510</v>
      </c>
      <c r="O153" s="23"/>
      <c r="P153" s="23" t="s">
        <v>491</v>
      </c>
      <c r="Q153" s="144">
        <f>Total_Test_Cases * 15%</f>
        <v>0</v>
      </c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0.25</v>
      </c>
      <c r="T153" s="170"/>
      <c r="U153" s="24">
        <v>0</v>
      </c>
      <c r="V153" s="24">
        <v>1</v>
      </c>
      <c r="W153" s="24">
        <v>0</v>
      </c>
      <c r="X153" s="168">
        <f>2/8</f>
        <v>0.25</v>
      </c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0.25</v>
      </c>
      <c r="Z153" s="25"/>
      <c r="AA153" s="169">
        <f>Y153+Y153*VLOOKUP(I153,EXTRAS_ARRAY,2,FALSE)</f>
        <v>0.25</v>
      </c>
      <c r="AB153" s="23" t="s">
        <v>578</v>
      </c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15.5" hidden="1" outlineLevel="2" x14ac:dyDescent="0.35">
      <c r="A154" s="93" t="s">
        <v>0</v>
      </c>
      <c r="B154" s="21"/>
      <c r="C154" s="85"/>
      <c r="D154" s="85"/>
      <c r="E154" s="85"/>
      <c r="F154" s="86"/>
      <c r="G154" s="22" t="s">
        <v>23</v>
      </c>
      <c r="H154" s="22" t="s">
        <v>23</v>
      </c>
      <c r="I154" s="23" t="s">
        <v>23</v>
      </c>
      <c r="J154" s="22" t="s">
        <v>23</v>
      </c>
      <c r="K154" s="38"/>
      <c r="L154" s="22"/>
      <c r="M154" s="286">
        <f ca="1">IFERROR(OFFSET(M154,-1,,1,1)+0.1,OFFSET(M154,-1,-1,1,1)&amp;".1")</f>
        <v>4.2999999999999989</v>
      </c>
      <c r="N154" s="23" t="s">
        <v>511</v>
      </c>
      <c r="O154" s="23"/>
      <c r="P154" s="23" t="s">
        <v>491</v>
      </c>
      <c r="Q154" s="144">
        <f>Total_Test_Cases * 15%</f>
        <v>0</v>
      </c>
      <c r="R154" s="137">
        <v>3</v>
      </c>
      <c r="S154" s="169">
        <f>CEILING((IF(J154="Yes", 0, IF(H154="-",AA154,AA154+AA154*VLOOKUP(H154,BUFFERS_BY_TYPE,2,FALSE)))) +
   (IF(J154="Yes", 0, IF(H154="-",AA154,AA154+AA154*VLOOKUP(H154,BUFFERS_BY_TYPE,2,FALSE))))*VLOOKUP($S$5, SALES_CALL_SCALE_ARRAY, 2,FALSE),0.25)</f>
        <v>0.25</v>
      </c>
      <c r="T154" s="170"/>
      <c r="U154" s="24">
        <v>0</v>
      </c>
      <c r="V154" s="24">
        <v>1</v>
      </c>
      <c r="W154" s="24">
        <v>0</v>
      </c>
      <c r="X154" s="168">
        <f>10/60/8</f>
        <v>2.0833333333333332E-2</v>
      </c>
      <c r="Y154" s="169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>0.25</v>
      </c>
      <c r="Z154" s="25"/>
      <c r="AA154" s="169">
        <f>Y154+Y154*VLOOKUP(I154,EXTRAS_ARRAY,2,FALSE)</f>
        <v>0.25</v>
      </c>
      <c r="AB154" s="23"/>
      <c r="AC154" s="37"/>
      <c r="AD154" s="26" t="str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spans="1:30" ht="43.5" hidden="1" outlineLevel="2" x14ac:dyDescent="0.35">
      <c r="A155" s="93" t="s">
        <v>0</v>
      </c>
      <c r="B155" s="21"/>
      <c r="C155" s="85"/>
      <c r="D155" s="85"/>
      <c r="E155" s="85"/>
      <c r="F155" s="86"/>
      <c r="G155" s="22" t="s">
        <v>23</v>
      </c>
      <c r="H155" s="22" t="s">
        <v>23</v>
      </c>
      <c r="I155" s="23" t="s">
        <v>23</v>
      </c>
      <c r="J155" s="22" t="s">
        <v>23</v>
      </c>
      <c r="K155" s="38"/>
      <c r="L155" s="22"/>
      <c r="M155" s="286">
        <f ca="1">IFERROR(OFFSET(M155,-1,,1,1)+0.1,OFFSET(M155,-1,-1,1,1)&amp;".1")</f>
        <v>4.3999999999999986</v>
      </c>
      <c r="N155" s="23" t="s">
        <v>512</v>
      </c>
      <c r="O155" s="23"/>
      <c r="P155" s="23"/>
      <c r="Q155" s="144"/>
      <c r="R155" s="137"/>
      <c r="S155" s="169">
        <f>CEILING((IF(J155="Yes", 0, IF(H155="-",AA155,AA155+AA155*VLOOKUP(H155,BUFFERS_BY_TYPE,2,FALSE)))) +
   (IF(J155="Yes", 0, IF(H155="-",AA155,AA155+AA155*VLOOKUP(H155,BUFFERS_BY_TYPE,2,FALSE))))*VLOOKUP($S$5, SALES_CALL_SCALE_ARRAY, 2,FALSE),0.25)</f>
        <v>0</v>
      </c>
      <c r="T155" s="170"/>
      <c r="U155" s="24">
        <v>0</v>
      </c>
      <c r="V155" s="24">
        <v>1</v>
      </c>
      <c r="W155" s="24">
        <v>0</v>
      </c>
      <c r="X155" s="168"/>
      <c r="Y155" s="169">
        <f>CEILING((IF(P155=AS_DEV_EFFORT, DEV_EFFORT*Q155%,
                           IF(P155=AS_DURATION_EFFORT, (MANUAL_DURATION*5)*Q155%,
                                    (IF(Q155&lt;=1,X155,
                                          IF(SUM(U155:W155)=0,(Q155*X155),
                                               (((Q155*U155)*(X155+(X155*EXTRA_FOR_H)))+
                                               ((Q155*V155)*X155)+
                                               ((Q155*W155)*(X155-(X155*LESS_FOR_L)))
                                    )*IF(R155=0,1,R155))))))+Z155), 0.25)</f>
        <v>0</v>
      </c>
      <c r="Z155" s="25"/>
      <c r="AA155" s="169">
        <f>Y155+Y155*VLOOKUP(I155,EXTRAS_ARRAY,2,FALSE)</f>
        <v>0</v>
      </c>
      <c r="AB155" s="23"/>
      <c r="AC155" s="37"/>
      <c r="AD155" s="26" t="str">
        <f>IF(J155&lt;&gt;"Yes",
IF(S155&lt;=0,"Error: Effort value is not defined or is invalid.",
IF(AND(SUM(U155:W155)&gt;0,SUM(U155:W155)&lt;&gt;1),"Error: Complexity % distribution should sum to 100%.",
IF(AND(P155=AS_DEV_EFFORT,X155&lt;&gt;0),"Error: PDs should not be defined when defining as dev effort %.",
IF(AND(P155=AS_DURATION_EFFORT,X155&lt;&gt;0),"Error: PDs should not be defined when defining as duration effort %.","")))))</f>
        <v>Error: Effort value is not defined or is invalid.</v>
      </c>
    </row>
    <row r="156" spans="1:30" s="11" customFormat="1" ht="7.5" hidden="1" customHeight="1" outlineLevel="2" x14ac:dyDescent="0.35">
      <c r="A156" s="93" t="s">
        <v>132</v>
      </c>
      <c r="B156" s="18"/>
      <c r="C156" s="78"/>
      <c r="D156" s="78"/>
      <c r="E156" s="78"/>
      <c r="F156" s="78"/>
      <c r="G156" s="10"/>
      <c r="H156" s="10"/>
      <c r="I156" s="10"/>
      <c r="J156" s="10"/>
      <c r="K156" s="10"/>
      <c r="L156" s="10"/>
      <c r="M156" s="287"/>
      <c r="N156" s="10"/>
      <c r="O156" s="10"/>
      <c r="P156" s="10"/>
      <c r="Q156" s="10"/>
      <c r="R156" s="10"/>
      <c r="S156" s="10"/>
      <c r="T156" s="18"/>
      <c r="U156" s="10"/>
      <c r="V156" s="10"/>
      <c r="W156" s="10"/>
      <c r="X156" s="18"/>
      <c r="Y156" s="10"/>
      <c r="Z156" s="10"/>
      <c r="AA156" s="10"/>
      <c r="AB156" s="60"/>
      <c r="AC156" s="60"/>
      <c r="AD156" s="12"/>
    </row>
    <row r="157" spans="1:30" s="17" customFormat="1" ht="15.5" hidden="1" outlineLevel="1" collapsed="1" x14ac:dyDescent="0.35">
      <c r="A157" s="93" t="s">
        <v>100</v>
      </c>
      <c r="B157" s="21"/>
      <c r="C157" s="84"/>
      <c r="D157" s="84"/>
      <c r="E157" s="84"/>
      <c r="F157" s="83"/>
      <c r="G157" s="32"/>
      <c r="H157" s="32"/>
      <c r="I157" s="32"/>
      <c r="J157" s="32"/>
      <c r="K157" s="32"/>
      <c r="L157" s="20">
        <f ca="1">LOOKUP(1000,INDIRECT("L1:"&amp;CELL("address",INDIRECT("R[-1]C",FALSE))))+1</f>
        <v>5</v>
      </c>
      <c r="M157" s="298" t="s">
        <v>514</v>
      </c>
      <c r="N157" s="298"/>
      <c r="O157" s="5"/>
      <c r="P157" s="33"/>
      <c r="Q157" s="33"/>
      <c r="R157" s="33"/>
      <c r="S157" s="33"/>
      <c r="T157" s="167">
        <f>IF($S$6="Exclude", SUMIFS(S158:S165, J158:J165, "&lt;&gt;Yes", G158:G165, "&lt;&gt;Yes"), SUMIFS(S158:S165, J158:J165, "&lt;&gt;Yes"))</f>
        <v>0</v>
      </c>
      <c r="U157" s="33"/>
      <c r="V157" s="33"/>
      <c r="W157" s="33"/>
      <c r="X157" s="34"/>
      <c r="Y157" s="35"/>
      <c r="Z157" s="35"/>
      <c r="AA157" s="35"/>
      <c r="AB157" s="240"/>
      <c r="AC157" s="36"/>
      <c r="AD157" s="26" t="str">
        <f>IF(M157="", "Error: Task name cannot be empty.", "")</f>
        <v/>
      </c>
    </row>
    <row r="158" spans="1:30" s="15" customFormat="1" ht="1.5" hidden="1" customHeight="1" outlineLevel="2" x14ac:dyDescent="0.35">
      <c r="A158" s="93" t="s">
        <v>101</v>
      </c>
      <c r="B158" s="21"/>
      <c r="C158" s="84"/>
      <c r="D158" s="84"/>
      <c r="E158" s="84"/>
      <c r="F158" s="83"/>
      <c r="G158" s="32"/>
      <c r="H158" s="32"/>
      <c r="I158" s="32"/>
      <c r="J158" s="32"/>
      <c r="K158" s="32"/>
      <c r="L158" s="175">
        <f ca="1">L157</f>
        <v>5</v>
      </c>
      <c r="M158" s="176" t="s">
        <v>105</v>
      </c>
      <c r="N158" s="173"/>
      <c r="O158" s="174"/>
      <c r="P158" s="33"/>
      <c r="Q158" s="33"/>
      <c r="R158" s="33"/>
      <c r="S158" s="33"/>
      <c r="T158" s="167"/>
      <c r="U158" s="33"/>
      <c r="V158" s="33"/>
      <c r="W158" s="33"/>
      <c r="X158" s="34"/>
      <c r="Y158" s="35"/>
      <c r="Z158" s="35"/>
      <c r="AA158" s="35"/>
      <c r="AB158" s="36"/>
      <c r="AC158" s="36"/>
      <c r="AD158" s="26"/>
    </row>
    <row r="159" spans="1:30" ht="43.5" hidden="1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 t="str">
        <f t="shared" ref="M159:M164" ca="1" si="10">IFERROR(OFFSET(M159,-1,,1,1)+0.1,OFFSET(M159,-1,-1,1,1)&amp;".1")</f>
        <v>5.1</v>
      </c>
      <c r="N159" s="23" t="s">
        <v>515</v>
      </c>
      <c r="O159" s="23"/>
      <c r="P159" s="23" t="s">
        <v>579</v>
      </c>
      <c r="Q159" s="144"/>
      <c r="R159" s="137">
        <f>Total_Screens</f>
        <v>0</v>
      </c>
      <c r="S159" s="169">
        <f t="shared" ref="S159:S164" si="11">CEILING((IF(J159="Yes", 0, IF(H159="-",AA159,AA159+AA159*VLOOKUP(H159,BUFFERS_BY_TYPE,2,FALSE)))) +
   (IF(J159="Yes", 0, IF(H159="-",AA159,AA159+AA159*VLOOKUP(H159,BUFFERS_BY_TYPE,2,FALSE))))*VLOOKUP($S$5, SALES_CALL_SCALE_ARRAY, 2,FALSE),0.25)</f>
        <v>0</v>
      </c>
      <c r="T159" s="170"/>
      <c r="U159" s="24">
        <v>0</v>
      </c>
      <c r="V159" s="24">
        <v>1</v>
      </c>
      <c r="W159" s="24">
        <v>0</v>
      </c>
      <c r="X159" s="168"/>
      <c r="Y159" s="169">
        <f t="shared" ref="Y159:Y164" si="12"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>0</v>
      </c>
      <c r="Z159" s="25"/>
      <c r="AA159" s="169">
        <f t="shared" ref="AA159:AA164" si="13">Y159+Y159*VLOOKUP(I159,EXTRAS_ARRAY,2,FALSE)</f>
        <v>0</v>
      </c>
      <c r="AB159" s="23"/>
      <c r="AC159" s="37"/>
      <c r="AD159" s="26" t="str">
        <f t="shared" ref="AD159:AD164" si="14"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>Error: Effort value is not defined or is invalid.</v>
      </c>
    </row>
    <row r="160" spans="1:30" ht="43.5" hidden="1" outlineLevel="2" x14ac:dyDescent="0.35">
      <c r="A160" s="93" t="s">
        <v>0</v>
      </c>
      <c r="B160" s="21"/>
      <c r="C160" s="85"/>
      <c r="D160" s="85"/>
      <c r="E160" s="85"/>
      <c r="F160" s="86"/>
      <c r="G160" s="22" t="s">
        <v>23</v>
      </c>
      <c r="H160" s="22" t="s">
        <v>23</v>
      </c>
      <c r="I160" s="23" t="s">
        <v>23</v>
      </c>
      <c r="J160" s="22" t="s">
        <v>23</v>
      </c>
      <c r="K160" s="38"/>
      <c r="L160" s="22"/>
      <c r="M160" s="286">
        <f t="shared" ca="1" si="10"/>
        <v>5.1999999999999993</v>
      </c>
      <c r="N160" s="23" t="s">
        <v>516</v>
      </c>
      <c r="O160" s="23"/>
      <c r="P160" s="23"/>
      <c r="Q160" s="144"/>
      <c r="R160" s="137"/>
      <c r="S160" s="169">
        <f t="shared" si="11"/>
        <v>0</v>
      </c>
      <c r="T160" s="170"/>
      <c r="U160" s="24">
        <v>0</v>
      </c>
      <c r="V160" s="24">
        <v>1</v>
      </c>
      <c r="W160" s="24">
        <v>0</v>
      </c>
      <c r="X160" s="168"/>
      <c r="Y160" s="169">
        <f t="shared" si="12"/>
        <v>0</v>
      </c>
      <c r="Z160" s="25"/>
      <c r="AA160" s="169">
        <f t="shared" si="13"/>
        <v>0</v>
      </c>
      <c r="AB160" s="23"/>
      <c r="AC160" s="37"/>
      <c r="AD160" s="26" t="str">
        <f t="shared" si="14"/>
        <v>Error: Effort value is not defined or is invalid.</v>
      </c>
    </row>
    <row r="161" spans="1:30" ht="43.5" hidden="1" outlineLevel="2" x14ac:dyDescent="0.35">
      <c r="A161" s="93" t="s">
        <v>0</v>
      </c>
      <c r="B161" s="21"/>
      <c r="C161" s="85"/>
      <c r="D161" s="85"/>
      <c r="E161" s="85"/>
      <c r="F161" s="86"/>
      <c r="G161" s="22" t="s">
        <v>23</v>
      </c>
      <c r="H161" s="22" t="s">
        <v>23</v>
      </c>
      <c r="I161" s="23" t="s">
        <v>23</v>
      </c>
      <c r="J161" s="22" t="s">
        <v>23</v>
      </c>
      <c r="K161" s="38"/>
      <c r="L161" s="22"/>
      <c r="M161" s="286">
        <f t="shared" ca="1" si="10"/>
        <v>5.2999999999999989</v>
      </c>
      <c r="N161" s="23" t="s">
        <v>517</v>
      </c>
      <c r="O161" s="23"/>
      <c r="P161" s="23" t="s">
        <v>580</v>
      </c>
      <c r="Q161" s="144"/>
      <c r="R161" s="137">
        <f>Total_Screens</f>
        <v>0</v>
      </c>
      <c r="S161" s="169">
        <f t="shared" si="11"/>
        <v>0</v>
      </c>
      <c r="T161" s="170"/>
      <c r="U161" s="24">
        <v>0</v>
      </c>
      <c r="V161" s="24">
        <v>1</v>
      </c>
      <c r="W161" s="24">
        <v>0</v>
      </c>
      <c r="X161" s="168"/>
      <c r="Y161" s="169">
        <f t="shared" si="12"/>
        <v>0</v>
      </c>
      <c r="Z161" s="25"/>
      <c r="AA161" s="169">
        <f t="shared" si="13"/>
        <v>0</v>
      </c>
      <c r="AB161" s="23"/>
      <c r="AC161" s="37"/>
      <c r="AD161" s="26" t="str">
        <f t="shared" si="14"/>
        <v>Error: Effort value is not defined or is invalid.</v>
      </c>
    </row>
    <row r="162" spans="1:30" ht="43.5" hidden="1" outlineLevel="2" x14ac:dyDescent="0.35">
      <c r="A162" s="93" t="s">
        <v>0</v>
      </c>
      <c r="B162" s="21"/>
      <c r="C162" s="85"/>
      <c r="D162" s="85"/>
      <c r="E162" s="85"/>
      <c r="F162" s="86"/>
      <c r="G162" s="22" t="s">
        <v>23</v>
      </c>
      <c r="H162" s="22" t="s">
        <v>23</v>
      </c>
      <c r="I162" s="23" t="s">
        <v>23</v>
      </c>
      <c r="J162" s="22" t="s">
        <v>23</v>
      </c>
      <c r="K162" s="38"/>
      <c r="L162" s="22"/>
      <c r="M162" s="286">
        <f t="shared" ca="1" si="10"/>
        <v>5.3999999999999986</v>
      </c>
      <c r="N162" s="23" t="s">
        <v>518</v>
      </c>
      <c r="O162" s="23"/>
      <c r="P162" s="23" t="s">
        <v>581</v>
      </c>
      <c r="Q162" s="144"/>
      <c r="R162" s="137">
        <f>Total_Screens</f>
        <v>0</v>
      </c>
      <c r="S162" s="169">
        <f t="shared" si="11"/>
        <v>0</v>
      </c>
      <c r="T162" s="170"/>
      <c r="U162" s="24">
        <v>0</v>
      </c>
      <c r="V162" s="24">
        <v>1</v>
      </c>
      <c r="W162" s="24">
        <v>0</v>
      </c>
      <c r="X162" s="168"/>
      <c r="Y162" s="169">
        <f t="shared" si="12"/>
        <v>0</v>
      </c>
      <c r="Z162" s="25"/>
      <c r="AA162" s="169">
        <f t="shared" si="13"/>
        <v>0</v>
      </c>
      <c r="AB162" s="23"/>
      <c r="AC162" s="37"/>
      <c r="AD162" s="26" t="str">
        <f t="shared" si="14"/>
        <v>Error: Effort value is not defined or is invalid.</v>
      </c>
    </row>
    <row r="163" spans="1:30" ht="43.5" hidden="1" outlineLevel="2" x14ac:dyDescent="0.35">
      <c r="A163" s="93" t="s">
        <v>0</v>
      </c>
      <c r="B163" s="21"/>
      <c r="C163" s="85"/>
      <c r="D163" s="85"/>
      <c r="E163" s="85"/>
      <c r="F163" s="86"/>
      <c r="G163" s="22" t="s">
        <v>6</v>
      </c>
      <c r="H163" s="22" t="s">
        <v>23</v>
      </c>
      <c r="I163" s="23" t="s">
        <v>23</v>
      </c>
      <c r="J163" s="22" t="s">
        <v>23</v>
      </c>
      <c r="K163" s="38"/>
      <c r="L163" s="22"/>
      <c r="M163" s="286">
        <f t="shared" ca="1" si="10"/>
        <v>5.4999999999999982</v>
      </c>
      <c r="N163" s="23" t="s">
        <v>583</v>
      </c>
      <c r="O163" s="23"/>
      <c r="P163" s="23" t="s">
        <v>585</v>
      </c>
      <c r="Q163" s="144"/>
      <c r="R163" s="137"/>
      <c r="S163" s="169">
        <f t="shared" si="11"/>
        <v>0</v>
      </c>
      <c r="T163" s="170"/>
      <c r="U163" s="24">
        <v>0</v>
      </c>
      <c r="V163" s="24">
        <v>1</v>
      </c>
      <c r="W163" s="24">
        <v>0</v>
      </c>
      <c r="X163" s="168"/>
      <c r="Y163" s="169">
        <f t="shared" si="12"/>
        <v>0</v>
      </c>
      <c r="Z163" s="25"/>
      <c r="AA163" s="169">
        <f t="shared" si="13"/>
        <v>0</v>
      </c>
      <c r="AB163" s="23"/>
      <c r="AC163" s="37"/>
      <c r="AD163" s="26" t="str">
        <f t="shared" si="14"/>
        <v>Error: Effort value is not defined or is invalid.</v>
      </c>
    </row>
    <row r="164" spans="1:30" ht="43.5" hidden="1" outlineLevel="2" x14ac:dyDescent="0.35">
      <c r="A164" s="93" t="s">
        <v>0</v>
      </c>
      <c r="B164" s="21"/>
      <c r="C164" s="85"/>
      <c r="D164" s="85"/>
      <c r="E164" s="85"/>
      <c r="F164" s="86"/>
      <c r="G164" s="22" t="s">
        <v>6</v>
      </c>
      <c r="H164" s="22" t="s">
        <v>23</v>
      </c>
      <c r="I164" s="23" t="s">
        <v>23</v>
      </c>
      <c r="J164" s="22" t="s">
        <v>23</v>
      </c>
      <c r="K164" s="38"/>
      <c r="L164" s="22"/>
      <c r="M164" s="286">
        <f t="shared" ca="1" si="10"/>
        <v>5.5999999999999979</v>
      </c>
      <c r="N164" s="23" t="s">
        <v>584</v>
      </c>
      <c r="O164" s="23"/>
      <c r="P164" s="23" t="s">
        <v>585</v>
      </c>
      <c r="Q164" s="144"/>
      <c r="R164" s="137"/>
      <c r="S164" s="169">
        <f t="shared" si="11"/>
        <v>0</v>
      </c>
      <c r="T164" s="170"/>
      <c r="U164" s="24">
        <v>0</v>
      </c>
      <c r="V164" s="24">
        <v>1</v>
      </c>
      <c r="W164" s="24">
        <v>0</v>
      </c>
      <c r="X164" s="168"/>
      <c r="Y164" s="169">
        <f t="shared" si="12"/>
        <v>0</v>
      </c>
      <c r="Z164" s="25"/>
      <c r="AA164" s="169">
        <f t="shared" si="13"/>
        <v>0</v>
      </c>
      <c r="AB164" s="23"/>
      <c r="AC164" s="37"/>
      <c r="AD164" s="26" t="str">
        <f t="shared" si="14"/>
        <v>Error: Effort value is not defined or is invalid.</v>
      </c>
    </row>
    <row r="165" spans="1:30" s="11" customFormat="1" ht="7.5" hidden="1" customHeight="1" outlineLevel="2" x14ac:dyDescent="0.35">
      <c r="A165" s="93" t="s">
        <v>132</v>
      </c>
      <c r="B165" s="18"/>
      <c r="C165" s="78"/>
      <c r="D165" s="78"/>
      <c r="E165" s="78"/>
      <c r="F165" s="78"/>
      <c r="G165" s="10"/>
      <c r="H165" s="10"/>
      <c r="I165" s="10"/>
      <c r="J165" s="10"/>
      <c r="K165" s="10"/>
      <c r="L165" s="10"/>
      <c r="M165" s="287"/>
      <c r="N165" s="10"/>
      <c r="O165" s="10"/>
      <c r="P165" s="10"/>
      <c r="Q165" s="10"/>
      <c r="R165" s="10"/>
      <c r="S165" s="10"/>
      <c r="T165" s="18"/>
      <c r="U165" s="10"/>
      <c r="V165" s="10"/>
      <c r="W165" s="10"/>
      <c r="X165" s="18"/>
      <c r="Y165" s="10"/>
      <c r="Z165" s="10"/>
      <c r="AA165" s="10"/>
      <c r="AB165" s="60"/>
      <c r="AC165" s="60"/>
      <c r="AD165" s="12"/>
    </row>
    <row r="166" spans="1:30" s="11" customFormat="1" ht="3" hidden="1" customHeight="1" outlineLevel="1" x14ac:dyDescent="0.35">
      <c r="A166" s="93" t="s">
        <v>102</v>
      </c>
      <c r="B166" s="10"/>
      <c r="C166" s="78"/>
      <c r="D166" s="78"/>
      <c r="E166" s="78"/>
      <c r="F166" s="78"/>
      <c r="G166" s="59"/>
      <c r="H166" s="59"/>
      <c r="I166" s="59"/>
      <c r="J166" s="59"/>
      <c r="K166" s="59"/>
      <c r="L166" s="61"/>
      <c r="M166" s="288"/>
      <c r="N166" s="62"/>
      <c r="O166" s="62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2"/>
      <c r="AC166" s="62"/>
      <c r="AD166" s="12"/>
    </row>
    <row r="167" spans="1:30" s="17" customFormat="1" ht="18.5" collapsed="1" x14ac:dyDescent="0.35">
      <c r="A167" s="93" t="s">
        <v>98</v>
      </c>
      <c r="B167" s="14"/>
      <c r="C167" s="79"/>
      <c r="D167" s="79"/>
      <c r="E167" s="79"/>
      <c r="F167" s="78"/>
      <c r="G167" s="55"/>
      <c r="H167" s="55"/>
      <c r="I167" s="55"/>
      <c r="J167" s="55"/>
      <c r="K167" s="55"/>
      <c r="L167" s="55" t="s">
        <v>71</v>
      </c>
      <c r="M167" s="284" t="s">
        <v>75</v>
      </c>
      <c r="N167" s="56"/>
      <c r="O167" s="57"/>
      <c r="P167" s="58"/>
      <c r="Q167" s="58"/>
      <c r="R167" s="58"/>
      <c r="S167" s="299">
        <f>CEILING(SUMIF(J168:J189, "&lt;&gt;Yes", T168:T189),1)</f>
        <v>45</v>
      </c>
      <c r="T167" s="299"/>
      <c r="U167" s="58"/>
      <c r="V167" s="58"/>
      <c r="W167" s="58"/>
      <c r="X167" s="58"/>
      <c r="Y167" s="58"/>
      <c r="Z167" s="58"/>
      <c r="AA167" s="58"/>
      <c r="AB167" s="58"/>
      <c r="AC167" s="58"/>
      <c r="AD167" s="16"/>
    </row>
    <row r="168" spans="1:30" s="11" customFormat="1" ht="3" hidden="1" customHeight="1" outlineLevel="1" x14ac:dyDescent="0.35">
      <c r="A168" s="93" t="s">
        <v>99</v>
      </c>
      <c r="B168" s="18"/>
      <c r="C168" s="78"/>
      <c r="D168" s="78"/>
      <c r="E168" s="78"/>
      <c r="F168" s="78"/>
      <c r="G168" s="28"/>
      <c r="H168" s="28"/>
      <c r="I168" s="28"/>
      <c r="J168" s="28"/>
      <c r="K168" s="28"/>
      <c r="L168" s="29">
        <v>0</v>
      </c>
      <c r="M168" s="285"/>
      <c r="N168" s="28"/>
      <c r="O168" s="28"/>
      <c r="P168" s="28"/>
      <c r="Q168" s="28"/>
      <c r="R168" s="28"/>
      <c r="S168" s="28"/>
      <c r="T168" s="30"/>
      <c r="U168" s="28"/>
      <c r="V168" s="28"/>
      <c r="W168" s="28"/>
      <c r="X168" s="30"/>
      <c r="Y168" s="28"/>
      <c r="Z168" s="28"/>
      <c r="AA168" s="28"/>
      <c r="AB168" s="31"/>
      <c r="AC168" s="31"/>
      <c r="AD168" s="12"/>
    </row>
    <row r="169" spans="1:30" s="17" customFormat="1" ht="15.5" hidden="1" outlineLevel="1" collapsed="1" x14ac:dyDescent="0.35">
      <c r="A169" s="93" t="s">
        <v>100</v>
      </c>
      <c r="B169" s="21"/>
      <c r="C169" s="84"/>
      <c r="D169" s="84"/>
      <c r="E169" s="84"/>
      <c r="F169" s="83"/>
      <c r="G169" s="32"/>
      <c r="H169" s="32"/>
      <c r="I169" s="32"/>
      <c r="J169" s="32"/>
      <c r="K169" s="32"/>
      <c r="L169" s="20">
        <f ca="1">LOOKUP(1000,INDIRECT("L1:"&amp;CELL("address",INDIRECT("R[-1]C",FALSE))))+1</f>
        <v>1</v>
      </c>
      <c r="M169" s="298" t="s">
        <v>522</v>
      </c>
      <c r="N169" s="298"/>
      <c r="O169" s="5"/>
      <c r="P169" s="33"/>
      <c r="Q169" s="33"/>
      <c r="R169" s="33"/>
      <c r="S169" s="33"/>
      <c r="T169" s="167">
        <f>IF($S$6="Exclude", SUMIFS(S170:S173, J170:J173, "&lt;&gt;Yes", G170:G173, "&lt;&gt;Yes"), SUMIFS(S170:S173, J170:J173, "&lt;&gt;Yes"))</f>
        <v>0</v>
      </c>
      <c r="U169" s="33"/>
      <c r="V169" s="33"/>
      <c r="W169" s="33"/>
      <c r="X169" s="34"/>
      <c r="Y169" s="35"/>
      <c r="Z169" s="35"/>
      <c r="AA169" s="35"/>
      <c r="AB169" s="240"/>
      <c r="AC169" s="36"/>
      <c r="AD169" s="26" t="str">
        <f>IF(M169="", "Error: Task name cannot be empty.", "")</f>
        <v/>
      </c>
    </row>
    <row r="170" spans="1:30" s="15" customFormat="1" ht="1.5" hidden="1" customHeight="1" outlineLevel="2" x14ac:dyDescent="0.35">
      <c r="A170" s="93" t="s">
        <v>101</v>
      </c>
      <c r="B170" s="21"/>
      <c r="C170" s="84"/>
      <c r="D170" s="84"/>
      <c r="E170" s="84"/>
      <c r="F170" s="83"/>
      <c r="G170" s="32"/>
      <c r="H170" s="32"/>
      <c r="I170" s="32"/>
      <c r="J170" s="32"/>
      <c r="K170" s="32"/>
      <c r="L170" s="175">
        <f ca="1">L169</f>
        <v>1</v>
      </c>
      <c r="M170" s="176" t="s">
        <v>105</v>
      </c>
      <c r="N170" s="173"/>
      <c r="O170" s="174"/>
      <c r="P170" s="33"/>
      <c r="Q170" s="33"/>
      <c r="R170" s="33"/>
      <c r="S170" s="33"/>
      <c r="T170" s="167"/>
      <c r="U170" s="33"/>
      <c r="V170" s="33"/>
      <c r="W170" s="33"/>
      <c r="X170" s="34"/>
      <c r="Y170" s="35"/>
      <c r="Z170" s="35"/>
      <c r="AA170" s="35"/>
      <c r="AB170" s="36"/>
      <c r="AC170" s="36"/>
      <c r="AD170" s="26"/>
    </row>
    <row r="171" spans="1:30" ht="43.5" hidden="1" outlineLevel="2" x14ac:dyDescent="0.35">
      <c r="A171" s="93" t="s">
        <v>0</v>
      </c>
      <c r="B171" s="21"/>
      <c r="C171" s="85"/>
      <c r="D171" s="85"/>
      <c r="E171" s="85"/>
      <c r="F171" s="86"/>
      <c r="G171" s="22" t="s">
        <v>23</v>
      </c>
      <c r="H171" s="22" t="s">
        <v>23</v>
      </c>
      <c r="I171" s="23" t="s">
        <v>23</v>
      </c>
      <c r="J171" s="22" t="s">
        <v>23</v>
      </c>
      <c r="K171" s="38"/>
      <c r="L171" s="22"/>
      <c r="M171" s="286" t="str">
        <f ca="1">IFERROR(OFFSET(M171,-1,,1,1)+0.1,OFFSET(M171,-1,-1,1,1)&amp;".1")</f>
        <v>1.1</v>
      </c>
      <c r="N171" s="23" t="s">
        <v>523</v>
      </c>
      <c r="O171" s="23"/>
      <c r="P171" s="23" t="s">
        <v>528</v>
      </c>
      <c r="Q171" s="144">
        <v>10</v>
      </c>
      <c r="R171" s="137"/>
      <c r="S171" s="169">
        <f>CEILING((IF(J171="Yes", 0, IF(H171="-",AA171,AA171+AA171*VLOOKUP(H171,BUFFERS_BY_TYPE,2,FALSE)))) +
   (IF(J171="Yes", 0, IF(H171="-",AA171,AA171+AA171*VLOOKUP(H171,BUFFERS_BY_TYPE,2,FALSE))))*VLOOKUP($S$5, SALES_CALL_SCALE_ARRAY, 2,FALSE),0.25)</f>
        <v>0</v>
      </c>
      <c r="T171" s="170"/>
      <c r="U171" s="24">
        <v>0</v>
      </c>
      <c r="V171" s="24">
        <v>1</v>
      </c>
      <c r="W171" s="24">
        <v>0</v>
      </c>
      <c r="X171" s="168"/>
      <c r="Y171" s="169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0</v>
      </c>
      <c r="Z171" s="25"/>
      <c r="AA171" s="169">
        <f>Y171+Y171*VLOOKUP(I171,EXTRAS_ARRAY,2,FALSE)</f>
        <v>0</v>
      </c>
      <c r="AB171" s="23"/>
      <c r="AC171" s="37"/>
      <c r="AD171" s="26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>Error: Effort value is not defined or is invalid.</v>
      </c>
    </row>
    <row r="172" spans="1:30" ht="43.5" hidden="1" outlineLevel="2" x14ac:dyDescent="0.35">
      <c r="A172" s="93" t="s">
        <v>0</v>
      </c>
      <c r="B172" s="21"/>
      <c r="C172" s="85"/>
      <c r="D172" s="85"/>
      <c r="E172" s="85"/>
      <c r="F172" s="86"/>
      <c r="G172" s="22" t="s">
        <v>23</v>
      </c>
      <c r="H172" s="22" t="s">
        <v>23</v>
      </c>
      <c r="I172" s="23" t="s">
        <v>23</v>
      </c>
      <c r="J172" s="22" t="s">
        <v>23</v>
      </c>
      <c r="K172" s="38"/>
      <c r="L172" s="22"/>
      <c r="M172" s="286">
        <f ca="1">IFERROR(OFFSET(M172,-1,,1,1)+0.1,OFFSET(M172,-1,-1,1,1)&amp;".1")</f>
        <v>1.2000000000000002</v>
      </c>
      <c r="N172" s="23" t="s">
        <v>524</v>
      </c>
      <c r="O172" s="23"/>
      <c r="P172" s="23" t="s">
        <v>527</v>
      </c>
      <c r="Q172" s="144">
        <v>5</v>
      </c>
      <c r="R172" s="137"/>
      <c r="S172" s="169">
        <f>CEILING((IF(J172="Yes", 0, IF(H172="-",AA172,AA172+AA172*VLOOKUP(H172,BUFFERS_BY_TYPE,2,FALSE)))) +
   (IF(J172="Yes", 0, IF(H172="-",AA172,AA172+AA172*VLOOKUP(H172,BUFFERS_BY_TYPE,2,FALSE))))*VLOOKUP($S$5, SALES_CALL_SCALE_ARRAY, 2,FALSE),0.25)</f>
        <v>0</v>
      </c>
      <c r="T172" s="170"/>
      <c r="U172" s="24">
        <v>0</v>
      </c>
      <c r="V172" s="24">
        <v>1</v>
      </c>
      <c r="W172" s="24">
        <v>0</v>
      </c>
      <c r="X172" s="168"/>
      <c r="Y172" s="169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0</v>
      </c>
      <c r="Z172" s="25"/>
      <c r="AA172" s="169">
        <f>Y172+Y172*VLOOKUP(I172,EXTRAS_ARRAY,2,FALSE)</f>
        <v>0</v>
      </c>
      <c r="AB172" s="23"/>
      <c r="AC172" s="37"/>
      <c r="AD172" s="26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>Error: Effort value is not defined or is invalid.</v>
      </c>
    </row>
    <row r="173" spans="1:30" s="11" customFormat="1" ht="7.5" hidden="1" customHeight="1" outlineLevel="2" x14ac:dyDescent="0.35">
      <c r="A173" s="93" t="s">
        <v>132</v>
      </c>
      <c r="B173" s="18"/>
      <c r="C173" s="78"/>
      <c r="D173" s="78"/>
      <c r="E173" s="78"/>
      <c r="F173" s="78"/>
      <c r="G173" s="10"/>
      <c r="H173" s="10"/>
      <c r="I173" s="10"/>
      <c r="J173" s="10"/>
      <c r="K173" s="10"/>
      <c r="L173" s="10"/>
      <c r="M173" s="287"/>
      <c r="N173" s="10"/>
      <c r="O173" s="10"/>
      <c r="P173" s="10"/>
      <c r="Q173" s="10"/>
      <c r="R173" s="10"/>
      <c r="S173" s="10"/>
      <c r="T173" s="18"/>
      <c r="U173" s="10"/>
      <c r="V173" s="10"/>
      <c r="W173" s="10"/>
      <c r="X173" s="18"/>
      <c r="Y173" s="10"/>
      <c r="Z173" s="10"/>
      <c r="AA173" s="10"/>
      <c r="AB173" s="60"/>
      <c r="AC173" s="60"/>
      <c r="AD173" s="12"/>
    </row>
    <row r="174" spans="1:30" s="17" customFormat="1" ht="15.5" hidden="1" outlineLevel="1" collapsed="1" x14ac:dyDescent="0.35">
      <c r="A174" s="93" t="s">
        <v>100</v>
      </c>
      <c r="B174" s="21"/>
      <c r="C174" s="84"/>
      <c r="D174" s="84"/>
      <c r="E174" s="84"/>
      <c r="F174" s="83"/>
      <c r="G174" s="32"/>
      <c r="H174" s="32"/>
      <c r="I174" s="32"/>
      <c r="J174" s="32"/>
      <c r="K174" s="32"/>
      <c r="L174" s="20">
        <f ca="1">LOOKUP(1000,INDIRECT("L1:"&amp;CELL("address",INDIRECT("R[-1]C",FALSE))))+1</f>
        <v>2</v>
      </c>
      <c r="M174" s="298" t="s">
        <v>525</v>
      </c>
      <c r="N174" s="298"/>
      <c r="O174" s="5"/>
      <c r="P174" s="33"/>
      <c r="Q174" s="33"/>
      <c r="R174" s="33"/>
      <c r="S174" s="33"/>
      <c r="T174" s="167">
        <f>IF($S$6="Exclude", SUMIFS(S175:S177, J175:J177, "&lt;&gt;Yes", G175:G177, "&lt;&gt;Yes"), SUMIFS(S175:S177, J175:J177, "&lt;&gt;Yes"))</f>
        <v>40</v>
      </c>
      <c r="U174" s="33"/>
      <c r="V174" s="33"/>
      <c r="W174" s="33"/>
      <c r="X174" s="34"/>
      <c r="Y174" s="35"/>
      <c r="Z174" s="35"/>
      <c r="AA174" s="35"/>
      <c r="AB174" s="240"/>
      <c r="AC174" s="36"/>
      <c r="AD174" s="26" t="str">
        <f>IF(M174="", "Error: Task name cannot be empty.", "")</f>
        <v/>
      </c>
    </row>
    <row r="175" spans="1:30" s="15" customFormat="1" ht="1.5" hidden="1" customHeight="1" outlineLevel="2" x14ac:dyDescent="0.35">
      <c r="A175" s="93" t="s">
        <v>101</v>
      </c>
      <c r="B175" s="21"/>
      <c r="C175" s="84"/>
      <c r="D175" s="84"/>
      <c r="E175" s="84"/>
      <c r="F175" s="83"/>
      <c r="G175" s="32"/>
      <c r="H175" s="32"/>
      <c r="I175" s="32"/>
      <c r="J175" s="32"/>
      <c r="K175" s="32"/>
      <c r="L175" s="175">
        <f ca="1">L174</f>
        <v>2</v>
      </c>
      <c r="M175" s="176" t="s">
        <v>105</v>
      </c>
      <c r="N175" s="173"/>
      <c r="O175" s="174"/>
      <c r="P175" s="33"/>
      <c r="Q175" s="33"/>
      <c r="R175" s="33"/>
      <c r="S175" s="33"/>
      <c r="T175" s="167"/>
      <c r="U175" s="33"/>
      <c r="V175" s="33"/>
      <c r="W175" s="33"/>
      <c r="X175" s="34"/>
      <c r="Y175" s="35"/>
      <c r="Z175" s="35"/>
      <c r="AA175" s="35"/>
      <c r="AB175" s="36"/>
      <c r="AC175" s="36"/>
      <c r="AD175" s="26"/>
    </row>
    <row r="176" spans="1:30" ht="58" hidden="1" outlineLevel="2" x14ac:dyDescent="0.35">
      <c r="A176" s="93" t="s">
        <v>0</v>
      </c>
      <c r="B176" s="21"/>
      <c r="C176" s="85"/>
      <c r="D176" s="85"/>
      <c r="E176" s="85"/>
      <c r="F176" s="86"/>
      <c r="G176" s="22" t="s">
        <v>23</v>
      </c>
      <c r="H176" s="22" t="s">
        <v>23</v>
      </c>
      <c r="I176" s="23" t="s">
        <v>23</v>
      </c>
      <c r="J176" s="22" t="s">
        <v>23</v>
      </c>
      <c r="K176" s="38"/>
      <c r="L176" s="22"/>
      <c r="M176" s="286" t="str">
        <f ca="1">IFERROR(OFFSET(M176,-1,,1,1)+0.1,OFFSET(M176,-1,-1,1,1)&amp;".1")</f>
        <v>2.1</v>
      </c>
      <c r="N176" s="23" t="s">
        <v>526</v>
      </c>
      <c r="O176" s="23"/>
      <c r="P176" s="23" t="s">
        <v>541</v>
      </c>
      <c r="Q176" s="144">
        <v>2</v>
      </c>
      <c r="R176" s="137">
        <v>4</v>
      </c>
      <c r="S176" s="169">
        <f>CEILING((IF(J176="Yes", 0, IF(H176="-",AA176,AA176+AA176*VLOOKUP(H176,BUFFERS_BY_TYPE,2,FALSE)))) +
   (IF(J176="Yes", 0, IF(H176="-",AA176,AA176+AA176*VLOOKUP(H176,BUFFERS_BY_TYPE,2,FALSE))))*VLOOKUP($S$5, SALES_CALL_SCALE_ARRAY, 2,FALSE),0.25)</f>
        <v>40</v>
      </c>
      <c r="T176" s="170"/>
      <c r="U176" s="24">
        <v>0</v>
      </c>
      <c r="V176" s="24">
        <v>1</v>
      </c>
      <c r="W176" s="24">
        <v>0</v>
      </c>
      <c r="X176" s="168">
        <v>5</v>
      </c>
      <c r="Y176" s="169">
        <f>CEILING((IF(P176=AS_DEV_EFFORT, DEV_EFFORT*Q176%,
                           IF(P176=AS_DURATION_EFFORT, (MANUAL_DURATION*5)*Q176%,
                                    (IF(Q176&lt;=1,X176,
                                          IF(SUM(U176:W176)=0,(Q176*X176),
                                               (((Q176*U176)*(X176+(X176*EXTRA_FOR_H)))+
                                               ((Q176*V176)*X176)+
                                               ((Q176*W176)*(X176-(X176*LESS_FOR_L)))
                                    )*IF(R176=0,1,R176))))))+Z176), 0.25)</f>
        <v>40</v>
      </c>
      <c r="Z176" s="25"/>
      <c r="AA176" s="169">
        <f>Y176+Y176*VLOOKUP(I176,EXTRAS_ARRAY,2,FALSE)</f>
        <v>40</v>
      </c>
      <c r="AB176" s="23" t="s">
        <v>542</v>
      </c>
      <c r="AC176" s="37"/>
      <c r="AD176" s="26" t="str">
        <f>IF(J176&lt;&gt;"Yes",
IF(S176&lt;=0,"Error: Effort value is not defined or is invalid.",
IF(AND(SUM(U176:W176)&gt;0,SUM(U176:W176)&lt;&gt;1),"Error: Complexity % distribution should sum to 100%.",
IF(AND(P176=AS_DEV_EFFORT,X176&lt;&gt;0),"Error: PDs should not be defined when defining as dev effort %.",
IF(AND(P176=AS_DURATION_EFFORT,X176&lt;&gt;0),"Error: PDs should not be defined when defining as duration effort %.","")))))</f>
        <v/>
      </c>
    </row>
    <row r="177" spans="1:30" s="11" customFormat="1" ht="7.5" hidden="1" customHeight="1" outlineLevel="2" x14ac:dyDescent="0.35">
      <c r="A177" s="93" t="s">
        <v>132</v>
      </c>
      <c r="B177" s="18"/>
      <c r="C177" s="78"/>
      <c r="D177" s="78"/>
      <c r="E177" s="78"/>
      <c r="F177" s="78"/>
      <c r="G177" s="10"/>
      <c r="H177" s="10"/>
      <c r="I177" s="10"/>
      <c r="J177" s="10"/>
      <c r="K177" s="10"/>
      <c r="L177" s="10"/>
      <c r="M177" s="287"/>
      <c r="N177" s="10"/>
      <c r="O177" s="10"/>
      <c r="P177" s="10"/>
      <c r="Q177" s="10"/>
      <c r="R177" s="10"/>
      <c r="S177" s="10"/>
      <c r="T177" s="18"/>
      <c r="U177" s="10"/>
      <c r="V177" s="10"/>
      <c r="W177" s="10"/>
      <c r="X177" s="18"/>
      <c r="Y177" s="10"/>
      <c r="Z177" s="10"/>
      <c r="AA177" s="10"/>
      <c r="AB177" s="60"/>
      <c r="AC177" s="60"/>
      <c r="AD177" s="12"/>
    </row>
    <row r="178" spans="1:30" s="17" customFormat="1" ht="15.5" hidden="1" outlineLevel="1" collapsed="1" x14ac:dyDescent="0.35">
      <c r="A178" s="93" t="s">
        <v>100</v>
      </c>
      <c r="B178" s="21"/>
      <c r="C178" s="84"/>
      <c r="D178" s="84"/>
      <c r="E178" s="84"/>
      <c r="F178" s="83"/>
      <c r="G178" s="32"/>
      <c r="H178" s="32"/>
      <c r="I178" s="32"/>
      <c r="J178" s="32"/>
      <c r="K178" s="32"/>
      <c r="L178" s="20">
        <f ca="1">LOOKUP(1000,INDIRECT("L1:"&amp;CELL("address",INDIRECT("R[-1]C",FALSE))))+1</f>
        <v>3</v>
      </c>
      <c r="M178" s="298" t="s">
        <v>529</v>
      </c>
      <c r="N178" s="298"/>
      <c r="O178" s="5"/>
      <c r="P178" s="33"/>
      <c r="Q178" s="33"/>
      <c r="R178" s="33"/>
      <c r="S178" s="33"/>
      <c r="T178" s="167">
        <f>IF($S$6="Exclude", SUMIFS(S179:S181, J179:J181, "&lt;&gt;Yes", G179:G181, "&lt;&gt;Yes"), SUMIFS(S179:S181, J179:J181, "&lt;&gt;Yes"))</f>
        <v>5</v>
      </c>
      <c r="U178" s="33"/>
      <c r="V178" s="33"/>
      <c r="W178" s="33"/>
      <c r="X178" s="34"/>
      <c r="Y178" s="35"/>
      <c r="Z178" s="35"/>
      <c r="AA178" s="35"/>
      <c r="AB178" s="240"/>
      <c r="AC178" s="36"/>
      <c r="AD178" s="26" t="str">
        <f>IF(M178="", "Error: Task name cannot be empty.", "")</f>
        <v/>
      </c>
    </row>
    <row r="179" spans="1:30" s="15" customFormat="1" ht="1.5" hidden="1" customHeight="1" outlineLevel="2" x14ac:dyDescent="0.35">
      <c r="A179" s="93" t="s">
        <v>101</v>
      </c>
      <c r="B179" s="21"/>
      <c r="C179" s="84"/>
      <c r="D179" s="84"/>
      <c r="E179" s="84"/>
      <c r="F179" s="83"/>
      <c r="G179" s="32"/>
      <c r="H179" s="32"/>
      <c r="I179" s="32"/>
      <c r="J179" s="32"/>
      <c r="K179" s="32"/>
      <c r="L179" s="175">
        <f ca="1">L178</f>
        <v>3</v>
      </c>
      <c r="M179" s="176" t="s">
        <v>105</v>
      </c>
      <c r="N179" s="173"/>
      <c r="O179" s="174"/>
      <c r="P179" s="33"/>
      <c r="Q179" s="33"/>
      <c r="R179" s="33"/>
      <c r="S179" s="33"/>
      <c r="T179" s="167"/>
      <c r="U179" s="33"/>
      <c r="V179" s="33"/>
      <c r="W179" s="33"/>
      <c r="X179" s="34"/>
      <c r="Y179" s="35"/>
      <c r="Z179" s="35"/>
      <c r="AA179" s="35"/>
      <c r="AB179" s="36"/>
      <c r="AC179" s="36"/>
      <c r="AD179" s="26"/>
    </row>
    <row r="180" spans="1:30" ht="43.5" hidden="1" outlineLevel="2" x14ac:dyDescent="0.35">
      <c r="A180" s="93" t="s">
        <v>0</v>
      </c>
      <c r="B180" s="21"/>
      <c r="C180" s="85"/>
      <c r="D180" s="85"/>
      <c r="E180" s="85"/>
      <c r="F180" s="86"/>
      <c r="G180" s="22" t="s">
        <v>23</v>
      </c>
      <c r="H180" s="22" t="s">
        <v>23</v>
      </c>
      <c r="I180" s="23" t="s">
        <v>23</v>
      </c>
      <c r="J180" s="22" t="s">
        <v>23</v>
      </c>
      <c r="K180" s="38"/>
      <c r="L180" s="22"/>
      <c r="M180" s="286" t="str">
        <f ca="1">IFERROR(OFFSET(M180,-1,,1,1)+0.1,OFFSET(M180,-1,-1,1,1)&amp;".1")</f>
        <v>3.1</v>
      </c>
      <c r="N180" s="23" t="s">
        <v>530</v>
      </c>
      <c r="O180" s="23"/>
      <c r="P180" s="23" t="s">
        <v>541</v>
      </c>
      <c r="Q180" s="144">
        <v>1</v>
      </c>
      <c r="R180" s="137">
        <v>2</v>
      </c>
      <c r="S180" s="169">
        <f>CEILING((IF(J180="Yes", 0, IF(H180="-",AA180,AA180+AA180*VLOOKUP(H180,BUFFERS_BY_TYPE,2,FALSE)))) +
   (IF(J180="Yes", 0, IF(H180="-",AA180,AA180+AA180*VLOOKUP(H180,BUFFERS_BY_TYPE,2,FALSE))))*VLOOKUP($S$5, SALES_CALL_SCALE_ARRAY, 2,FALSE),0.25)</f>
        <v>5</v>
      </c>
      <c r="T180" s="170"/>
      <c r="U180" s="24">
        <v>0</v>
      </c>
      <c r="V180" s="24">
        <v>1</v>
      </c>
      <c r="W180" s="24">
        <v>0</v>
      </c>
      <c r="X180" s="168">
        <v>5</v>
      </c>
      <c r="Y180" s="169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5</v>
      </c>
      <c r="Z180" s="25"/>
      <c r="AA180" s="169">
        <f>Y180+Y180*VLOOKUP(I180,EXTRAS_ARRAY,2,FALSE)</f>
        <v>5</v>
      </c>
      <c r="AB180" s="23" t="s">
        <v>543</v>
      </c>
      <c r="AC180" s="37"/>
      <c r="AD180" s="26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s="11" customFormat="1" ht="7.5" hidden="1" customHeight="1" outlineLevel="2" x14ac:dyDescent="0.35">
      <c r="A181" s="93" t="s">
        <v>132</v>
      </c>
      <c r="B181" s="18"/>
      <c r="C181" s="78"/>
      <c r="D181" s="78"/>
      <c r="E181" s="78"/>
      <c r="F181" s="78"/>
      <c r="G181" s="10"/>
      <c r="H181" s="10"/>
      <c r="I181" s="10"/>
      <c r="J181" s="10"/>
      <c r="K181" s="10"/>
      <c r="L181" s="10"/>
      <c r="M181" s="287"/>
      <c r="N181" s="10"/>
      <c r="O181" s="10"/>
      <c r="P181" s="10"/>
      <c r="Q181" s="10"/>
      <c r="R181" s="10"/>
      <c r="S181" s="10"/>
      <c r="T181" s="18"/>
      <c r="U181" s="10"/>
      <c r="V181" s="10"/>
      <c r="W181" s="10"/>
      <c r="X181" s="18"/>
      <c r="Y181" s="10"/>
      <c r="Z181" s="10"/>
      <c r="AA181" s="10"/>
      <c r="AB181" s="60"/>
      <c r="AC181" s="60"/>
      <c r="AD181" s="12"/>
    </row>
    <row r="182" spans="1:30" s="17" customFormat="1" ht="15.5" hidden="1" outlineLevel="1" collapsed="1" x14ac:dyDescent="0.35">
      <c r="A182" s="93" t="s">
        <v>100</v>
      </c>
      <c r="B182" s="21"/>
      <c r="C182" s="84"/>
      <c r="D182" s="84"/>
      <c r="E182" s="84"/>
      <c r="F182" s="83"/>
      <c r="G182" s="32"/>
      <c r="H182" s="32"/>
      <c r="I182" s="32"/>
      <c r="J182" s="32"/>
      <c r="K182" s="32"/>
      <c r="L182" s="20">
        <f ca="1">LOOKUP(1000,INDIRECT("L1:"&amp;CELL("address",INDIRECT("R[-1]C",FALSE))))+1</f>
        <v>4</v>
      </c>
      <c r="M182" s="298" t="s">
        <v>531</v>
      </c>
      <c r="N182" s="298"/>
      <c r="O182" s="5"/>
      <c r="P182" s="33"/>
      <c r="Q182" s="33"/>
      <c r="R182" s="33"/>
      <c r="S182" s="33"/>
      <c r="T182" s="167">
        <f>IF($S$6="Exclude", SUMIFS(S183:S188, J183:J188, "&lt;&gt;Yes", G183:G188, "&lt;&gt;Yes"), SUMIFS(S183:S188, J183:J188, "&lt;&gt;Yes"))</f>
        <v>0</v>
      </c>
      <c r="U182" s="33"/>
      <c r="V182" s="33"/>
      <c r="W182" s="33"/>
      <c r="X182" s="34"/>
      <c r="Y182" s="35"/>
      <c r="Z182" s="35"/>
      <c r="AA182" s="35"/>
      <c r="AB182" s="240"/>
      <c r="AC182" s="36"/>
      <c r="AD182" s="26" t="str">
        <f>IF(M182="", "Error: Task name cannot be empty.", "")</f>
        <v/>
      </c>
    </row>
    <row r="183" spans="1:30" s="15" customFormat="1" ht="1.5" hidden="1" customHeight="1" outlineLevel="2" x14ac:dyDescent="0.35">
      <c r="A183" s="93" t="s">
        <v>101</v>
      </c>
      <c r="B183" s="21"/>
      <c r="C183" s="84"/>
      <c r="D183" s="84"/>
      <c r="E183" s="84"/>
      <c r="F183" s="83"/>
      <c r="G183" s="32"/>
      <c r="H183" s="32"/>
      <c r="I183" s="32"/>
      <c r="J183" s="32"/>
      <c r="K183" s="32"/>
      <c r="L183" s="175">
        <f ca="1">L182</f>
        <v>4</v>
      </c>
      <c r="M183" s="176" t="s">
        <v>105</v>
      </c>
      <c r="N183" s="173"/>
      <c r="O183" s="174"/>
      <c r="P183" s="33"/>
      <c r="Q183" s="33"/>
      <c r="R183" s="33"/>
      <c r="S183" s="33"/>
      <c r="T183" s="167"/>
      <c r="U183" s="33"/>
      <c r="V183" s="33"/>
      <c r="W183" s="33"/>
      <c r="X183" s="34"/>
      <c r="Y183" s="35"/>
      <c r="Z183" s="35"/>
      <c r="AA183" s="35"/>
      <c r="AB183" s="36"/>
      <c r="AC183" s="36"/>
      <c r="AD183" s="26"/>
    </row>
    <row r="184" spans="1:30" ht="43.5" hidden="1" outlineLevel="2" x14ac:dyDescent="0.35">
      <c r="A184" s="93" t="s">
        <v>0</v>
      </c>
      <c r="B184" s="21"/>
      <c r="C184" s="85"/>
      <c r="D184" s="85"/>
      <c r="E184" s="85"/>
      <c r="F184" s="86"/>
      <c r="G184" s="22" t="s">
        <v>23</v>
      </c>
      <c r="H184" s="22" t="s">
        <v>23</v>
      </c>
      <c r="I184" s="23" t="s">
        <v>23</v>
      </c>
      <c r="J184" s="22" t="s">
        <v>23</v>
      </c>
      <c r="K184" s="38"/>
      <c r="L184" s="22"/>
      <c r="M184" s="286" t="str">
        <f ca="1">IFERROR(OFFSET(M184,-1,,1,1)+0.1,OFFSET(M184,-1,-1,1,1)&amp;".1")</f>
        <v>4.1</v>
      </c>
      <c r="N184" s="23" t="s">
        <v>532</v>
      </c>
      <c r="O184" s="23"/>
      <c r="P184" s="23"/>
      <c r="Q184" s="144"/>
      <c r="R184" s="137"/>
      <c r="S184" s="169">
        <f>CEILING((IF(J184="Yes", 0, IF(H184="-",AA184,AA184+AA184*VLOOKUP(H184,BUFFERS_BY_TYPE,2,FALSE)))) +
   (IF(J184="Yes", 0, IF(H184="-",AA184,AA184+AA184*VLOOKUP(H184,BUFFERS_BY_TYPE,2,FALSE))))*VLOOKUP($S$5, SALES_CALL_SCALE_ARRAY, 2,FALSE),0.25)</f>
        <v>0</v>
      </c>
      <c r="T184" s="170"/>
      <c r="U184" s="24">
        <v>0</v>
      </c>
      <c r="V184" s="24">
        <v>1</v>
      </c>
      <c r="W184" s="24">
        <v>0</v>
      </c>
      <c r="X184" s="168"/>
      <c r="Y184" s="169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0</v>
      </c>
      <c r="Z184" s="25"/>
      <c r="AA184" s="169">
        <f>Y184+Y184*VLOOKUP(I184,EXTRAS_ARRAY,2,FALSE)</f>
        <v>0</v>
      </c>
      <c r="AB184" s="23"/>
      <c r="AC184" s="37"/>
      <c r="AD184" s="26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>Error: Effort value is not defined or is invalid.</v>
      </c>
    </row>
    <row r="185" spans="1:30" ht="43.5" hidden="1" outlineLevel="2" x14ac:dyDescent="0.35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>
        <f ca="1">IFERROR(OFFSET(M185,-1,,1,1)+0.1,OFFSET(M185,-1,-1,1,1)&amp;".1")</f>
        <v>4.1999999999999993</v>
      </c>
      <c r="N185" s="23" t="s">
        <v>533</v>
      </c>
      <c r="O185" s="23"/>
      <c r="P185" s="23"/>
      <c r="Q185" s="144"/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0</v>
      </c>
      <c r="T185" s="170"/>
      <c r="U185" s="24">
        <v>0</v>
      </c>
      <c r="V185" s="24">
        <v>1</v>
      </c>
      <c r="W185" s="24">
        <v>0</v>
      </c>
      <c r="X185" s="168"/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0</v>
      </c>
      <c r="Z185" s="25"/>
      <c r="AA185" s="169">
        <f>Y185+Y185*VLOOKUP(I185,EXTRAS_ARRAY,2,FALSE)</f>
        <v>0</v>
      </c>
      <c r="AB185" s="23"/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>Error: Effort value is not defined or is invalid.</v>
      </c>
    </row>
    <row r="186" spans="1:30" ht="43.5" hidden="1" outlineLevel="2" x14ac:dyDescent="0.35">
      <c r="A186" s="93" t="s">
        <v>0</v>
      </c>
      <c r="B186" s="21"/>
      <c r="C186" s="85"/>
      <c r="D186" s="85"/>
      <c r="E186" s="85"/>
      <c r="F186" s="86"/>
      <c r="G186" s="22" t="s">
        <v>23</v>
      </c>
      <c r="H186" s="22" t="s">
        <v>23</v>
      </c>
      <c r="I186" s="23" t="s">
        <v>23</v>
      </c>
      <c r="J186" s="22" t="s">
        <v>23</v>
      </c>
      <c r="K186" s="38"/>
      <c r="L186" s="22"/>
      <c r="M186" s="286">
        <f ca="1">IFERROR(OFFSET(M186,-1,,1,1)+0.1,OFFSET(M186,-1,-1,1,1)&amp;".1")</f>
        <v>4.2999999999999989</v>
      </c>
      <c r="N186" s="23" t="s">
        <v>534</v>
      </c>
      <c r="O186" s="23"/>
      <c r="P186" s="23"/>
      <c r="Q186" s="144"/>
      <c r="R186" s="137"/>
      <c r="S186" s="169">
        <f>CEILING((IF(J186="Yes", 0, IF(H186="-",AA186,AA186+AA186*VLOOKUP(H186,BUFFERS_BY_TYPE,2,FALSE)))) +
   (IF(J186="Yes", 0, IF(H186="-",AA186,AA186+AA186*VLOOKUP(H186,BUFFERS_BY_TYPE,2,FALSE))))*VLOOKUP($S$5, SALES_CALL_SCALE_ARRAY, 2,FALSE),0.25)</f>
        <v>0</v>
      </c>
      <c r="T186" s="170"/>
      <c r="U186" s="24">
        <v>0</v>
      </c>
      <c r="V186" s="24">
        <v>1</v>
      </c>
      <c r="W186" s="24">
        <v>0</v>
      </c>
      <c r="X186" s="168"/>
      <c r="Y186" s="169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>0</v>
      </c>
      <c r="Z186" s="25"/>
      <c r="AA186" s="169">
        <f>Y186+Y186*VLOOKUP(I186,EXTRAS_ARRAY,2,FALSE)</f>
        <v>0</v>
      </c>
      <c r="AB186" s="23"/>
      <c r="AC186" s="37"/>
      <c r="AD186" s="26" t="str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>Error: Effort value is not defined or is invalid.</v>
      </c>
    </row>
    <row r="187" spans="1:30" ht="43.5" hidden="1" outlineLevel="2" x14ac:dyDescent="0.35">
      <c r="A187" s="93" t="s">
        <v>0</v>
      </c>
      <c r="B187" s="21"/>
      <c r="C187" s="85"/>
      <c r="D187" s="85"/>
      <c r="E187" s="85"/>
      <c r="F187" s="86"/>
      <c r="G187" s="22" t="s">
        <v>23</v>
      </c>
      <c r="H187" s="22" t="s">
        <v>23</v>
      </c>
      <c r="I187" s="23" t="s">
        <v>23</v>
      </c>
      <c r="J187" s="22" t="s">
        <v>23</v>
      </c>
      <c r="K187" s="38"/>
      <c r="L187" s="22"/>
      <c r="M187" s="286">
        <f ca="1">IFERROR(OFFSET(M187,-1,,1,1)+0.1,OFFSET(M187,-1,-1,1,1)&amp;".1")</f>
        <v>4.3999999999999986</v>
      </c>
      <c r="N187" s="23" t="s">
        <v>535</v>
      </c>
      <c r="O187" s="23"/>
      <c r="P187" s="23"/>
      <c r="Q187" s="144"/>
      <c r="R187" s="137"/>
      <c r="S187" s="169">
        <f>CEILING((IF(J187="Yes", 0, IF(H187="-",AA187,AA187+AA187*VLOOKUP(H187,BUFFERS_BY_TYPE,2,FALSE)))) +
   (IF(J187="Yes", 0, IF(H187="-",AA187,AA187+AA187*VLOOKUP(H187,BUFFERS_BY_TYPE,2,FALSE))))*VLOOKUP($S$5, SALES_CALL_SCALE_ARRAY, 2,FALSE),0.25)</f>
        <v>0</v>
      </c>
      <c r="T187" s="170"/>
      <c r="U187" s="24">
        <v>0</v>
      </c>
      <c r="V187" s="24">
        <v>1</v>
      </c>
      <c r="W187" s="24">
        <v>0</v>
      </c>
      <c r="X187" s="168"/>
      <c r="Y187" s="169">
        <f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0</v>
      </c>
      <c r="Z187" s="25"/>
      <c r="AA187" s="169">
        <f>Y187+Y187*VLOOKUP(I187,EXTRAS_ARRAY,2,FALSE)</f>
        <v>0</v>
      </c>
      <c r="AB187" s="23"/>
      <c r="AC187" s="37"/>
      <c r="AD187" s="26" t="str">
        <f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>Error: Effort value is not defined or is invalid.</v>
      </c>
    </row>
    <row r="188" spans="1:30" s="11" customFormat="1" ht="7.5" hidden="1" customHeight="1" outlineLevel="2" x14ac:dyDescent="0.35">
      <c r="A188" s="93" t="s">
        <v>132</v>
      </c>
      <c r="B188" s="18"/>
      <c r="C188" s="78"/>
      <c r="D188" s="78"/>
      <c r="E188" s="78"/>
      <c r="F188" s="78"/>
      <c r="G188" s="10"/>
      <c r="H188" s="10"/>
      <c r="I188" s="10"/>
      <c r="J188" s="10"/>
      <c r="K188" s="10"/>
      <c r="L188" s="10"/>
      <c r="M188" s="287"/>
      <c r="N188" s="10"/>
      <c r="O188" s="10"/>
      <c r="P188" s="10"/>
      <c r="Q188" s="10"/>
      <c r="R188" s="10"/>
      <c r="S188" s="10"/>
      <c r="T188" s="18"/>
      <c r="U188" s="10"/>
      <c r="V188" s="10"/>
      <c r="W188" s="10"/>
      <c r="X188" s="18"/>
      <c r="Y188" s="10"/>
      <c r="Z188" s="10"/>
      <c r="AA188" s="10"/>
      <c r="AB188" s="60"/>
      <c r="AC188" s="60"/>
      <c r="AD188" s="12"/>
    </row>
    <row r="189" spans="1:30" s="11" customFormat="1" ht="3" hidden="1" customHeight="1" outlineLevel="1" x14ac:dyDescent="0.35">
      <c r="A189" s="93" t="s">
        <v>102</v>
      </c>
      <c r="B189" s="10"/>
      <c r="C189" s="78"/>
      <c r="D189" s="78"/>
      <c r="E189" s="78"/>
      <c r="F189" s="78"/>
      <c r="G189" s="59"/>
      <c r="H189" s="59"/>
      <c r="I189" s="59"/>
      <c r="J189" s="59"/>
      <c r="K189" s="59"/>
      <c r="L189" s="61"/>
      <c r="M189" s="288"/>
      <c r="N189" s="62"/>
      <c r="O189" s="62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2"/>
      <c r="AC189" s="62"/>
      <c r="AD189" s="12"/>
    </row>
    <row r="190" spans="1:30" s="17" customFormat="1" ht="18.5" collapsed="1" x14ac:dyDescent="0.35">
      <c r="A190" s="93" t="s">
        <v>98</v>
      </c>
      <c r="B190" s="14"/>
      <c r="C190" s="79"/>
      <c r="D190" s="79"/>
      <c r="E190" s="79"/>
      <c r="F190" s="78"/>
      <c r="G190" s="55"/>
      <c r="H190" s="55"/>
      <c r="I190" s="55"/>
      <c r="J190" s="55"/>
      <c r="K190" s="55"/>
      <c r="L190" s="55" t="s">
        <v>83</v>
      </c>
      <c r="M190" s="284" t="s">
        <v>76</v>
      </c>
      <c r="N190" s="56"/>
      <c r="O190" s="57"/>
      <c r="P190" s="58"/>
      <c r="Q190" s="58"/>
      <c r="R190" s="58"/>
      <c r="S190" s="301">
        <f>CEILING(SUMIF(J191:J196, "&lt;&gt;Yes", T191:T196),1)</f>
        <v>25</v>
      </c>
      <c r="T190" s="301"/>
      <c r="U190" s="58"/>
      <c r="V190" s="58"/>
      <c r="W190" s="58"/>
      <c r="X190" s="58"/>
      <c r="Y190" s="58"/>
      <c r="Z190" s="58"/>
      <c r="AA190" s="58"/>
      <c r="AB190" s="58"/>
      <c r="AC190" s="58"/>
      <c r="AD190" s="16"/>
    </row>
    <row r="191" spans="1:30" s="11" customFormat="1" ht="3" hidden="1" customHeight="1" outlineLevel="1" x14ac:dyDescent="0.35">
      <c r="A191" s="93" t="s">
        <v>99</v>
      </c>
      <c r="B191" s="18"/>
      <c r="C191" s="78"/>
      <c r="D191" s="78"/>
      <c r="E191" s="78"/>
      <c r="F191" s="78"/>
      <c r="G191" s="28"/>
      <c r="H191" s="28"/>
      <c r="I191" s="28"/>
      <c r="J191" s="28"/>
      <c r="K191" s="28"/>
      <c r="L191" s="29">
        <v>0</v>
      </c>
      <c r="M191" s="285"/>
      <c r="N191" s="28"/>
      <c r="O191" s="28"/>
      <c r="P191" s="28"/>
      <c r="Q191" s="28"/>
      <c r="R191" s="28"/>
      <c r="S191" s="28"/>
      <c r="T191" s="30"/>
      <c r="U191" s="28"/>
      <c r="V191" s="28"/>
      <c r="W191" s="28"/>
      <c r="X191" s="30"/>
      <c r="Y191" s="28"/>
      <c r="Z191" s="28"/>
      <c r="AA191" s="28"/>
      <c r="AB191" s="31"/>
      <c r="AC191" s="31"/>
      <c r="AD191" s="12"/>
    </row>
    <row r="192" spans="1:30" s="17" customFormat="1" ht="15.5" hidden="1" outlineLevel="1" collapsed="1" x14ac:dyDescent="0.35">
      <c r="A192" s="93" t="s">
        <v>100</v>
      </c>
      <c r="B192" s="21"/>
      <c r="C192" s="84"/>
      <c r="D192" s="84"/>
      <c r="E192" s="84"/>
      <c r="F192" s="83"/>
      <c r="G192" s="32"/>
      <c r="H192" s="32"/>
      <c r="I192" s="32"/>
      <c r="J192" s="32"/>
      <c r="K192" s="32"/>
      <c r="L192" s="20">
        <f ca="1">LOOKUP(1000,INDIRECT("L1:"&amp;CELL("address",INDIRECT("R[-1]C",FALSE))))+1</f>
        <v>1</v>
      </c>
      <c r="M192" s="298" t="s">
        <v>544</v>
      </c>
      <c r="N192" s="298"/>
      <c r="O192" s="5"/>
      <c r="P192" s="33"/>
      <c r="Q192" s="33"/>
      <c r="R192" s="33"/>
      <c r="S192" s="33"/>
      <c r="T192" s="167">
        <f>IF($S$6="Exclude", SUMIFS(S193:S195, J193:J195, "&lt;&gt;Yes", G193:G195, "&lt;&gt;Yes"), SUMIFS(S193:S195, J193:J195, "&lt;&gt;Yes"))</f>
        <v>24.75</v>
      </c>
      <c r="U192" s="33"/>
      <c r="V192" s="33"/>
      <c r="W192" s="33"/>
      <c r="X192" s="34"/>
      <c r="Y192" s="35"/>
      <c r="Z192" s="35"/>
      <c r="AA192" s="35"/>
      <c r="AB192" s="240"/>
      <c r="AC192" s="36"/>
      <c r="AD192" s="26" t="str">
        <f>IF(M192="", "Error: Task name cannot be empty.", "")</f>
        <v/>
      </c>
    </row>
    <row r="193" spans="1:30" s="15" customFormat="1" ht="1.5" hidden="1" customHeight="1" outlineLevel="2" x14ac:dyDescent="0.35">
      <c r="A193" s="93" t="s">
        <v>101</v>
      </c>
      <c r="B193" s="21"/>
      <c r="C193" s="84"/>
      <c r="D193" s="84"/>
      <c r="E193" s="84"/>
      <c r="F193" s="83"/>
      <c r="G193" s="32"/>
      <c r="H193" s="32"/>
      <c r="I193" s="32"/>
      <c r="J193" s="32"/>
      <c r="K193" s="32"/>
      <c r="L193" s="175">
        <f ca="1">L192</f>
        <v>1</v>
      </c>
      <c r="M193" s="176" t="s">
        <v>105</v>
      </c>
      <c r="N193" s="173"/>
      <c r="O193" s="174"/>
      <c r="P193" s="33"/>
      <c r="Q193" s="33"/>
      <c r="R193" s="33"/>
      <c r="S193" s="33"/>
      <c r="T193" s="167"/>
      <c r="U193" s="33"/>
      <c r="V193" s="33"/>
      <c r="W193" s="33"/>
      <c r="X193" s="34"/>
      <c r="Y193" s="35"/>
      <c r="Z193" s="35"/>
      <c r="AA193" s="35"/>
      <c r="AB193" s="36"/>
      <c r="AC193" s="36"/>
      <c r="AD193" s="26"/>
    </row>
    <row r="194" spans="1:30" ht="15.5" hidden="1" outlineLevel="2" x14ac:dyDescent="0.35">
      <c r="A194" s="93" t="s">
        <v>0</v>
      </c>
      <c r="B194" s="21"/>
      <c r="C194" s="85"/>
      <c r="D194" s="85"/>
      <c r="E194" s="85"/>
      <c r="F194" s="86"/>
      <c r="G194" s="22" t="s">
        <v>23</v>
      </c>
      <c r="H194" s="22" t="s">
        <v>23</v>
      </c>
      <c r="I194" s="23" t="s">
        <v>23</v>
      </c>
      <c r="J194" s="22" t="s">
        <v>23</v>
      </c>
      <c r="K194" s="38"/>
      <c r="L194" s="22"/>
      <c r="M194" s="286" t="str">
        <f ca="1">IFERROR(OFFSET(M194,-1,,1,1)+0.1,OFFSET(M194,-1,-1,1,1)&amp;".1")</f>
        <v>1.1</v>
      </c>
      <c r="N194" s="23" t="s">
        <v>545</v>
      </c>
      <c r="O194" s="23" t="s">
        <v>546</v>
      </c>
      <c r="P194" s="274">
        <v>0.1</v>
      </c>
      <c r="Q194" s="144"/>
      <c r="R194" s="137"/>
      <c r="S194" s="169">
        <f>CEILING((IF(J194="Yes", 0, IF(H194="-",AA194,AA194+AA194*VLOOKUP(H194,BUFFERS_BY_TYPE,2,FALSE)))) +
   (IF(J194="Yes", 0, IF(H194="-",AA194,AA194+AA194*VLOOKUP(H194,BUFFERS_BY_TYPE,2,FALSE))))*VLOOKUP($S$5, SALES_CALL_SCALE_ARRAY, 2,FALSE),0.25)</f>
        <v>24.75</v>
      </c>
      <c r="T194" s="170"/>
      <c r="U194" s="24">
        <v>0</v>
      </c>
      <c r="V194" s="24">
        <v>1</v>
      </c>
      <c r="W194" s="24">
        <v>0</v>
      </c>
      <c r="X194" s="168">
        <f>(REQ_EFFORT+DESIGN_EFFORT+DEV_EFFORT+QA_EFFORT+UAT_EFFORT) * P194</f>
        <v>24.6</v>
      </c>
      <c r="Y194" s="169">
        <f>CEILING((IF(P194=AS_DEV_EFFORT, DEV_EFFORT*Q194%,
                           IF(P194=AS_DURATION_EFFORT, (MANUAL_DURATION*5)*Q194%,
                                    (IF(Q194&lt;=1,X194,
                                          IF(SUM(U194:W194)=0,(Q194*X194),
                                               (((Q194*U194)*(X194+(X194*EXTRA_FOR_H)))+
                                               ((Q194*V194)*X194)+
                                               ((Q194*W194)*(X194-(X194*LESS_FOR_L)))
                                    )*IF(R194=0,1,R194))))))+Z194), 0.25)</f>
        <v>24.75</v>
      </c>
      <c r="Z194" s="25"/>
      <c r="AA194" s="169">
        <f>Y194+Y194*VLOOKUP(I194,EXTRAS_ARRAY,2,FALSE)</f>
        <v>24.75</v>
      </c>
      <c r="AB194" s="23"/>
      <c r="AC194" s="37"/>
      <c r="AD194" s="26" t="str">
        <f>IF(J194&lt;&gt;"Yes",
IF(S194&lt;=0,"Error: Effort value is not defined or is invalid.",
IF(AND(SUM(U194:W194)&gt;0,SUM(U194:W194)&lt;&gt;1),"Error: Complexity % distribution should sum to 100%.",
IF(AND(P194=AS_DEV_EFFORT,X194&lt;&gt;0),"Error: PDs should not be defined when defining as dev effort %.",
IF(AND(P194=AS_DURATION_EFFORT,X194&lt;&gt;0),"Error: PDs should not be defined when defining as duration effort %.","")))))</f>
        <v/>
      </c>
    </row>
    <row r="195" spans="1:30" s="11" customFormat="1" ht="7.5" hidden="1" customHeight="1" outlineLevel="2" x14ac:dyDescent="0.35">
      <c r="A195" s="93" t="s">
        <v>132</v>
      </c>
      <c r="B195" s="18"/>
      <c r="C195" s="78"/>
      <c r="D195" s="78"/>
      <c r="E195" s="78"/>
      <c r="F195" s="78"/>
      <c r="G195" s="10"/>
      <c r="H195" s="10"/>
      <c r="I195" s="10"/>
      <c r="J195" s="10"/>
      <c r="K195" s="10"/>
      <c r="L195" s="10"/>
      <c r="M195" s="287"/>
      <c r="N195" s="10"/>
      <c r="O195" s="10"/>
      <c r="P195" s="10"/>
      <c r="Q195" s="10"/>
      <c r="R195" s="10"/>
      <c r="S195" s="10"/>
      <c r="T195" s="18"/>
      <c r="U195" s="10"/>
      <c r="V195" s="10"/>
      <c r="W195" s="10"/>
      <c r="X195" s="18"/>
      <c r="Y195" s="10"/>
      <c r="Z195" s="10"/>
      <c r="AA195" s="10"/>
      <c r="AB195" s="60"/>
      <c r="AC195" s="60"/>
      <c r="AD195" s="12"/>
    </row>
    <row r="196" spans="1:30" s="11" customFormat="1" ht="3" hidden="1" customHeight="1" outlineLevel="1" x14ac:dyDescent="0.35">
      <c r="A196" s="93" t="s">
        <v>102</v>
      </c>
      <c r="B196" s="10"/>
      <c r="C196" s="78"/>
      <c r="D196" s="78"/>
      <c r="E196" s="78"/>
      <c r="F196" s="78"/>
      <c r="G196" s="59"/>
      <c r="H196" s="59"/>
      <c r="I196" s="59"/>
      <c r="J196" s="59"/>
      <c r="K196" s="59"/>
      <c r="L196" s="61"/>
      <c r="M196" s="288"/>
      <c r="N196" s="62"/>
      <c r="O196" s="62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2"/>
      <c r="AC196" s="62"/>
      <c r="AD196" s="12"/>
    </row>
    <row r="197" spans="1:30" s="11" customFormat="1" ht="20.25" customHeight="1" x14ac:dyDescent="0.35">
      <c r="A197" s="93" t="s">
        <v>103</v>
      </c>
      <c r="B197" s="10"/>
      <c r="C197" s="78"/>
      <c r="D197" s="78"/>
      <c r="E197" s="78"/>
      <c r="F197" s="78"/>
      <c r="G197" s="43"/>
      <c r="H197" s="43"/>
      <c r="I197" s="43"/>
      <c r="J197" s="43"/>
      <c r="K197" s="43"/>
      <c r="L197" s="146"/>
      <c r="M197" s="281"/>
      <c r="N197" s="43"/>
      <c r="O197" s="43"/>
      <c r="P197" s="43"/>
      <c r="Q197" s="43"/>
      <c r="R197" s="43"/>
      <c r="S197" s="302">
        <f>TOTAL_EFFORT</f>
        <v>271</v>
      </c>
      <c r="T197" s="302"/>
      <c r="U197" s="43"/>
      <c r="V197" s="43"/>
      <c r="W197" s="43"/>
      <c r="X197" s="43"/>
      <c r="Y197" s="43"/>
      <c r="Z197" s="43"/>
      <c r="AA197" s="43"/>
      <c r="AB197" s="145"/>
      <c r="AC197" s="43"/>
      <c r="AD197" s="12"/>
    </row>
    <row r="198" spans="1:30" s="11" customFormat="1" x14ac:dyDescent="0.35">
      <c r="A198" s="93"/>
      <c r="B198" s="10"/>
      <c r="C198" s="80"/>
      <c r="D198" s="80"/>
      <c r="E198" s="80"/>
      <c r="F198" s="78"/>
      <c r="M198" s="275"/>
      <c r="N198" s="12"/>
      <c r="O198" s="12"/>
      <c r="AB198" s="12"/>
      <c r="AC198" s="12"/>
      <c r="AD198" s="12"/>
    </row>
    <row r="199" spans="1:30" s="11" customFormat="1" ht="20.25" customHeight="1" collapsed="1" x14ac:dyDescent="0.35">
      <c r="A199" s="93"/>
      <c r="B199" s="10"/>
      <c r="C199" s="78"/>
      <c r="D199" s="78"/>
      <c r="E199" s="78"/>
      <c r="F199" s="78"/>
      <c r="G199" s="308" t="s">
        <v>48</v>
      </c>
      <c r="H199" s="308"/>
      <c r="I199" s="200"/>
      <c r="J199" s="43"/>
      <c r="K199" s="43"/>
      <c r="L199" s="39"/>
      <c r="M199" s="289" t="s">
        <v>154</v>
      </c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12"/>
    </row>
    <row r="200" spans="1:30" s="11" customFormat="1" hidden="1" outlineLevel="1" x14ac:dyDescent="0.35">
      <c r="A200" s="93"/>
      <c r="B200" s="10"/>
      <c r="C200" s="80"/>
      <c r="D200" s="80"/>
      <c r="E200" s="80"/>
      <c r="F200" s="78"/>
      <c r="G200" s="28"/>
      <c r="H200" s="28"/>
      <c r="I200" s="28"/>
      <c r="J200" s="28"/>
      <c r="K200" s="28"/>
      <c r="L200" s="28"/>
      <c r="M200" s="285"/>
      <c r="N200" s="31"/>
      <c r="O200" s="31"/>
      <c r="P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31"/>
      <c r="AC200" s="31"/>
      <c r="AD200" s="12"/>
    </row>
    <row r="201" spans="1:30" s="11" customFormat="1" ht="15" hidden="1" customHeight="1" outlineLevel="1" x14ac:dyDescent="0.35">
      <c r="A201" s="93"/>
      <c r="B201" s="10"/>
      <c r="C201" s="80"/>
      <c r="D201" s="80"/>
      <c r="E201" s="80"/>
      <c r="F201" s="78"/>
      <c r="G201" s="28"/>
      <c r="H201" s="28"/>
      <c r="I201" s="28"/>
      <c r="J201" s="28"/>
      <c r="K201" s="28"/>
      <c r="L201" s="28"/>
      <c r="M201" s="325" t="s">
        <v>454</v>
      </c>
      <c r="N201" s="325"/>
      <c r="O201" s="325"/>
      <c r="P201" s="325"/>
      <c r="Q201" s="325"/>
      <c r="R201" s="325"/>
      <c r="S201" s="325"/>
      <c r="T201" s="325"/>
      <c r="U201" s="31"/>
      <c r="V201" s="31"/>
      <c r="W201" s="31"/>
      <c r="X201" s="28"/>
      <c r="Y201" s="28"/>
      <c r="Z201" s="28"/>
      <c r="AA201" s="28"/>
      <c r="AB201" s="31"/>
      <c r="AC201" s="31"/>
      <c r="AD201" s="12"/>
    </row>
    <row r="202" spans="1:30" s="11" customFormat="1" hidden="1" outlineLevel="1" x14ac:dyDescent="0.35">
      <c r="A202" s="93"/>
      <c r="B202" s="10"/>
      <c r="C202" s="80"/>
      <c r="D202" s="80"/>
      <c r="E202" s="80"/>
      <c r="F202" s="78"/>
      <c r="G202" s="28"/>
      <c r="H202" s="28"/>
      <c r="I202" s="28"/>
      <c r="J202" s="28"/>
      <c r="K202" s="28"/>
      <c r="L202" s="28"/>
      <c r="M202" s="325"/>
      <c r="N202" s="325"/>
      <c r="O202" s="325"/>
      <c r="P202" s="325"/>
      <c r="Q202" s="325"/>
      <c r="R202" s="325"/>
      <c r="S202" s="325"/>
      <c r="T202" s="325"/>
      <c r="U202" s="31"/>
      <c r="V202" s="31"/>
      <c r="W202" s="31"/>
      <c r="X202" s="28"/>
      <c r="Y202" s="28"/>
      <c r="Z202" s="28"/>
      <c r="AA202" s="28"/>
      <c r="AB202" s="31"/>
      <c r="AC202" s="31"/>
      <c r="AD202" s="12"/>
    </row>
    <row r="203" spans="1:30" s="11" customFormat="1" ht="3.75" hidden="1" customHeight="1" outlineLevel="1" x14ac:dyDescent="0.35">
      <c r="A203" s="93"/>
      <c r="B203" s="10"/>
      <c r="C203" s="80"/>
      <c r="D203" s="80"/>
      <c r="E203" s="80"/>
      <c r="F203" s="78"/>
      <c r="G203" s="28"/>
      <c r="H203" s="28"/>
      <c r="I203" s="28"/>
      <c r="J203" s="28"/>
      <c r="K203" s="28"/>
      <c r="L203" s="28"/>
      <c r="M203" s="285"/>
      <c r="N203" s="31"/>
      <c r="O203" s="31"/>
      <c r="P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31"/>
      <c r="AC203" s="31"/>
      <c r="AD203" s="12"/>
    </row>
    <row r="204" spans="1:30" s="11" customFormat="1" ht="15.5" hidden="1" outlineLevel="1" x14ac:dyDescent="0.35">
      <c r="A204" s="93"/>
      <c r="B204" s="10"/>
      <c r="C204" s="80"/>
      <c r="D204" s="80"/>
      <c r="E204" s="80"/>
      <c r="F204" s="78"/>
      <c r="G204" s="28"/>
      <c r="H204" s="28"/>
      <c r="I204" s="28"/>
      <c r="J204" s="28"/>
      <c r="K204" s="28"/>
      <c r="L204" s="28"/>
      <c r="M204" s="290" t="s">
        <v>153</v>
      </c>
      <c r="N204" s="203" t="s">
        <v>3</v>
      </c>
      <c r="O204" s="207" t="s">
        <v>59</v>
      </c>
      <c r="P204" s="206" t="str">
        <f>"Cost ("&amp;CHOSEN_CURRENCY&amp;")"</f>
        <v>Cost (-)</v>
      </c>
      <c r="Q204" s="28"/>
      <c r="R204" s="242" t="s">
        <v>441</v>
      </c>
      <c r="S204" s="63" t="s">
        <v>453</v>
      </c>
      <c r="T204" s="253" t="s">
        <v>455</v>
      </c>
      <c r="U204" s="241"/>
      <c r="V204" s="241"/>
      <c r="W204" s="28"/>
      <c r="X204" s="241"/>
      <c r="Y204" s="28"/>
      <c r="Z204" s="28"/>
      <c r="AA204" s="28"/>
      <c r="AB204" s="31"/>
      <c r="AC204" s="31"/>
      <c r="AD204" s="12"/>
    </row>
    <row r="205" spans="1:30" s="11" customFormat="1" ht="3" hidden="1" customHeight="1" outlineLevel="1" x14ac:dyDescent="0.35">
      <c r="A205" s="93"/>
      <c r="B205" s="10"/>
      <c r="C205" s="80"/>
      <c r="D205" s="80"/>
      <c r="E205" s="80"/>
      <c r="F205" s="78"/>
      <c r="G205" s="28"/>
      <c r="H205" s="28"/>
      <c r="I205" s="28"/>
      <c r="J205" s="28"/>
      <c r="K205" s="28"/>
      <c r="L205" s="28"/>
      <c r="M205" s="291"/>
      <c r="N205" s="268"/>
      <c r="O205" s="268"/>
      <c r="P205" s="267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31"/>
      <c r="AC205" s="31"/>
      <c r="AD205" s="12"/>
    </row>
    <row r="206" spans="1:30" s="11" customFormat="1" hidden="1" outlineLevel="1" x14ac:dyDescent="0.35">
      <c r="A206" s="93"/>
      <c r="B206" s="10"/>
      <c r="C206" s="80"/>
      <c r="D206" s="80"/>
      <c r="E206" s="80"/>
      <c r="F206" s="78"/>
      <c r="G206" s="28"/>
      <c r="H206" s="28"/>
      <c r="I206" s="28"/>
      <c r="J206" s="28"/>
      <c r="K206" s="28"/>
      <c r="L206" s="28"/>
      <c r="M206" s="285"/>
      <c r="N206" s="31"/>
      <c r="O206" s="31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31"/>
      <c r="AC206" s="31"/>
      <c r="AD206" s="12"/>
    </row>
    <row r="207" spans="1:30" s="11" customFormat="1" hidden="1" outlineLevel="1" x14ac:dyDescent="0.35">
      <c r="A207" s="93"/>
      <c r="B207" s="10"/>
      <c r="C207" s="80"/>
      <c r="D207" s="80"/>
      <c r="E207" s="80"/>
      <c r="F207" s="78"/>
      <c r="G207" s="28"/>
      <c r="H207" s="28"/>
      <c r="I207" s="28"/>
      <c r="J207" s="28"/>
      <c r="K207" s="28"/>
      <c r="L207" s="28"/>
      <c r="M207" s="285"/>
      <c r="N207" s="31"/>
      <c r="O207" s="31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31"/>
      <c r="AC207" s="31"/>
      <c r="AD207" s="12"/>
    </row>
    <row r="208" spans="1:30" s="11" customFormat="1" hidden="1" outlineLevel="1" x14ac:dyDescent="0.35">
      <c r="A208" s="93"/>
      <c r="B208" s="10"/>
      <c r="C208" s="80"/>
      <c r="D208" s="80"/>
      <c r="E208" s="80"/>
      <c r="F208" s="78"/>
      <c r="G208" s="28"/>
      <c r="H208" s="28"/>
      <c r="I208" s="28"/>
      <c r="J208" s="28"/>
      <c r="K208" s="28"/>
      <c r="L208" s="28"/>
      <c r="M208" s="285"/>
      <c r="N208" s="31"/>
      <c r="O208" s="31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31"/>
      <c r="AC208" s="31"/>
      <c r="AD208" s="12"/>
    </row>
    <row r="209" spans="1:30" s="11" customFormat="1" hidden="1" outlineLevel="1" x14ac:dyDescent="0.35">
      <c r="A209" s="93"/>
      <c r="B209" s="10"/>
      <c r="C209" s="80"/>
      <c r="D209" s="80"/>
      <c r="E209" s="80"/>
      <c r="F209" s="78"/>
      <c r="G209" s="28"/>
      <c r="H209" s="28"/>
      <c r="I209" s="28"/>
      <c r="J209" s="28"/>
      <c r="K209" s="28"/>
      <c r="L209" s="28"/>
      <c r="M209" s="285"/>
      <c r="N209" s="31"/>
      <c r="O209" s="31"/>
      <c r="P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31"/>
      <c r="AC209" s="31"/>
      <c r="AD209" s="12"/>
    </row>
    <row r="210" spans="1:30" s="11" customFormat="1" hidden="1" outlineLevel="1" x14ac:dyDescent="0.35">
      <c r="A210" s="93"/>
      <c r="B210" s="10"/>
      <c r="C210" s="80"/>
      <c r="D210" s="80"/>
      <c r="E210" s="80"/>
      <c r="F210" s="78"/>
      <c r="G210" s="28"/>
      <c r="H210" s="28"/>
      <c r="I210" s="28"/>
      <c r="J210" s="28"/>
      <c r="K210" s="28"/>
      <c r="L210" s="28"/>
      <c r="M210" s="285"/>
      <c r="N210" s="31"/>
      <c r="O210" s="31"/>
      <c r="P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31"/>
      <c r="AC210" s="31"/>
      <c r="AD210" s="12"/>
    </row>
    <row r="211" spans="1:30" s="11" customFormat="1" ht="3" hidden="1" customHeight="1" outlineLevel="1" x14ac:dyDescent="0.35">
      <c r="A211" s="93"/>
      <c r="B211" s="10"/>
      <c r="C211" s="80"/>
      <c r="D211" s="80"/>
      <c r="E211" s="80"/>
      <c r="F211" s="78"/>
      <c r="G211" s="28"/>
      <c r="H211" s="28"/>
      <c r="I211" s="28"/>
      <c r="J211" s="28"/>
      <c r="K211" s="28"/>
      <c r="L211" s="28"/>
      <c r="M211" s="291"/>
      <c r="N211" s="268"/>
      <c r="O211" s="268"/>
      <c r="P211" s="267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31"/>
      <c r="AC211" s="31"/>
      <c r="AD211" s="12"/>
    </row>
    <row r="212" spans="1:30" s="11" customFormat="1" hidden="1" outlineLevel="1" x14ac:dyDescent="0.35">
      <c r="A212" s="93"/>
      <c r="B212" s="10"/>
      <c r="C212" s="80"/>
      <c r="D212" s="80"/>
      <c r="E212" s="80"/>
      <c r="F212" s="78"/>
      <c r="G212" s="28"/>
      <c r="H212" s="28"/>
      <c r="I212" s="28"/>
      <c r="J212" s="28"/>
      <c r="K212" s="28"/>
      <c r="L212" s="28"/>
      <c r="M212" s="292"/>
      <c r="N212" s="204"/>
      <c r="O212" s="205">
        <f>TOTAL_EFFORT</f>
        <v>271</v>
      </c>
      <c r="P212" s="205">
        <f>TOTAL_COST</f>
        <v>60704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31"/>
      <c r="AC212" s="31"/>
      <c r="AD212" s="12"/>
    </row>
    <row r="213" spans="1:30" s="11" customFormat="1" hidden="1" outlineLevel="1" x14ac:dyDescent="0.35">
      <c r="A213" s="93"/>
      <c r="B213" s="10"/>
      <c r="C213" s="80"/>
      <c r="D213" s="80"/>
      <c r="E213" s="80"/>
      <c r="F213" s="78"/>
      <c r="G213" s="28"/>
      <c r="H213" s="28"/>
      <c r="I213" s="28"/>
      <c r="J213" s="28"/>
      <c r="K213" s="28"/>
      <c r="L213" s="28"/>
      <c r="M213" s="285"/>
      <c r="N213" s="31"/>
      <c r="O213" s="31"/>
      <c r="P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31"/>
      <c r="AC213" s="31"/>
      <c r="AD213" s="12"/>
    </row>
    <row r="214" spans="1:30" s="11" customFormat="1" ht="20.25" hidden="1" customHeight="1" outlineLevel="1" x14ac:dyDescent="0.35">
      <c r="A214" s="93"/>
      <c r="B214" s="10"/>
      <c r="C214" s="78"/>
      <c r="D214" s="78"/>
      <c r="E214" s="78"/>
      <c r="F214" s="78"/>
      <c r="G214" s="43"/>
      <c r="H214" s="43"/>
      <c r="I214" s="43"/>
      <c r="J214" s="43"/>
      <c r="K214" s="43"/>
      <c r="L214" s="43"/>
      <c r="M214" s="281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12"/>
    </row>
    <row r="215" spans="1:30" ht="15" customHeight="1" x14ac:dyDescent="0.35">
      <c r="F215" s="78"/>
    </row>
    <row r="216" spans="1:30" s="11" customFormat="1" ht="20.25" customHeight="1" collapsed="1" x14ac:dyDescent="0.35">
      <c r="A216" s="93"/>
      <c r="B216" s="10"/>
      <c r="C216" s="78"/>
      <c r="D216" s="78"/>
      <c r="E216" s="78"/>
      <c r="F216" s="78"/>
      <c r="G216" s="308" t="s">
        <v>48</v>
      </c>
      <c r="H216" s="308"/>
      <c r="I216" s="178"/>
      <c r="J216" s="43"/>
      <c r="K216" s="43"/>
      <c r="L216" s="39"/>
      <c r="M216" s="289" t="s">
        <v>111</v>
      </c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12"/>
    </row>
    <row r="217" spans="1:30" hidden="1" outlineLevel="1" x14ac:dyDescent="0.35">
      <c r="F217" s="78"/>
      <c r="G217" s="63"/>
      <c r="H217" s="63"/>
      <c r="I217" s="63"/>
      <c r="J217" s="63"/>
      <c r="K217" s="63"/>
      <c r="L217" s="63"/>
      <c r="M217" s="294"/>
      <c r="N217" s="64"/>
      <c r="O217" s="64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4"/>
      <c r="AC217" s="31"/>
    </row>
    <row r="218" spans="1:30" hidden="1" outlineLevel="1" x14ac:dyDescent="0.35">
      <c r="F218" s="78"/>
      <c r="G218" s="68">
        <v>1</v>
      </c>
      <c r="H218" s="68"/>
      <c r="I218" s="68"/>
      <c r="J218" s="63"/>
      <c r="K218" s="63"/>
      <c r="L218" s="63"/>
      <c r="M218" s="294"/>
      <c r="N218" s="64"/>
      <c r="O218" s="64"/>
      <c r="P218" s="63"/>
      <c r="Q218" s="313" t="s">
        <v>79</v>
      </c>
      <c r="R218" s="313"/>
      <c r="S218" s="313"/>
      <c r="T218" s="313"/>
      <c r="U218" s="313"/>
      <c r="V218" s="313"/>
      <c r="W218" s="255"/>
      <c r="X218" s="222"/>
      <c r="Y218" s="63"/>
      <c r="Z218" s="63"/>
      <c r="AA218" s="63"/>
      <c r="AB218" s="64"/>
      <c r="AC218" s="31"/>
    </row>
    <row r="219" spans="1:30" ht="15" hidden="1" customHeight="1" outlineLevel="1" x14ac:dyDescent="0.35">
      <c r="B219" s="10" t="str">
        <f>IF(OR(COUNTBLANK(Q219:W219)&lt;&gt;0,SUM(Q219:W219)=0), ".", "")</f>
        <v/>
      </c>
      <c r="F219" s="78"/>
      <c r="G219" s="63">
        <v>2</v>
      </c>
      <c r="H219" s="68"/>
      <c r="I219" s="68"/>
      <c r="J219" s="63"/>
      <c r="K219" s="63"/>
      <c r="L219" s="63"/>
      <c r="M219" s="294"/>
      <c r="N219" s="100"/>
      <c r="O219" s="311" t="s">
        <v>29</v>
      </c>
      <c r="P219" s="311" t="s">
        <v>94</v>
      </c>
      <c r="Q219" s="53">
        <f>28 * 8</f>
        <v>224</v>
      </c>
      <c r="R219" s="53">
        <f t="shared" ref="R219:V219" si="15">28 * 8</f>
        <v>224</v>
      </c>
      <c r="S219" s="53">
        <f t="shared" si="15"/>
        <v>224</v>
      </c>
      <c r="T219" s="53">
        <f t="shared" si="15"/>
        <v>224</v>
      </c>
      <c r="U219" s="53">
        <f t="shared" si="15"/>
        <v>224</v>
      </c>
      <c r="V219" s="53">
        <f t="shared" si="15"/>
        <v>224</v>
      </c>
      <c r="W219" s="326" t="str">
        <f>CHOSEN_CURRENCY</f>
        <v>-</v>
      </c>
      <c r="X219" s="311"/>
      <c r="Y219" s="63"/>
      <c r="Z219" s="63"/>
      <c r="AA219" s="63"/>
      <c r="AB219" s="64"/>
      <c r="AC219" s="31"/>
    </row>
    <row r="220" spans="1:30" ht="15" hidden="1" customHeight="1" outlineLevel="1" x14ac:dyDescent="0.35">
      <c r="F220" s="78"/>
      <c r="G220" s="63">
        <v>3</v>
      </c>
      <c r="H220" s="68"/>
      <c r="I220" s="68"/>
      <c r="J220" s="63"/>
      <c r="K220" s="63"/>
      <c r="L220" s="63"/>
      <c r="M220" s="294"/>
      <c r="N220" s="100"/>
      <c r="O220" s="312"/>
      <c r="P220" s="312"/>
      <c r="Q220" s="295" t="s">
        <v>8</v>
      </c>
      <c r="R220" s="295" t="s">
        <v>9</v>
      </c>
      <c r="S220" s="295" t="s">
        <v>10</v>
      </c>
      <c r="T220" s="295" t="s">
        <v>12</v>
      </c>
      <c r="U220" s="295" t="s">
        <v>11</v>
      </c>
      <c r="V220" s="296" t="s">
        <v>13</v>
      </c>
      <c r="W220" s="327"/>
      <c r="X220" s="312"/>
      <c r="Y220" s="63"/>
      <c r="Z220" s="63"/>
      <c r="AA220" s="63"/>
      <c r="AB220" s="64"/>
      <c r="AC220" s="31"/>
    </row>
    <row r="221" spans="1:30" ht="15" hidden="1" customHeight="1" outlineLevel="1" x14ac:dyDescent="0.35">
      <c r="B221" s="10" t="str">
        <f t="shared" ref="B221:B226" si="16">IF(SUM(Q221:V221)&lt;&gt;1,".","")</f>
        <v/>
      </c>
      <c r="F221" s="78"/>
      <c r="G221" s="68">
        <v>4</v>
      </c>
      <c r="H221" s="68"/>
      <c r="I221" s="68"/>
      <c r="J221" s="63"/>
      <c r="K221" s="63"/>
      <c r="L221" s="67" t="s">
        <v>84</v>
      </c>
      <c r="M221" s="285" t="str">
        <f>$L$12</f>
        <v>A</v>
      </c>
      <c r="N221" s="31" t="str">
        <f>$M$12</f>
        <v>Discovery / Requirement Analysis</v>
      </c>
      <c r="O221" s="65">
        <f>S12</f>
        <v>200</v>
      </c>
      <c r="P221" s="104">
        <f>ROUND(REQ_EFFORT/5,0)</f>
        <v>40</v>
      </c>
      <c r="Q221" s="105">
        <v>0.85</v>
      </c>
      <c r="R221" s="269">
        <v>0.1</v>
      </c>
      <c r="S221" s="45"/>
      <c r="T221" s="45"/>
      <c r="U221" s="45"/>
      <c r="V221" s="46">
        <v>0.05</v>
      </c>
      <c r="W221" s="328">
        <f t="shared" ref="W221:W226" si="17">(($O221*Q221)*Q$219)+(($O221*R221)*R$219)+(($O221*S221)*S$219)+(($O221*T221)*T$219)+(($O221*U221)*U$219)+(($O221*V221)*V$219)</f>
        <v>44800</v>
      </c>
      <c r="X221" s="329"/>
      <c r="Y221" s="63"/>
      <c r="Z221" s="63"/>
      <c r="AA221" s="63"/>
      <c r="AB221" s="64"/>
      <c r="AC221" s="31"/>
    </row>
    <row r="222" spans="1:30" hidden="1" outlineLevel="1" x14ac:dyDescent="0.35">
      <c r="B222" s="10" t="str">
        <f t="shared" si="16"/>
        <v/>
      </c>
      <c r="F222" s="78"/>
      <c r="G222" s="63">
        <v>5</v>
      </c>
      <c r="H222" s="68"/>
      <c r="I222" s="68"/>
      <c r="J222" s="63"/>
      <c r="K222" s="63"/>
      <c r="L222" s="67" t="s">
        <v>85</v>
      </c>
      <c r="M222" s="285" t="str">
        <f>$L$59</f>
        <v>B</v>
      </c>
      <c r="N222" s="31" t="str">
        <f>$M$59</f>
        <v>System Design, Framework and Test Cases</v>
      </c>
      <c r="O222" s="65">
        <f>S59</f>
        <v>0</v>
      </c>
      <c r="P222" s="104">
        <f>ROUND(DESIGN_EFFORT/5,0)</f>
        <v>0</v>
      </c>
      <c r="Q222" s="45"/>
      <c r="R222" s="270">
        <v>0.7</v>
      </c>
      <c r="S222" s="44">
        <v>0.2</v>
      </c>
      <c r="T222" s="45"/>
      <c r="U222" s="44">
        <v>0.1</v>
      </c>
      <c r="V222" s="47"/>
      <c r="W222" s="328">
        <f t="shared" si="17"/>
        <v>0</v>
      </c>
      <c r="X222" s="329"/>
      <c r="Y222" s="63"/>
      <c r="Z222" s="63"/>
      <c r="AA222" s="63"/>
      <c r="AB222" s="64"/>
      <c r="AC222" s="31"/>
    </row>
    <row r="223" spans="1:30" hidden="1" outlineLevel="1" x14ac:dyDescent="0.35">
      <c r="B223" s="10" t="str">
        <f t="shared" si="16"/>
        <v/>
      </c>
      <c r="F223" s="78"/>
      <c r="G223" s="63">
        <v>6</v>
      </c>
      <c r="H223" s="68"/>
      <c r="I223" s="68"/>
      <c r="J223" s="63"/>
      <c r="K223" s="63"/>
      <c r="L223" s="67" t="s">
        <v>87</v>
      </c>
      <c r="M223" s="285" t="str">
        <f>$L$89</f>
        <v>C</v>
      </c>
      <c r="N223" s="31" t="str">
        <f>$M$89</f>
        <v>Development and Unit Testing</v>
      </c>
      <c r="O223" s="65">
        <f>S89</f>
        <v>0</v>
      </c>
      <c r="P223" s="104">
        <f>ROUND(DEV_EFFORT/5,0)</f>
        <v>0</v>
      </c>
      <c r="Q223" s="45"/>
      <c r="R223" s="269"/>
      <c r="S223" s="44">
        <v>0.3</v>
      </c>
      <c r="T223" s="105">
        <v>0.7</v>
      </c>
      <c r="U223" s="45"/>
      <c r="V223" s="47"/>
      <c r="W223" s="328">
        <f t="shared" si="17"/>
        <v>0</v>
      </c>
      <c r="X223" s="329"/>
      <c r="Y223" s="63"/>
      <c r="Z223" s="63"/>
      <c r="AA223" s="63"/>
      <c r="AB223" s="64"/>
      <c r="AC223" s="31"/>
    </row>
    <row r="224" spans="1:30" hidden="1" outlineLevel="1" x14ac:dyDescent="0.35">
      <c r="B224" s="10" t="str">
        <f t="shared" si="16"/>
        <v/>
      </c>
      <c r="F224" s="78"/>
      <c r="G224" s="68">
        <v>7</v>
      </c>
      <c r="H224" s="68"/>
      <c r="I224" s="68"/>
      <c r="J224" s="63"/>
      <c r="K224" s="63"/>
      <c r="L224" s="67" t="s">
        <v>11</v>
      </c>
      <c r="M224" s="285" t="str">
        <f>$L$129</f>
        <v>D</v>
      </c>
      <c r="N224" s="31" t="str">
        <f>$M$129</f>
        <v>System Testing and Stabilization</v>
      </c>
      <c r="O224" s="65">
        <f>S129</f>
        <v>1</v>
      </c>
      <c r="P224" s="104">
        <f>ROUND(QA_EFFORT/5,0)</f>
        <v>0</v>
      </c>
      <c r="Q224" s="45"/>
      <c r="R224" s="269"/>
      <c r="S224" s="44">
        <v>0.1</v>
      </c>
      <c r="T224" s="44">
        <v>0.1</v>
      </c>
      <c r="U224" s="105">
        <v>0.8</v>
      </c>
      <c r="V224" s="47"/>
      <c r="W224" s="328">
        <f t="shared" si="17"/>
        <v>224.00000000000003</v>
      </c>
      <c r="X224" s="329"/>
      <c r="Y224" s="63"/>
      <c r="Z224" s="63"/>
      <c r="AA224" s="63"/>
      <c r="AB224" s="64"/>
      <c r="AC224" s="31"/>
    </row>
    <row r="225" spans="2:29" hidden="1" outlineLevel="1" x14ac:dyDescent="0.35">
      <c r="B225" s="10" t="str">
        <f t="shared" si="16"/>
        <v/>
      </c>
      <c r="F225" s="78"/>
      <c r="G225" s="63">
        <v>8</v>
      </c>
      <c r="H225" s="68"/>
      <c r="I225" s="68"/>
      <c r="J225" s="63"/>
      <c r="K225" s="63"/>
      <c r="L225" s="67" t="s">
        <v>86</v>
      </c>
      <c r="M225" s="285" t="str">
        <f>$L$167</f>
        <v>E</v>
      </c>
      <c r="N225" s="31" t="str">
        <f>$M$167</f>
        <v>Deployment, UAT and Documentation</v>
      </c>
      <c r="O225" s="65">
        <f>S167</f>
        <v>45</v>
      </c>
      <c r="P225" s="104">
        <f>ROUND(UAT_EFFORT/5,0)</f>
        <v>9</v>
      </c>
      <c r="Q225" s="45"/>
      <c r="R225" s="269"/>
      <c r="S225" s="44">
        <v>0.4</v>
      </c>
      <c r="T225" s="105">
        <v>0.4</v>
      </c>
      <c r="U225" s="44">
        <v>0.2</v>
      </c>
      <c r="V225" s="47"/>
      <c r="W225" s="328">
        <f t="shared" si="17"/>
        <v>10080</v>
      </c>
      <c r="X225" s="329"/>
      <c r="Y225" s="63"/>
      <c r="Z225" s="63"/>
      <c r="AA225" s="63"/>
      <c r="AB225" s="64"/>
      <c r="AC225" s="31"/>
    </row>
    <row r="226" spans="2:29" hidden="1" outlineLevel="1" x14ac:dyDescent="0.35">
      <c r="B226" s="10" t="str">
        <f t="shared" si="16"/>
        <v/>
      </c>
      <c r="F226" s="78"/>
      <c r="G226" s="63">
        <v>9</v>
      </c>
      <c r="H226" s="68"/>
      <c r="I226" s="68"/>
      <c r="J226" s="63"/>
      <c r="K226" s="63"/>
      <c r="L226" s="67" t="s">
        <v>76</v>
      </c>
      <c r="M226" s="285" t="str">
        <f>$L$190</f>
        <v>F</v>
      </c>
      <c r="N226" s="31" t="str">
        <f>$M$190</f>
        <v>Others</v>
      </c>
      <c r="O226" s="65">
        <f>S190</f>
        <v>25</v>
      </c>
      <c r="P226" s="104">
        <f>ROUND(OTHER_EFFORT/5,0)</f>
        <v>5</v>
      </c>
      <c r="Q226" s="45"/>
      <c r="R226" s="269">
        <v>0.2</v>
      </c>
      <c r="S226" s="105">
        <v>0.8</v>
      </c>
      <c r="T226" s="45"/>
      <c r="U226" s="45"/>
      <c r="V226" s="47"/>
      <c r="W226" s="330">
        <f t="shared" si="17"/>
        <v>5600</v>
      </c>
      <c r="X226" s="331"/>
      <c r="Y226" s="63"/>
      <c r="Z226" s="63"/>
      <c r="AA226" s="63"/>
      <c r="AB226" s="64"/>
      <c r="AC226" s="31"/>
    </row>
    <row r="227" spans="2:29" ht="21" hidden="1" outlineLevel="1" x14ac:dyDescent="0.35">
      <c r="F227" s="78"/>
      <c r="G227" s="68">
        <v>10</v>
      </c>
      <c r="H227" s="68"/>
      <c r="I227" s="68"/>
      <c r="J227" s="63"/>
      <c r="K227" s="63"/>
      <c r="L227" s="63"/>
      <c r="M227" s="294"/>
      <c r="N227" s="100"/>
      <c r="O227" s="261">
        <f>SUM(O221:O226)</f>
        <v>271</v>
      </c>
      <c r="P227" s="262">
        <f>SUM(P221:P226)</f>
        <v>54</v>
      </c>
      <c r="Q227" s="333" t="s">
        <v>116</v>
      </c>
      <c r="R227" s="333"/>
      <c r="S227" s="333"/>
      <c r="T227" s="333"/>
      <c r="U227" s="333"/>
      <c r="V227" s="333"/>
      <c r="W227" s="332">
        <f>SUM(W221:W226)</f>
        <v>60704</v>
      </c>
      <c r="X227" s="332"/>
      <c r="Y227" s="63"/>
      <c r="Z227" s="63"/>
      <c r="AA227" s="63"/>
      <c r="AB227" s="64"/>
      <c r="AC227" s="31"/>
    </row>
    <row r="228" spans="2:29" hidden="1" outlineLevel="1" x14ac:dyDescent="0.35">
      <c r="F228" s="78"/>
      <c r="G228" s="63"/>
      <c r="H228" s="63"/>
      <c r="I228" s="63"/>
      <c r="J228" s="63"/>
      <c r="K228" s="63"/>
      <c r="L228" s="63"/>
      <c r="M228" s="294"/>
      <c r="N228" s="64"/>
      <c r="O228" s="64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4"/>
      <c r="AC228" s="31"/>
    </row>
    <row r="229" spans="2:29" ht="15" hidden="1" customHeight="1" outlineLevel="1" x14ac:dyDescent="0.35">
      <c r="F229" s="78"/>
      <c r="G229" s="63"/>
      <c r="H229" s="63"/>
      <c r="I229" s="63"/>
      <c r="J229" s="63"/>
      <c r="K229" s="63"/>
      <c r="L229" s="63"/>
      <c r="M229" s="294"/>
      <c r="N229" s="64"/>
      <c r="O229" s="64"/>
      <c r="P229" s="63"/>
      <c r="Q229" s="310" t="s">
        <v>114</v>
      </c>
      <c r="R229" s="310"/>
      <c r="S229" s="310"/>
      <c r="T229" s="310"/>
      <c r="U229" s="310"/>
      <c r="V229" s="310"/>
      <c r="W229" s="334" t="s">
        <v>456</v>
      </c>
      <c r="X229" s="334"/>
      <c r="Y229" s="222"/>
      <c r="Z229" s="222"/>
      <c r="AA229" s="222"/>
      <c r="AB229" s="64"/>
      <c r="AC229" s="31"/>
    </row>
    <row r="230" spans="2:29" ht="15" hidden="1" customHeight="1" outlineLevel="1" x14ac:dyDescent="0.35">
      <c r="F230" s="78"/>
      <c r="G230" s="63"/>
      <c r="H230" s="63"/>
      <c r="I230" s="63"/>
      <c r="J230" s="63"/>
      <c r="K230" s="63"/>
      <c r="L230" s="63"/>
      <c r="M230" s="285"/>
      <c r="N230" s="31"/>
      <c r="O230" s="107" t="s">
        <v>112</v>
      </c>
      <c r="P230" s="108" t="s">
        <v>113</v>
      </c>
      <c r="Q230" s="295" t="s">
        <v>8</v>
      </c>
      <c r="R230" s="295" t="s">
        <v>9</v>
      </c>
      <c r="S230" s="295" t="s">
        <v>10</v>
      </c>
      <c r="T230" s="295" t="s">
        <v>12</v>
      </c>
      <c r="U230" s="295" t="s">
        <v>11</v>
      </c>
      <c r="V230" s="296" t="s">
        <v>13</v>
      </c>
      <c r="W230" s="334"/>
      <c r="X230" s="334"/>
      <c r="Y230" s="63"/>
      <c r="Z230" s="102"/>
      <c r="AA230" s="102"/>
      <c r="AB230" s="102"/>
      <c r="AC230" s="102"/>
    </row>
    <row r="231" spans="2:29" ht="15" hidden="1" customHeight="1" outlineLevel="1" x14ac:dyDescent="0.35">
      <c r="F231" s="78"/>
      <c r="G231" s="63"/>
      <c r="H231" s="63"/>
      <c r="I231" s="63"/>
      <c r="J231" s="63"/>
      <c r="K231" s="63"/>
      <c r="L231" s="63"/>
      <c r="M231" s="285" t="str">
        <f>$L$12</f>
        <v>A</v>
      </c>
      <c r="N231" s="31" t="str">
        <f>$M$12</f>
        <v>Discovery / Requirement Analysis</v>
      </c>
      <c r="O231" s="112">
        <v>42583</v>
      </c>
      <c r="P231" s="109">
        <f>O231+(((P221*REQ_BA_PERCENT)/REQ_BA_COUNT)*7)</f>
        <v>42702</v>
      </c>
      <c r="Q231" s="106">
        <v>2</v>
      </c>
      <c r="R231" s="223">
        <v>1</v>
      </c>
      <c r="S231" s="101"/>
      <c r="T231" s="101"/>
      <c r="U231" s="101"/>
      <c r="V231" s="54">
        <v>1</v>
      </c>
      <c r="W231" s="259">
        <v>0.75</v>
      </c>
      <c r="X231" s="63"/>
      <c r="Y231" s="324" t="s">
        <v>194</v>
      </c>
      <c r="Z231" s="324"/>
      <c r="AA231" s="324"/>
      <c r="AB231" s="64"/>
      <c r="AC231" s="103"/>
    </row>
    <row r="232" spans="2:29" hidden="1" outlineLevel="1" x14ac:dyDescent="0.35">
      <c r="F232" s="78"/>
      <c r="G232" s="63"/>
      <c r="H232" s="63"/>
      <c r="I232" s="63"/>
      <c r="J232" s="63"/>
      <c r="K232" s="63"/>
      <c r="L232" s="63"/>
      <c r="M232" s="285" t="str">
        <f>$L$59</f>
        <v>B</v>
      </c>
      <c r="N232" s="31" t="str">
        <f>$M$59</f>
        <v>System Design, Framework and Test Cases</v>
      </c>
      <c r="O232" s="110">
        <f>O231+((P231-O231)*W231)+1</f>
        <v>42673.25</v>
      </c>
      <c r="P232" s="109">
        <f>O232+(((P222*DESIGN_TA_PERCENT)/DESIGN_TA_COUNT)*7)</f>
        <v>42673.25</v>
      </c>
      <c r="Q232" s="101">
        <v>1</v>
      </c>
      <c r="R232" s="224">
        <v>3</v>
      </c>
      <c r="S232" s="101">
        <v>1</v>
      </c>
      <c r="T232" s="101"/>
      <c r="U232" s="101">
        <v>1</v>
      </c>
      <c r="V232" s="54"/>
      <c r="W232" s="260">
        <v>0.75</v>
      </c>
      <c r="X232" s="63"/>
      <c r="Y232" s="324"/>
      <c r="Z232" s="324"/>
      <c r="AA232" s="324"/>
      <c r="AB232" s="64"/>
      <c r="AC232" s="31"/>
    </row>
    <row r="233" spans="2:29" hidden="1" outlineLevel="1" x14ac:dyDescent="0.35">
      <c r="F233" s="78"/>
      <c r="G233" s="63"/>
      <c r="H233" s="63"/>
      <c r="I233" s="63"/>
      <c r="J233" s="63"/>
      <c r="K233" s="63"/>
      <c r="L233" s="63"/>
      <c r="M233" s="285" t="str">
        <f>$L$89</f>
        <v>C</v>
      </c>
      <c r="N233" s="31" t="str">
        <f>$M$89</f>
        <v>Development and Unit Testing</v>
      </c>
      <c r="O233" s="110">
        <f>O232+((P232-O232)*W232)+1</f>
        <v>42674.25</v>
      </c>
      <c r="P233" s="109">
        <f>O233+(((P223*DEV_DEV_PERCENT)/DEV_DEV_COUNT)*7)</f>
        <v>42674.25</v>
      </c>
      <c r="Q233" s="101"/>
      <c r="R233" s="223"/>
      <c r="S233" s="101">
        <v>1</v>
      </c>
      <c r="T233" s="106">
        <v>2</v>
      </c>
      <c r="U233" s="101"/>
      <c r="V233" s="54"/>
      <c r="W233" s="259">
        <v>0.75</v>
      </c>
      <c r="X233" s="63"/>
      <c r="Y233" s="324"/>
      <c r="Z233" s="324"/>
      <c r="AA233" s="324"/>
      <c r="AB233" s="64"/>
      <c r="AC233" s="31"/>
    </row>
    <row r="234" spans="2:29" hidden="1" outlineLevel="1" x14ac:dyDescent="0.35">
      <c r="F234" s="78"/>
      <c r="G234" s="63"/>
      <c r="H234" s="63"/>
      <c r="I234" s="63"/>
      <c r="J234" s="63"/>
      <c r="K234" s="63"/>
      <c r="L234" s="63"/>
      <c r="M234" s="285" t="str">
        <f>$L$129</f>
        <v>D</v>
      </c>
      <c r="N234" s="31" t="str">
        <f>$M$129</f>
        <v>System Testing and Stabilization</v>
      </c>
      <c r="O234" s="110">
        <f>O233+((P233-O233)*W233)+1</f>
        <v>42675.25</v>
      </c>
      <c r="P234" s="109">
        <f>O234+(((P224*TESTING_QA_PERCENT)/TESTING_QA_COUNT)*7)</f>
        <v>42675.25</v>
      </c>
      <c r="Q234" s="101"/>
      <c r="R234" s="223"/>
      <c r="S234" s="101">
        <v>1</v>
      </c>
      <c r="T234" s="101">
        <v>2</v>
      </c>
      <c r="U234" s="106">
        <v>1</v>
      </c>
      <c r="V234" s="256"/>
      <c r="W234" s="259">
        <v>1</v>
      </c>
      <c r="X234" s="63"/>
      <c r="Y234" s="324"/>
      <c r="Z234" s="324"/>
      <c r="AA234" s="324"/>
      <c r="AB234" s="64"/>
      <c r="AC234" s="31"/>
    </row>
    <row r="235" spans="2:29" hidden="1" outlineLevel="1" x14ac:dyDescent="0.35">
      <c r="F235" s="78"/>
      <c r="G235" s="63"/>
      <c r="H235" s="63"/>
      <c r="I235" s="63"/>
      <c r="J235" s="63"/>
      <c r="K235" s="63"/>
      <c r="L235" s="63"/>
      <c r="M235" s="285" t="str">
        <f>$L$167</f>
        <v>E</v>
      </c>
      <c r="N235" s="31" t="str">
        <f>$M$167</f>
        <v>Deployment, UAT and Documentation</v>
      </c>
      <c r="O235" s="110">
        <f>O234+((P234-O234)*W234)+1</f>
        <v>42676.25</v>
      </c>
      <c r="P235" s="109">
        <f>O235+(((P225*UAT_DEV_PERCENT)/UAT_DEV_COUNT)*7)</f>
        <v>42688.85</v>
      </c>
      <c r="Q235" s="101"/>
      <c r="R235" s="223"/>
      <c r="S235" s="101">
        <v>1</v>
      </c>
      <c r="T235" s="106">
        <v>2</v>
      </c>
      <c r="U235" s="101">
        <v>1</v>
      </c>
      <c r="V235" s="54"/>
      <c r="W235" s="259">
        <v>1</v>
      </c>
      <c r="X235" s="63"/>
      <c r="Y235" s="324"/>
      <c r="Z235" s="324"/>
      <c r="AA235" s="324"/>
      <c r="AB235" s="64"/>
      <c r="AC235" s="31"/>
    </row>
    <row r="236" spans="2:29" hidden="1" outlineLevel="1" x14ac:dyDescent="0.35">
      <c r="F236" s="78"/>
      <c r="G236" s="63"/>
      <c r="H236" s="63"/>
      <c r="I236" s="63"/>
      <c r="J236" s="63"/>
      <c r="K236" s="63"/>
      <c r="L236" s="63"/>
      <c r="M236" s="285" t="str">
        <f>$L$190</f>
        <v>F</v>
      </c>
      <c r="N236" s="31" t="str">
        <f>$M$190</f>
        <v>Others</v>
      </c>
      <c r="O236" s="111">
        <f>O235+((P235-O235)*W235)+1</f>
        <v>42689.85</v>
      </c>
      <c r="P236" s="118">
        <f>O236+(((P226*OTHER_TL_PERCENT)/OTHER_TL_COUNT)*7)</f>
        <v>42717.85</v>
      </c>
      <c r="Q236" s="119"/>
      <c r="R236" s="225">
        <v>0.5</v>
      </c>
      <c r="S236" s="120">
        <v>1</v>
      </c>
      <c r="T236" s="119"/>
      <c r="U236" s="119"/>
      <c r="V236" s="121"/>
      <c r="W236" s="257"/>
      <c r="X236" s="63"/>
      <c r="Y236" s="63"/>
      <c r="Z236" s="63"/>
      <c r="AA236" s="63"/>
      <c r="AB236" s="64"/>
      <c r="AC236" s="31"/>
    </row>
    <row r="237" spans="2:29" ht="15.5" hidden="1" outlineLevel="1" x14ac:dyDescent="0.35">
      <c r="F237" s="78"/>
      <c r="G237" s="63">
        <v>1</v>
      </c>
      <c r="H237" s="63"/>
      <c r="I237" s="63"/>
      <c r="J237" s="63"/>
      <c r="K237" s="63"/>
      <c r="L237" s="28"/>
      <c r="M237" s="285"/>
      <c r="N237" s="28"/>
      <c r="O237" s="115" t="s">
        <v>118</v>
      </c>
      <c r="P237" s="124">
        <f>NETWORKDAYS(START_DATE,AUTOMATED_END_DATE)/5</f>
        <v>19.399999999999999</v>
      </c>
      <c r="Q237" s="123" t="s">
        <v>94</v>
      </c>
      <c r="R237" s="122"/>
      <c r="S237" s="117" t="s">
        <v>117</v>
      </c>
      <c r="T237" s="303">
        <f>AUTOMATED_END_DATE</f>
        <v>42717.85</v>
      </c>
      <c r="U237" s="303"/>
      <c r="V237" s="258"/>
      <c r="W237" s="258"/>
      <c r="X237" s="258"/>
      <c r="Y237" s="28"/>
      <c r="Z237" s="28"/>
      <c r="AA237" s="28"/>
      <c r="AB237" s="31"/>
      <c r="AC237" s="31"/>
    </row>
    <row r="238" spans="2:29" ht="15.5" hidden="1" outlineLevel="1" x14ac:dyDescent="0.35">
      <c r="F238" s="78"/>
      <c r="G238" s="63">
        <v>2</v>
      </c>
      <c r="H238" s="63"/>
      <c r="I238" s="63"/>
      <c r="J238" s="63"/>
      <c r="K238" s="63"/>
      <c r="L238" s="28"/>
      <c r="M238" s="285"/>
      <c r="N238" s="28"/>
      <c r="O238" s="115" t="s">
        <v>119</v>
      </c>
      <c r="P238" s="124">
        <f>NETWORKDAYS(START_DATE,MANUAL_END_DATE)/5</f>
        <v>-143</v>
      </c>
      <c r="Q238" s="123" t="s">
        <v>94</v>
      </c>
      <c r="R238" s="116"/>
      <c r="S238" s="117" t="s">
        <v>117</v>
      </c>
      <c r="T238" s="303">
        <f>MANUAL_END_DATE</f>
        <v>41583</v>
      </c>
      <c r="U238" s="303"/>
      <c r="V238" s="258"/>
      <c r="W238" s="258"/>
      <c r="X238" s="258"/>
      <c r="Y238" s="28"/>
      <c r="Z238" s="28"/>
      <c r="AA238" s="28"/>
      <c r="AB238" s="31"/>
      <c r="AC238" s="31"/>
    </row>
    <row r="239" spans="2:29" ht="15" hidden="1" customHeight="1" outlineLevel="1" x14ac:dyDescent="0.35">
      <c r="F239" s="78"/>
      <c r="G239" s="63"/>
      <c r="H239" s="63"/>
      <c r="I239" s="63"/>
      <c r="J239" s="63"/>
      <c r="K239" s="63"/>
      <c r="L239" s="28"/>
      <c r="M239" s="285"/>
      <c r="N239" s="28"/>
      <c r="O239" s="113"/>
      <c r="P239" s="66"/>
      <c r="Q239" s="114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31"/>
      <c r="AC239" s="31"/>
    </row>
    <row r="240" spans="2:29" hidden="1" outlineLevel="1" x14ac:dyDescent="0.35">
      <c r="F240" s="78"/>
      <c r="G240" s="63">
        <v>3</v>
      </c>
      <c r="H240" s="63"/>
      <c r="I240" s="63"/>
      <c r="J240" s="63"/>
      <c r="K240" s="63"/>
      <c r="L240" s="28"/>
      <c r="M240" s="285"/>
      <c r="N240" s="31"/>
      <c r="O240" s="31"/>
      <c r="P240" s="28"/>
      <c r="Q240" s="28"/>
      <c r="R240" s="28"/>
      <c r="S240" s="75" t="s">
        <v>115</v>
      </c>
      <c r="T240" s="76" t="s">
        <v>92</v>
      </c>
      <c r="U240" s="28"/>
      <c r="V240" s="28"/>
      <c r="W240" s="28"/>
      <c r="X240" s="28"/>
      <c r="Y240" s="28"/>
      <c r="Z240" s="28"/>
      <c r="AA240" s="28"/>
      <c r="AB240" s="31"/>
      <c r="AC240" s="31"/>
    </row>
    <row r="241" spans="1:30" hidden="1" outlineLevel="1" x14ac:dyDescent="0.35">
      <c r="F241" s="78"/>
      <c r="G241" s="63"/>
      <c r="H241" s="63"/>
      <c r="I241" s="63"/>
      <c r="J241" s="63"/>
      <c r="K241" s="63"/>
      <c r="L241" s="28"/>
      <c r="M241" s="285"/>
      <c r="N241" s="31"/>
      <c r="O241" s="31"/>
      <c r="P241" s="28"/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8"/>
      <c r="AB241" s="31"/>
      <c r="AC241" s="31"/>
    </row>
    <row r="242" spans="1:30" s="11" customFormat="1" ht="20.25" hidden="1" customHeight="1" outlineLevel="1" x14ac:dyDescent="0.35">
      <c r="A242" s="93"/>
      <c r="B242" s="10"/>
      <c r="C242" s="78"/>
      <c r="D242" s="78"/>
      <c r="E242" s="78"/>
      <c r="F242" s="78"/>
      <c r="G242" s="43"/>
      <c r="H242" s="43"/>
      <c r="I242" s="43"/>
      <c r="J242" s="43"/>
      <c r="K242" s="43"/>
      <c r="L242" s="43"/>
      <c r="M242" s="281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12"/>
    </row>
    <row r="243" spans="1:30" s="11" customFormat="1" x14ac:dyDescent="0.35">
      <c r="A243" s="93"/>
      <c r="B243" s="10"/>
      <c r="C243" s="80"/>
      <c r="D243" s="80"/>
      <c r="E243" s="80"/>
      <c r="F243" s="78"/>
      <c r="M243" s="275"/>
      <c r="N243" s="12"/>
      <c r="O243" s="12"/>
      <c r="AB243" s="12"/>
      <c r="AC243" s="12"/>
      <c r="AD243" s="12"/>
    </row>
    <row r="244" spans="1:30" s="11" customFormat="1" ht="20.25" customHeight="1" collapsed="1" x14ac:dyDescent="0.35">
      <c r="A244" s="93"/>
      <c r="B244" s="10"/>
      <c r="C244" s="78"/>
      <c r="D244" s="78"/>
      <c r="E244" s="78"/>
      <c r="F244" s="78"/>
      <c r="G244" s="308" t="s">
        <v>48</v>
      </c>
      <c r="H244" s="308"/>
      <c r="I244" s="178"/>
      <c r="J244" s="43"/>
      <c r="K244" s="43"/>
      <c r="L244" s="39"/>
      <c r="M244" s="289" t="s">
        <v>185</v>
      </c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219" t="str">
        <f>TEMPLATE_NAME&amp;" "&amp;TEMPLATE_VER</f>
        <v>AG Estimation Template -  Version 2.0.4</v>
      </c>
      <c r="AC244" s="39"/>
      <c r="AD244" s="12"/>
    </row>
    <row r="245" spans="1:30" s="11" customFormat="1" hidden="1" outlineLevel="1" x14ac:dyDescent="0.35">
      <c r="A245" s="93"/>
      <c r="B245" s="10"/>
      <c r="C245" s="80"/>
      <c r="D245" s="80"/>
      <c r="E245" s="80"/>
      <c r="F245" s="78"/>
      <c r="G245" s="28"/>
      <c r="H245" s="28"/>
      <c r="I245" s="28"/>
      <c r="J245" s="28"/>
      <c r="K245" s="28"/>
      <c r="L245" s="28"/>
      <c r="M245" s="285"/>
      <c r="N245" s="31"/>
      <c r="O245" s="31"/>
      <c r="P245" s="28"/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8"/>
      <c r="AB245" s="31"/>
      <c r="AC245" s="31"/>
      <c r="AD245" s="12"/>
    </row>
    <row r="246" spans="1:30" s="11" customFormat="1" ht="15" hidden="1" customHeight="1" outlineLevel="1" x14ac:dyDescent="0.35">
      <c r="A246" s="93"/>
      <c r="B246" s="10"/>
      <c r="C246" s="80"/>
      <c r="D246" s="80"/>
      <c r="E246" s="80"/>
      <c r="F246" s="78"/>
      <c r="G246" s="28"/>
      <c r="H246" s="28"/>
      <c r="I246" s="28"/>
      <c r="J246" s="28"/>
      <c r="K246" s="28"/>
      <c r="L246" s="28"/>
      <c r="M246" s="285"/>
      <c r="N246" s="142" t="s">
        <v>130</v>
      </c>
      <c r="O246" s="31"/>
      <c r="P246" s="28"/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8"/>
      <c r="AB246" s="31"/>
      <c r="AC246" s="31"/>
      <c r="AD246" s="12"/>
    </row>
    <row r="247" spans="1:30" s="11" customFormat="1" ht="14.25" hidden="1" customHeight="1" outlineLevel="1" x14ac:dyDescent="0.35">
      <c r="A247" s="93"/>
      <c r="B247" s="10"/>
      <c r="C247" s="78"/>
      <c r="D247" s="78"/>
      <c r="E247" s="78"/>
      <c r="F247" s="78"/>
      <c r="G247" s="28"/>
      <c r="H247" s="28"/>
      <c r="I247" s="28"/>
      <c r="J247" s="28"/>
      <c r="K247" s="28"/>
      <c r="L247" s="28"/>
      <c r="M247" s="285"/>
      <c r="N247" s="157" t="s">
        <v>5</v>
      </c>
      <c r="O247" s="155" t="s">
        <v>5</v>
      </c>
      <c r="P247" s="187"/>
      <c r="Q247" s="187"/>
      <c r="R247" s="188"/>
      <c r="S247" s="189"/>
      <c r="T247" s="187"/>
      <c r="U247" s="187"/>
      <c r="V247" s="187"/>
      <c r="W247" s="187"/>
      <c r="X247" s="28"/>
      <c r="Y247" s="28"/>
      <c r="Z247" s="28"/>
      <c r="AA247" s="28"/>
      <c r="AB247" s="28"/>
      <c r="AC247" s="31"/>
      <c r="AD247" s="12"/>
    </row>
    <row r="248" spans="1:30" s="11" customFormat="1" ht="14.25" hidden="1" customHeight="1" outlineLevel="1" x14ac:dyDescent="0.35">
      <c r="A248" s="93"/>
      <c r="B248" s="10"/>
      <c r="C248" s="78"/>
      <c r="D248" s="78"/>
      <c r="E248" s="78"/>
      <c r="F248" s="78"/>
      <c r="G248" s="28"/>
      <c r="H248" s="28"/>
      <c r="I248" s="28"/>
      <c r="J248" s="28"/>
      <c r="K248" s="28"/>
      <c r="L248" s="28"/>
      <c r="M248" s="285"/>
      <c r="N248" s="157" t="s">
        <v>30</v>
      </c>
      <c r="O248" s="156" t="s">
        <v>30</v>
      </c>
      <c r="P248" s="187"/>
      <c r="Q248" s="187"/>
      <c r="R248" s="189"/>
      <c r="S248" s="189"/>
      <c r="T248" s="187"/>
      <c r="U248" s="187"/>
      <c r="V248" s="187"/>
      <c r="W248" s="187"/>
      <c r="X248" s="28"/>
      <c r="Y248" s="28"/>
      <c r="Z248" s="28"/>
      <c r="AA248" s="28"/>
      <c r="AB248" s="28"/>
      <c r="AC248" s="31"/>
      <c r="AD248" s="12"/>
    </row>
    <row r="249" spans="1:30" s="11" customFormat="1" ht="14.25" hidden="1" customHeight="1" outlineLevel="1" x14ac:dyDescent="0.35">
      <c r="A249" s="93"/>
      <c r="B249" s="10"/>
      <c r="C249" s="78"/>
      <c r="D249" s="78"/>
      <c r="E249" s="78"/>
      <c r="F249" s="78"/>
      <c r="G249" s="28"/>
      <c r="H249" s="28"/>
      <c r="I249" s="28"/>
      <c r="J249" s="28"/>
      <c r="K249" s="28"/>
      <c r="L249" s="28"/>
      <c r="M249" s="285"/>
      <c r="N249" s="157" t="s">
        <v>36</v>
      </c>
      <c r="O249" s="156" t="s">
        <v>23</v>
      </c>
      <c r="P249" s="187"/>
      <c r="Q249" s="187"/>
      <c r="R249" s="189"/>
      <c r="S249" s="140"/>
      <c r="T249" s="140"/>
      <c r="U249" s="140"/>
      <c r="V249" s="187"/>
      <c r="W249" s="187"/>
      <c r="X249" s="28"/>
      <c r="Y249" s="28"/>
      <c r="Z249" s="28"/>
      <c r="AA249" s="28"/>
      <c r="AB249" s="28"/>
      <c r="AC249" s="31"/>
      <c r="AD249" s="12"/>
    </row>
    <row r="250" spans="1:30" s="11" customFormat="1" ht="14.25" hidden="1" customHeight="1" outlineLevel="1" x14ac:dyDescent="0.35">
      <c r="A250" s="93"/>
      <c r="B250" s="10"/>
      <c r="C250" s="78"/>
      <c r="D250" s="78"/>
      <c r="E250" s="78"/>
      <c r="F250" s="78"/>
      <c r="G250" s="28"/>
      <c r="H250" s="28"/>
      <c r="I250" s="28"/>
      <c r="J250" s="28"/>
      <c r="K250" s="28"/>
      <c r="L250" s="28"/>
      <c r="M250" s="285"/>
      <c r="N250" s="157" t="s">
        <v>31</v>
      </c>
      <c r="O250" s="156" t="s">
        <v>23</v>
      </c>
      <c r="P250" s="187"/>
      <c r="Q250" s="187"/>
      <c r="R250" s="189"/>
      <c r="S250" s="140"/>
      <c r="T250" s="140"/>
      <c r="U250" s="140"/>
      <c r="V250" s="187"/>
      <c r="W250" s="187"/>
      <c r="X250" s="28"/>
      <c r="Y250" s="28"/>
      <c r="Z250" s="28"/>
      <c r="AA250" s="28"/>
      <c r="AB250" s="28"/>
      <c r="AC250" s="31"/>
      <c r="AD250" s="12"/>
    </row>
    <row r="251" spans="1:30" s="11" customFormat="1" ht="14.25" hidden="1" customHeight="1" outlineLevel="1" x14ac:dyDescent="0.35">
      <c r="A251" s="93"/>
      <c r="B251" s="10"/>
      <c r="C251" s="78"/>
      <c r="D251" s="78"/>
      <c r="E251" s="78"/>
      <c r="F251" s="78"/>
      <c r="G251" s="28"/>
      <c r="H251" s="28"/>
      <c r="I251" s="28"/>
      <c r="J251" s="28"/>
      <c r="K251" s="28"/>
      <c r="L251" s="28"/>
      <c r="M251" s="285"/>
      <c r="N251" s="157" t="s">
        <v>56</v>
      </c>
      <c r="O251" s="156" t="s">
        <v>56</v>
      </c>
      <c r="P251" s="187"/>
      <c r="Q251" s="187"/>
      <c r="R251" s="189"/>
      <c r="S251" s="140"/>
      <c r="T251" s="140"/>
      <c r="U251" s="140"/>
      <c r="V251" s="187"/>
      <c r="W251" s="187"/>
      <c r="X251" s="28"/>
      <c r="Y251" s="28"/>
      <c r="Z251" s="28"/>
      <c r="AA251" s="28"/>
      <c r="AB251" s="28"/>
      <c r="AC251" s="31"/>
      <c r="AD251" s="12"/>
    </row>
    <row r="252" spans="1:30" s="11" customFormat="1" ht="14.25" hidden="1" customHeight="1" outlineLevel="1" x14ac:dyDescent="0.35">
      <c r="A252" s="93"/>
      <c r="B252" s="10"/>
      <c r="C252" s="78"/>
      <c r="D252" s="78"/>
      <c r="E252" s="78"/>
      <c r="F252" s="78"/>
      <c r="G252" s="28"/>
      <c r="H252" s="28"/>
      <c r="I252" s="28"/>
      <c r="J252" s="28"/>
      <c r="K252" s="28"/>
      <c r="L252" s="28"/>
      <c r="M252" s="285"/>
      <c r="N252" s="157" t="s">
        <v>67</v>
      </c>
      <c r="O252" s="156" t="s">
        <v>23</v>
      </c>
      <c r="P252" s="187"/>
      <c r="Q252" s="187"/>
      <c r="R252" s="155"/>
      <c r="S252" s="140"/>
      <c r="T252" s="140"/>
      <c r="U252" s="140"/>
      <c r="V252" s="187"/>
      <c r="W252" s="187"/>
      <c r="X252" s="28"/>
      <c r="Y252" s="28"/>
      <c r="Z252" s="28"/>
      <c r="AA252" s="28"/>
      <c r="AB252" s="28"/>
      <c r="AC252" s="31"/>
      <c r="AD252" s="12"/>
    </row>
    <row r="253" spans="1:30" s="11" customFormat="1" ht="14.25" hidden="1" customHeight="1" outlineLevel="1" x14ac:dyDescent="0.35">
      <c r="A253" s="93"/>
      <c r="B253" s="10"/>
      <c r="C253" s="78"/>
      <c r="D253" s="78"/>
      <c r="E253" s="78"/>
      <c r="F253" s="78"/>
      <c r="G253" s="28"/>
      <c r="H253" s="28"/>
      <c r="I253" s="28"/>
      <c r="J253" s="28"/>
      <c r="K253" s="28"/>
      <c r="L253" s="28"/>
      <c r="M253" s="285"/>
      <c r="N253" s="157" t="s">
        <v>4</v>
      </c>
      <c r="O253" s="155" t="s">
        <v>23</v>
      </c>
      <c r="P253" s="187"/>
      <c r="Q253" s="187"/>
      <c r="R253" s="187"/>
      <c r="S253" s="140"/>
      <c r="T253" s="140"/>
      <c r="U253" s="140"/>
      <c r="V253" s="187"/>
      <c r="W253" s="187"/>
      <c r="X253" s="28"/>
      <c r="Y253" s="28"/>
      <c r="Z253" s="28"/>
      <c r="AA253" s="28"/>
      <c r="AB253" s="28"/>
      <c r="AC253" s="31"/>
      <c r="AD253" s="12"/>
    </row>
    <row r="254" spans="1:30" s="11" customFormat="1" ht="14.25" hidden="1" customHeight="1" outlineLevel="1" x14ac:dyDescent="0.35">
      <c r="A254" s="93"/>
      <c r="B254" s="10"/>
      <c r="C254" s="78"/>
      <c r="D254" s="78"/>
      <c r="E254" s="78"/>
      <c r="F254" s="78"/>
      <c r="G254" s="28"/>
      <c r="H254" s="28"/>
      <c r="I254" s="28"/>
      <c r="J254" s="28"/>
      <c r="K254" s="28"/>
      <c r="L254" s="28"/>
      <c r="M254" s="285"/>
      <c r="N254" s="157" t="s">
        <v>26</v>
      </c>
      <c r="O254" s="155" t="s">
        <v>23</v>
      </c>
      <c r="P254" s="187"/>
      <c r="Q254" s="187"/>
      <c r="R254" s="187"/>
      <c r="S254" s="140"/>
      <c r="T254" s="140"/>
      <c r="U254" s="140"/>
      <c r="V254" s="187"/>
      <c r="W254" s="187"/>
      <c r="X254" s="28"/>
      <c r="Y254" s="28"/>
      <c r="Z254" s="28"/>
      <c r="AA254" s="28"/>
      <c r="AB254" s="28"/>
      <c r="AC254" s="31"/>
      <c r="AD254" s="12"/>
    </row>
    <row r="255" spans="1:30" s="11" customFormat="1" ht="14.25" hidden="1" customHeight="1" outlineLevel="1" x14ac:dyDescent="0.35">
      <c r="A255" s="93"/>
      <c r="B255" s="10"/>
      <c r="C255" s="78"/>
      <c r="D255" s="78"/>
      <c r="E255" s="78"/>
      <c r="F255" s="78"/>
      <c r="G255" s="28"/>
      <c r="H255" s="28"/>
      <c r="I255" s="28"/>
      <c r="J255" s="28"/>
      <c r="K255" s="28"/>
      <c r="L255" s="28"/>
      <c r="M255" s="285"/>
      <c r="N255" s="157"/>
      <c r="O255" s="28"/>
      <c r="P255" s="28"/>
      <c r="Q255" s="28"/>
      <c r="R255" s="28"/>
      <c r="S255" s="139"/>
      <c r="T255" s="139"/>
      <c r="U255" s="139"/>
      <c r="V255" s="139"/>
      <c r="W255" s="139"/>
      <c r="X255" s="28"/>
      <c r="Y255" s="28"/>
      <c r="Z255" s="28"/>
      <c r="AA255" s="28"/>
      <c r="AB255" s="139"/>
      <c r="AC255" s="31"/>
      <c r="AD255" s="12"/>
    </row>
    <row r="256" spans="1:30" s="11" customFormat="1" ht="15" hidden="1" customHeight="1" outlineLevel="1" x14ac:dyDescent="0.35">
      <c r="A256" s="93"/>
      <c r="B256" s="10"/>
      <c r="C256" s="80"/>
      <c r="D256" s="80"/>
      <c r="E256" s="80"/>
      <c r="F256" s="78"/>
      <c r="G256" s="28"/>
      <c r="H256" s="28"/>
      <c r="I256" s="28"/>
      <c r="J256" s="28"/>
      <c r="K256" s="28"/>
      <c r="L256" s="28"/>
      <c r="M256" s="285"/>
      <c r="N256" s="314" t="str">
        <f>"Total effort is "&amp;TEXT(TOTAL_EFFORT,"##,##,###")&amp;" PDs. How much up or down it can safely be without being way off?"</f>
        <v>Total effort is 271 PDs. How much up or down it can safely be without being way off?</v>
      </c>
      <c r="O256" s="142" t="s">
        <v>128</v>
      </c>
      <c r="P256" s="142" t="s">
        <v>129</v>
      </c>
      <c r="Q256" s="28"/>
      <c r="R256" s="28"/>
      <c r="S256" s="139"/>
      <c r="T256" s="139"/>
      <c r="U256" s="139"/>
      <c r="V256" s="139"/>
      <c r="W256" s="139"/>
      <c r="X256" s="28"/>
      <c r="Y256" s="28"/>
      <c r="Z256" s="28"/>
      <c r="AA256" s="28"/>
      <c r="AB256" s="31"/>
      <c r="AC256" s="31"/>
      <c r="AD256" s="12"/>
    </row>
    <row r="257" spans="1:30" s="11" customFormat="1" ht="15" hidden="1" customHeight="1" outlineLevel="1" x14ac:dyDescent="0.35">
      <c r="A257" s="93"/>
      <c r="B257" s="10"/>
      <c r="C257" s="80"/>
      <c r="D257" s="80"/>
      <c r="E257" s="80"/>
      <c r="F257" s="78"/>
      <c r="G257" s="28"/>
      <c r="H257" s="28"/>
      <c r="I257" s="28"/>
      <c r="J257" s="28"/>
      <c r="K257" s="28"/>
      <c r="L257" s="28"/>
      <c r="M257" s="285"/>
      <c r="N257" s="314"/>
      <c r="O257" s="151">
        <v>-0.2</v>
      </c>
      <c r="P257" s="152">
        <v>0.2</v>
      </c>
      <c r="Q257" s="28"/>
      <c r="R257" s="28"/>
      <c r="S257" s="139"/>
      <c r="T257" s="139"/>
      <c r="U257" s="139"/>
      <c r="V257" s="139"/>
      <c r="W257" s="139"/>
      <c r="X257" s="28"/>
      <c r="Y257" s="28"/>
      <c r="Z257" s="28"/>
      <c r="AA257" s="28"/>
      <c r="AB257" s="31"/>
      <c r="AC257" s="31"/>
      <c r="AD257" s="12"/>
    </row>
    <row r="258" spans="1:30" s="11" customFormat="1" hidden="1" outlineLevel="1" x14ac:dyDescent="0.35">
      <c r="A258" s="93"/>
      <c r="B258" s="10"/>
      <c r="C258" s="80"/>
      <c r="D258" s="80"/>
      <c r="E258" s="80"/>
      <c r="F258" s="78"/>
      <c r="G258" s="28"/>
      <c r="H258" s="28"/>
      <c r="I258" s="28"/>
      <c r="J258" s="28"/>
      <c r="K258" s="28"/>
      <c r="L258" s="28"/>
      <c r="M258" s="285"/>
      <c r="N258" s="314"/>
      <c r="O258" s="31"/>
      <c r="P258" s="28"/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31"/>
      <c r="AC258" s="31"/>
      <c r="AD258" s="12"/>
    </row>
    <row r="259" spans="1:30" s="11" customFormat="1" hidden="1" outlineLevel="1" x14ac:dyDescent="0.35">
      <c r="A259" s="93"/>
      <c r="B259" s="10"/>
      <c r="C259" s="80"/>
      <c r="D259" s="80"/>
      <c r="E259" s="80"/>
      <c r="F259" s="78"/>
      <c r="G259" s="28"/>
      <c r="H259" s="28"/>
      <c r="I259" s="28"/>
      <c r="J259" s="28"/>
      <c r="K259" s="28"/>
      <c r="L259" s="28"/>
      <c r="M259" s="285"/>
      <c r="N259" s="161" t="s">
        <v>457</v>
      </c>
      <c r="O259" s="139"/>
      <c r="P259" s="162" t="s">
        <v>96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31"/>
      <c r="AC259" s="31"/>
      <c r="AD259" s="12"/>
    </row>
    <row r="260" spans="1:30" s="11" customFormat="1" hidden="1" outlineLevel="1" x14ac:dyDescent="0.35">
      <c r="A260" s="93"/>
      <c r="B260" s="10"/>
      <c r="C260" s="80"/>
      <c r="D260" s="80"/>
      <c r="E260" s="80"/>
      <c r="F260" s="78"/>
      <c r="G260" s="28"/>
      <c r="H260" s="28"/>
      <c r="I260" s="28"/>
      <c r="J260" s="28"/>
      <c r="K260" s="28"/>
      <c r="L260" s="28"/>
      <c r="M260" s="285"/>
      <c r="N260" s="263" t="s">
        <v>156</v>
      </c>
      <c r="O260" s="28"/>
      <c r="P260" s="160" t="s">
        <v>78</v>
      </c>
      <c r="Q260" s="141" t="s">
        <v>193</v>
      </c>
      <c r="R260" s="28"/>
      <c r="S260" s="28"/>
      <c r="T260" s="28"/>
      <c r="U260" s="28"/>
      <c r="V260" s="28"/>
      <c r="W260" s="28"/>
      <c r="X260" s="28"/>
      <c r="Y260" s="28"/>
      <c r="Z260" s="28"/>
      <c r="AA260" s="28"/>
      <c r="AB260" s="28"/>
      <c r="AC260" s="31"/>
      <c r="AD260" s="12"/>
    </row>
    <row r="261" spans="1:30" s="11" customFormat="1" hidden="1" outlineLevel="1" x14ac:dyDescent="0.35">
      <c r="A261" s="93"/>
      <c r="B261" s="10"/>
      <c r="C261" s="80"/>
      <c r="D261" s="80"/>
      <c r="E261" s="80"/>
      <c r="F261" s="78"/>
      <c r="G261" s="28"/>
      <c r="H261" s="28"/>
      <c r="I261" s="28"/>
      <c r="J261" s="28"/>
      <c r="K261" s="28"/>
      <c r="L261" s="28"/>
      <c r="M261" s="285"/>
      <c r="N261" s="263" t="s">
        <v>169</v>
      </c>
      <c r="O261" s="28"/>
      <c r="P261" s="160" t="s">
        <v>97</v>
      </c>
      <c r="Q261" s="141" t="s">
        <v>192</v>
      </c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31"/>
      <c r="AD261" s="12"/>
    </row>
    <row r="262" spans="1:30" s="11" customFormat="1" hidden="1" outlineLevel="1" x14ac:dyDescent="0.35">
      <c r="A262" s="93"/>
      <c r="B262" s="10"/>
      <c r="C262" s="80"/>
      <c r="D262" s="80"/>
      <c r="E262" s="80"/>
      <c r="F262" s="78"/>
      <c r="G262" s="28"/>
      <c r="H262" s="28"/>
      <c r="I262" s="28"/>
      <c r="J262" s="28"/>
      <c r="K262" s="28"/>
      <c r="L262" s="28"/>
      <c r="M262" s="285"/>
      <c r="N262" s="263" t="s">
        <v>170</v>
      </c>
      <c r="O262" s="28"/>
      <c r="P262" s="28"/>
      <c r="Q262" s="28"/>
      <c r="R262" s="28"/>
      <c r="S262" s="28"/>
      <c r="T262" s="28"/>
      <c r="U262" s="160"/>
      <c r="V262" s="28"/>
      <c r="W262" s="28"/>
      <c r="X262" s="28"/>
      <c r="Y262" s="28"/>
      <c r="Z262" s="28"/>
      <c r="AA262" s="28"/>
      <c r="AB262" s="28"/>
      <c r="AC262" s="31"/>
      <c r="AD262" s="12"/>
    </row>
    <row r="263" spans="1:30" s="11" customFormat="1" ht="15" hidden="1" customHeight="1" outlineLevel="1" x14ac:dyDescent="0.35">
      <c r="A263" s="93"/>
      <c r="B263" s="10"/>
      <c r="C263" s="80"/>
      <c r="D263" s="80"/>
      <c r="E263" s="80"/>
      <c r="F263" s="78"/>
      <c r="G263" s="28"/>
      <c r="H263" s="28"/>
      <c r="I263" s="28"/>
      <c r="J263" s="28"/>
      <c r="K263" s="28"/>
      <c r="L263" s="28"/>
      <c r="M263" s="285"/>
      <c r="N263" s="263" t="s">
        <v>171</v>
      </c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31"/>
      <c r="AD263" s="12"/>
    </row>
    <row r="264" spans="1:30" s="11" customFormat="1" hidden="1" outlineLevel="1" x14ac:dyDescent="0.35">
      <c r="A264" s="93"/>
      <c r="B264" s="10"/>
      <c r="C264" s="80"/>
      <c r="D264" s="80"/>
      <c r="E264" s="80"/>
      <c r="F264" s="78"/>
      <c r="G264" s="28"/>
      <c r="H264" s="28"/>
      <c r="I264" s="28"/>
      <c r="J264" s="28"/>
      <c r="K264" s="28"/>
      <c r="L264" s="28"/>
      <c r="M264" s="285"/>
      <c r="N264" s="263" t="s">
        <v>172</v>
      </c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31"/>
      <c r="AD264" s="12"/>
    </row>
    <row r="265" spans="1:30" s="11" customFormat="1" hidden="1" outlineLevel="1" x14ac:dyDescent="0.35">
      <c r="A265" s="93"/>
      <c r="B265" s="10"/>
      <c r="C265" s="80"/>
      <c r="D265" s="80"/>
      <c r="E265" s="80"/>
      <c r="F265" s="78"/>
      <c r="G265" s="28"/>
      <c r="H265" s="28"/>
      <c r="I265" s="28"/>
      <c r="J265" s="28"/>
      <c r="K265" s="28"/>
      <c r="L265" s="28"/>
      <c r="M265" s="285"/>
      <c r="N265" s="263" t="s">
        <v>173</v>
      </c>
      <c r="O265" s="28"/>
      <c r="P265" s="28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31"/>
      <c r="AD265" s="12"/>
    </row>
    <row r="266" spans="1:30" s="11" customFormat="1" hidden="1" outlineLevel="1" x14ac:dyDescent="0.35">
      <c r="A266" s="93"/>
      <c r="B266" s="10"/>
      <c r="C266" s="80"/>
      <c r="D266" s="80"/>
      <c r="E266" s="80"/>
      <c r="F266" s="78"/>
      <c r="G266" s="28"/>
      <c r="H266" s="28"/>
      <c r="I266" s="28"/>
      <c r="J266" s="28"/>
      <c r="K266" s="28"/>
      <c r="L266" s="28"/>
      <c r="M266" s="285"/>
      <c r="N266" s="263" t="s">
        <v>174</v>
      </c>
      <c r="O266" s="28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31"/>
      <c r="AD266" s="12"/>
    </row>
    <row r="267" spans="1:30" s="11" customFormat="1" hidden="1" outlineLevel="1" x14ac:dyDescent="0.35">
      <c r="A267" s="93"/>
      <c r="B267" s="10"/>
      <c r="C267" s="80"/>
      <c r="D267" s="80"/>
      <c r="E267" s="80"/>
      <c r="F267" s="78"/>
      <c r="G267" s="28"/>
      <c r="H267" s="28"/>
      <c r="I267" s="28"/>
      <c r="J267" s="28"/>
      <c r="K267" s="28"/>
      <c r="L267" s="28"/>
      <c r="M267" s="285"/>
      <c r="N267" s="263" t="s">
        <v>155</v>
      </c>
      <c r="O267" s="31"/>
      <c r="P267" s="141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31"/>
      <c r="AD267" s="12"/>
    </row>
    <row r="268" spans="1:30" s="11" customFormat="1" hidden="1" outlineLevel="1" x14ac:dyDescent="0.35">
      <c r="A268" s="93"/>
      <c r="B268" s="10"/>
      <c r="C268" s="80"/>
      <c r="D268" s="80"/>
      <c r="E268" s="80"/>
      <c r="F268" s="78"/>
      <c r="G268" s="28"/>
      <c r="H268" s="28"/>
      <c r="I268" s="28"/>
      <c r="J268" s="28"/>
      <c r="K268" s="28"/>
      <c r="L268" s="28"/>
      <c r="M268" s="285"/>
      <c r="N268" s="263" t="s">
        <v>158</v>
      </c>
      <c r="O268" s="31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31"/>
      <c r="AD268" s="12"/>
    </row>
    <row r="269" spans="1:30" s="11" customFormat="1" hidden="1" outlineLevel="1" x14ac:dyDescent="0.35">
      <c r="A269" s="93"/>
      <c r="B269" s="10"/>
      <c r="C269" s="80"/>
      <c r="D269" s="80"/>
      <c r="E269" s="80"/>
      <c r="F269" s="78"/>
      <c r="G269" s="28"/>
      <c r="H269" s="28"/>
      <c r="I269" s="28"/>
      <c r="J269" s="28"/>
      <c r="K269" s="28"/>
      <c r="L269" s="28"/>
      <c r="M269" s="285"/>
      <c r="N269" s="263" t="s">
        <v>160</v>
      </c>
      <c r="O269" s="31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31"/>
      <c r="AD269" s="12"/>
    </row>
    <row r="270" spans="1:30" s="11" customFormat="1" hidden="1" outlineLevel="1" x14ac:dyDescent="0.35">
      <c r="A270" s="93"/>
      <c r="B270" s="10"/>
      <c r="C270" s="80"/>
      <c r="D270" s="80"/>
      <c r="E270" s="80"/>
      <c r="F270" s="78"/>
      <c r="G270" s="28"/>
      <c r="H270" s="28"/>
      <c r="I270" s="28"/>
      <c r="J270" s="28"/>
      <c r="K270" s="28"/>
      <c r="L270" s="28"/>
      <c r="M270" s="285"/>
      <c r="N270" s="263" t="s">
        <v>159</v>
      </c>
      <c r="O270" s="31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31"/>
      <c r="AD270" s="12"/>
    </row>
    <row r="271" spans="1:30" s="11" customFormat="1" hidden="1" outlineLevel="1" x14ac:dyDescent="0.35">
      <c r="A271" s="93"/>
      <c r="B271" s="10"/>
      <c r="C271" s="80"/>
      <c r="D271" s="80"/>
      <c r="E271" s="80"/>
      <c r="F271" s="78"/>
      <c r="G271" s="28"/>
      <c r="H271" s="28"/>
      <c r="I271" s="28"/>
      <c r="J271" s="28"/>
      <c r="K271" s="28"/>
      <c r="L271" s="28"/>
      <c r="M271" s="285"/>
      <c r="N271" s="263" t="s">
        <v>161</v>
      </c>
      <c r="O271" s="31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31"/>
      <c r="AD271" s="12"/>
    </row>
    <row r="272" spans="1:30" s="11" customFormat="1" hidden="1" outlineLevel="1" x14ac:dyDescent="0.35">
      <c r="A272" s="93"/>
      <c r="B272" s="10"/>
      <c r="C272" s="80"/>
      <c r="D272" s="80"/>
      <c r="E272" s="80"/>
      <c r="F272" s="78"/>
      <c r="G272" s="28"/>
      <c r="H272" s="28"/>
      <c r="I272" s="28"/>
      <c r="J272" s="28"/>
      <c r="K272" s="28"/>
      <c r="L272" s="28"/>
      <c r="M272" s="285"/>
      <c r="N272" s="263" t="s">
        <v>162</v>
      </c>
      <c r="O272" s="31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31"/>
      <c r="AD272" s="12"/>
    </row>
    <row r="273" spans="1:30" s="11" customFormat="1" hidden="1" outlineLevel="1" x14ac:dyDescent="0.35">
      <c r="A273" s="93"/>
      <c r="B273" s="10"/>
      <c r="C273" s="80"/>
      <c r="D273" s="80"/>
      <c r="E273" s="80"/>
      <c r="F273" s="78"/>
      <c r="G273" s="28"/>
      <c r="H273" s="28"/>
      <c r="I273" s="28"/>
      <c r="J273" s="28"/>
      <c r="K273" s="28"/>
      <c r="L273" s="28"/>
      <c r="M273" s="285"/>
      <c r="N273" s="263" t="s">
        <v>163</v>
      </c>
      <c r="O273" s="31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31"/>
      <c r="AD273" s="12"/>
    </row>
    <row r="274" spans="1:30" s="11" customFormat="1" hidden="1" outlineLevel="1" x14ac:dyDescent="0.35">
      <c r="A274" s="93"/>
      <c r="B274" s="10"/>
      <c r="C274" s="80"/>
      <c r="D274" s="80"/>
      <c r="E274" s="80"/>
      <c r="F274" s="78"/>
      <c r="G274" s="28"/>
      <c r="H274" s="28"/>
      <c r="I274" s="28"/>
      <c r="J274" s="28"/>
      <c r="K274" s="28"/>
      <c r="L274" s="28"/>
      <c r="M274" s="285"/>
      <c r="N274" s="263" t="s">
        <v>157</v>
      </c>
      <c r="O274" s="31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31"/>
      <c r="AD274" s="12"/>
    </row>
    <row r="275" spans="1:30" s="11" customFormat="1" hidden="1" outlineLevel="1" x14ac:dyDescent="0.35">
      <c r="A275" s="93"/>
      <c r="B275" s="10"/>
      <c r="C275" s="80"/>
      <c r="D275" s="80"/>
      <c r="E275" s="80"/>
      <c r="F275" s="78"/>
      <c r="G275" s="28"/>
      <c r="H275" s="28"/>
      <c r="I275" s="28"/>
      <c r="J275" s="28"/>
      <c r="K275" s="28"/>
      <c r="L275" s="28"/>
      <c r="M275" s="285"/>
      <c r="N275" s="263" t="s">
        <v>164</v>
      </c>
      <c r="O275" s="31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31"/>
      <c r="AD275" s="12"/>
    </row>
    <row r="276" spans="1:30" s="11" customFormat="1" hidden="1" outlineLevel="1" x14ac:dyDescent="0.35">
      <c r="A276" s="93"/>
      <c r="B276" s="10"/>
      <c r="C276" s="80"/>
      <c r="D276" s="80"/>
      <c r="E276" s="80"/>
      <c r="F276" s="78"/>
      <c r="G276" s="28"/>
      <c r="H276" s="28"/>
      <c r="I276" s="28"/>
      <c r="J276" s="28"/>
      <c r="K276" s="28"/>
      <c r="L276" s="28"/>
      <c r="M276" s="285"/>
      <c r="N276" s="263" t="s">
        <v>165</v>
      </c>
      <c r="O276" s="31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31"/>
      <c r="AD276" s="12"/>
    </row>
    <row r="277" spans="1:30" s="11" customFormat="1" hidden="1" outlineLevel="1" x14ac:dyDescent="0.35">
      <c r="A277" s="93"/>
      <c r="B277" s="10"/>
      <c r="C277" s="80"/>
      <c r="D277" s="80"/>
      <c r="E277" s="80"/>
      <c r="F277" s="78"/>
      <c r="G277" s="28"/>
      <c r="H277" s="28"/>
      <c r="I277" s="28"/>
      <c r="J277" s="28"/>
      <c r="K277" s="28"/>
      <c r="L277" s="28"/>
      <c r="M277" s="285"/>
      <c r="N277" s="263" t="s">
        <v>166</v>
      </c>
      <c r="O277" s="31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31"/>
      <c r="AD277" s="12"/>
    </row>
    <row r="278" spans="1:30" s="11" customFormat="1" hidden="1" outlineLevel="1" x14ac:dyDescent="0.35">
      <c r="A278" s="93"/>
      <c r="B278" s="10"/>
      <c r="C278" s="80"/>
      <c r="D278" s="80"/>
      <c r="E278" s="80"/>
      <c r="F278" s="78"/>
      <c r="G278" s="28"/>
      <c r="H278" s="28"/>
      <c r="I278" s="28"/>
      <c r="J278" s="28"/>
      <c r="K278" s="28"/>
      <c r="L278" s="28"/>
      <c r="M278" s="285"/>
      <c r="N278" s="263" t="s">
        <v>167</v>
      </c>
      <c r="O278" s="31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31"/>
      <c r="AD278" s="12"/>
    </row>
    <row r="279" spans="1:30" s="11" customFormat="1" hidden="1" outlineLevel="1" x14ac:dyDescent="0.35">
      <c r="A279" s="93"/>
      <c r="B279" s="10"/>
      <c r="C279" s="80"/>
      <c r="D279" s="80"/>
      <c r="E279" s="80"/>
      <c r="F279" s="78"/>
      <c r="G279" s="28"/>
      <c r="H279" s="28"/>
      <c r="I279" s="28"/>
      <c r="J279" s="28"/>
      <c r="K279" s="28"/>
      <c r="L279" s="28"/>
      <c r="M279" s="285"/>
      <c r="N279" s="263" t="s">
        <v>168</v>
      </c>
      <c r="O279" s="31"/>
      <c r="P279" s="28"/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8"/>
      <c r="AB279" s="28"/>
      <c r="AC279" s="31"/>
      <c r="AD279" s="12"/>
    </row>
    <row r="280" spans="1:30" s="11" customFormat="1" hidden="1" outlineLevel="1" x14ac:dyDescent="0.35">
      <c r="A280" s="93"/>
      <c r="B280" s="10"/>
      <c r="C280" s="80"/>
      <c r="D280" s="80"/>
      <c r="E280" s="80"/>
      <c r="F280" s="78"/>
      <c r="G280" s="28"/>
      <c r="H280" s="28"/>
      <c r="I280" s="28"/>
      <c r="J280" s="28"/>
      <c r="K280" s="28"/>
      <c r="L280" s="28"/>
      <c r="M280" s="285"/>
      <c r="N280" s="139"/>
      <c r="O280" s="31"/>
      <c r="P280" s="28"/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8"/>
      <c r="AB280" s="28"/>
      <c r="AC280" s="31"/>
      <c r="AD280" s="12"/>
    </row>
    <row r="281" spans="1:30" s="11" customFormat="1" ht="15" hidden="1" customHeight="1" outlineLevel="1" x14ac:dyDescent="0.3">
      <c r="A281" s="93"/>
      <c r="B281" s="10"/>
      <c r="C281" s="80"/>
      <c r="D281" s="80"/>
      <c r="E281" s="80"/>
      <c r="F281" s="78"/>
      <c r="G281" s="28"/>
      <c r="H281" s="28"/>
      <c r="I281" s="28"/>
      <c r="J281" s="28"/>
      <c r="K281" s="28"/>
      <c r="L281" s="28"/>
      <c r="M281" s="285"/>
      <c r="N281" s="165" t="s">
        <v>77</v>
      </c>
      <c r="O281" s="165" t="s">
        <v>144</v>
      </c>
      <c r="P281" s="28"/>
      <c r="Q281" s="186"/>
      <c r="R281" s="186"/>
      <c r="S281" s="28"/>
      <c r="T281" s="28"/>
      <c r="U281" s="28"/>
      <c r="V281" s="28"/>
      <c r="W281" s="28"/>
      <c r="X281" s="28"/>
      <c r="Y281" s="28"/>
      <c r="Z281" s="28"/>
      <c r="AA281" s="28"/>
      <c r="AB281" s="31"/>
      <c r="AC281" s="31"/>
      <c r="AD281" s="12"/>
    </row>
    <row r="282" spans="1:30" s="11" customFormat="1" ht="15" hidden="1" customHeight="1" outlineLevel="1" x14ac:dyDescent="0.35">
      <c r="A282" s="93"/>
      <c r="B282" s="10"/>
      <c r="C282" s="80"/>
      <c r="D282" s="80"/>
      <c r="E282" s="80"/>
      <c r="F282" s="78"/>
      <c r="G282" s="28"/>
      <c r="H282" s="28"/>
      <c r="I282" s="28"/>
      <c r="J282" s="28"/>
      <c r="K282" s="28"/>
      <c r="L282" s="28"/>
      <c r="M282" s="285"/>
      <c r="N282" s="159" t="s">
        <v>65</v>
      </c>
      <c r="O282" s="164">
        <v>0.5</v>
      </c>
      <c r="P282" s="315" t="s">
        <v>140</v>
      </c>
      <c r="Q282" s="315"/>
      <c r="R282" s="315"/>
      <c r="S282" s="28"/>
      <c r="T282" s="28"/>
      <c r="U282" s="28"/>
      <c r="V282" s="28"/>
      <c r="W282" s="28"/>
      <c r="X282" s="28"/>
      <c r="Y282" s="28"/>
      <c r="Z282" s="28"/>
      <c r="AA282" s="28"/>
      <c r="AB282" s="31"/>
      <c r="AC282" s="31"/>
      <c r="AD282" s="12"/>
    </row>
    <row r="283" spans="1:30" s="11" customFormat="1" hidden="1" outlineLevel="1" x14ac:dyDescent="0.35">
      <c r="A283" s="93"/>
      <c r="B283" s="10"/>
      <c r="C283" s="80"/>
      <c r="D283" s="80"/>
      <c r="E283" s="80"/>
      <c r="F283" s="78"/>
      <c r="G283" s="28"/>
      <c r="H283" s="28"/>
      <c r="I283" s="28"/>
      <c r="J283" s="28"/>
      <c r="K283" s="28"/>
      <c r="L283" s="28"/>
      <c r="M283" s="285"/>
      <c r="N283" s="159" t="s">
        <v>66</v>
      </c>
      <c r="O283" s="164">
        <v>0.25</v>
      </c>
      <c r="P283" s="315"/>
      <c r="Q283" s="315"/>
      <c r="R283" s="315"/>
      <c r="S283" s="28"/>
      <c r="T283" s="28"/>
      <c r="U283" s="28"/>
      <c r="V283" s="28"/>
      <c r="W283" s="28"/>
      <c r="X283" s="28"/>
      <c r="Y283" s="28"/>
      <c r="Z283" s="28"/>
      <c r="AA283" s="28"/>
      <c r="AB283" s="31"/>
      <c r="AC283" s="31"/>
      <c r="AD283" s="12"/>
    </row>
    <row r="284" spans="1:30" s="11" customFormat="1" hidden="1" outlineLevel="1" x14ac:dyDescent="0.35">
      <c r="A284" s="93"/>
      <c r="B284" s="10"/>
      <c r="C284" s="80"/>
      <c r="D284" s="80"/>
      <c r="E284" s="80"/>
      <c r="F284" s="78"/>
      <c r="G284" s="28"/>
      <c r="H284" s="28"/>
      <c r="I284" s="28"/>
      <c r="J284" s="28"/>
      <c r="K284" s="28"/>
      <c r="L284" s="28"/>
      <c r="M284" s="285"/>
      <c r="N284" s="31"/>
      <c r="O284" s="31"/>
      <c r="P284" s="315"/>
      <c r="Q284" s="315"/>
      <c r="R284" s="315"/>
      <c r="S284" s="28"/>
      <c r="T284" s="28"/>
      <c r="U284" s="28"/>
      <c r="V284" s="28"/>
      <c r="W284" s="28"/>
      <c r="X284" s="28"/>
      <c r="Y284" s="28"/>
      <c r="Z284" s="28"/>
      <c r="AA284" s="28"/>
      <c r="AB284" s="31"/>
      <c r="AC284" s="31"/>
      <c r="AD284" s="12"/>
    </row>
    <row r="285" spans="1:30" s="11" customFormat="1" hidden="1" outlineLevel="1" x14ac:dyDescent="0.35">
      <c r="A285" s="93"/>
      <c r="B285" s="10"/>
      <c r="C285" s="80"/>
      <c r="D285" s="80"/>
      <c r="E285" s="80"/>
      <c r="F285" s="78"/>
      <c r="G285" s="28"/>
      <c r="H285" s="28"/>
      <c r="I285" s="28"/>
      <c r="J285" s="28"/>
      <c r="K285" s="28"/>
      <c r="L285" s="28"/>
      <c r="M285" s="285"/>
      <c r="N285" s="31"/>
      <c r="O285" s="31"/>
      <c r="P285" s="315"/>
      <c r="Q285" s="315"/>
      <c r="R285" s="315"/>
      <c r="S285" s="28"/>
      <c r="T285" s="28"/>
      <c r="U285" s="28"/>
      <c r="V285" s="28"/>
      <c r="W285" s="28"/>
      <c r="X285" s="28"/>
      <c r="Y285" s="28"/>
      <c r="Z285" s="28"/>
      <c r="AA285" s="28"/>
      <c r="AB285" s="31"/>
      <c r="AC285" s="31"/>
      <c r="AD285" s="12"/>
    </row>
    <row r="286" spans="1:30" s="11" customFormat="1" hidden="1" outlineLevel="1" x14ac:dyDescent="0.3">
      <c r="A286" s="93"/>
      <c r="B286" s="10"/>
      <c r="C286" s="80"/>
      <c r="D286" s="80"/>
      <c r="E286" s="80"/>
      <c r="F286" s="78"/>
      <c r="G286" s="28"/>
      <c r="H286" s="28"/>
      <c r="I286" s="28"/>
      <c r="J286" s="28"/>
      <c r="K286" s="28"/>
      <c r="L286" s="28"/>
      <c r="M286" s="285"/>
      <c r="N286" s="161" t="s">
        <v>133</v>
      </c>
      <c r="O286" s="165" t="s">
        <v>144</v>
      </c>
      <c r="P286" s="28"/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31"/>
      <c r="AC286" s="31"/>
      <c r="AD286" s="12"/>
    </row>
    <row r="287" spans="1:30" s="11" customFormat="1" hidden="1" outlineLevel="1" x14ac:dyDescent="0.35">
      <c r="A287" s="93"/>
      <c r="B287" s="10"/>
      <c r="C287" s="80"/>
      <c r="D287" s="80"/>
      <c r="E287" s="80"/>
      <c r="F287" s="78"/>
      <c r="G287" s="28"/>
      <c r="H287" s="28"/>
      <c r="I287" s="28"/>
      <c r="J287" s="28"/>
      <c r="K287" s="28"/>
      <c r="L287" s="28"/>
      <c r="M287" s="285"/>
      <c r="N287" s="271" t="s">
        <v>23</v>
      </c>
      <c r="O287" s="272">
        <v>0</v>
      </c>
      <c r="P287" s="315" t="s">
        <v>141</v>
      </c>
      <c r="Q287" s="315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31"/>
      <c r="AC287" s="31"/>
      <c r="AD287" s="12"/>
    </row>
    <row r="288" spans="1:30" s="11" customFormat="1" ht="15" hidden="1" customHeight="1" outlineLevel="1" x14ac:dyDescent="0.35">
      <c r="A288" s="93"/>
      <c r="B288" s="10"/>
      <c r="C288" s="80"/>
      <c r="D288" s="80"/>
      <c r="E288" s="80"/>
      <c r="F288" s="78"/>
      <c r="G288" s="28"/>
      <c r="H288" s="28"/>
      <c r="I288" s="28"/>
      <c r="J288" s="28"/>
      <c r="K288" s="28"/>
      <c r="L288" s="28"/>
      <c r="M288" s="285"/>
      <c r="N288" s="271" t="s">
        <v>134</v>
      </c>
      <c r="O288" s="272">
        <v>0.25</v>
      </c>
      <c r="P288" s="315"/>
      <c r="Q288" s="315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31"/>
      <c r="AC288" s="31"/>
      <c r="AD288" s="12"/>
    </row>
    <row r="289" spans="1:30" s="11" customFormat="1" hidden="1" outlineLevel="1" x14ac:dyDescent="0.35">
      <c r="A289" s="93"/>
      <c r="B289" s="10"/>
      <c r="C289" s="80"/>
      <c r="D289" s="80"/>
      <c r="E289" s="80"/>
      <c r="F289" s="78"/>
      <c r="G289" s="28"/>
      <c r="H289" s="28"/>
      <c r="I289" s="28"/>
      <c r="J289" s="28"/>
      <c r="K289" s="28"/>
      <c r="L289" s="28"/>
      <c r="M289" s="285"/>
      <c r="N289" s="271" t="s">
        <v>135</v>
      </c>
      <c r="O289" s="273">
        <v>0.1</v>
      </c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31"/>
      <c r="AC289" s="31"/>
      <c r="AD289" s="12"/>
    </row>
    <row r="290" spans="1:30" s="11" customFormat="1" hidden="1" outlineLevel="1" x14ac:dyDescent="0.35">
      <c r="A290" s="93"/>
      <c r="B290" s="10"/>
      <c r="C290" s="80"/>
      <c r="D290" s="80"/>
      <c r="E290" s="80"/>
      <c r="F290" s="78"/>
      <c r="G290" s="28"/>
      <c r="H290" s="28"/>
      <c r="I290" s="28"/>
      <c r="J290" s="28"/>
      <c r="K290" s="28"/>
      <c r="L290" s="28"/>
      <c r="M290" s="285"/>
      <c r="N290" s="271" t="s">
        <v>136</v>
      </c>
      <c r="O290" s="273">
        <v>0</v>
      </c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31"/>
      <c r="AC290" s="31"/>
      <c r="AD290" s="12"/>
    </row>
    <row r="291" spans="1:30" s="11" customFormat="1" hidden="1" outlineLevel="1" x14ac:dyDescent="0.35">
      <c r="A291" s="93"/>
      <c r="B291" s="10"/>
      <c r="C291" s="80"/>
      <c r="D291" s="80"/>
      <c r="E291" s="80"/>
      <c r="F291" s="78"/>
      <c r="G291" s="28"/>
      <c r="H291" s="28"/>
      <c r="I291" s="28"/>
      <c r="J291" s="28"/>
      <c r="K291" s="28"/>
      <c r="L291" s="28"/>
      <c r="M291" s="285"/>
      <c r="N291" s="271" t="s">
        <v>137</v>
      </c>
      <c r="O291" s="273">
        <v>0</v>
      </c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31"/>
      <c r="AC291" s="31"/>
      <c r="AD291" s="12"/>
    </row>
    <row r="292" spans="1:30" s="11" customFormat="1" hidden="1" outlineLevel="1" x14ac:dyDescent="0.35">
      <c r="A292" s="93"/>
      <c r="B292" s="10"/>
      <c r="C292" s="80"/>
      <c r="D292" s="80"/>
      <c r="E292" s="80"/>
      <c r="F292" s="78"/>
      <c r="G292" s="28"/>
      <c r="H292" s="28"/>
      <c r="I292" s="28"/>
      <c r="J292" s="28"/>
      <c r="K292" s="28"/>
      <c r="L292" s="28"/>
      <c r="M292" s="285"/>
      <c r="N292" s="271" t="s">
        <v>138</v>
      </c>
      <c r="O292" s="273">
        <v>0</v>
      </c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31"/>
      <c r="AC292" s="31"/>
      <c r="AD292" s="12"/>
    </row>
    <row r="293" spans="1:30" s="11" customFormat="1" hidden="1" outlineLevel="1" x14ac:dyDescent="0.35">
      <c r="A293" s="93"/>
      <c r="B293" s="10"/>
      <c r="C293" s="80"/>
      <c r="D293" s="80"/>
      <c r="E293" s="80"/>
      <c r="F293" s="78"/>
      <c r="G293" s="28"/>
      <c r="H293" s="28"/>
      <c r="I293" s="28"/>
      <c r="J293" s="28"/>
      <c r="K293" s="28"/>
      <c r="L293" s="28"/>
      <c r="M293" s="285"/>
      <c r="N293" s="31"/>
      <c r="O293" s="31"/>
      <c r="P293" s="28"/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31"/>
      <c r="AC293" s="31"/>
      <c r="AD293" s="12"/>
    </row>
    <row r="294" spans="1:30" s="11" customFormat="1" hidden="1" outlineLevel="1" x14ac:dyDescent="0.3">
      <c r="A294" s="93"/>
      <c r="B294" s="10"/>
      <c r="C294" s="80"/>
      <c r="D294" s="80"/>
      <c r="E294" s="80"/>
      <c r="F294" s="78"/>
      <c r="G294" s="28"/>
      <c r="H294" s="28"/>
      <c r="I294" s="28"/>
      <c r="J294" s="28"/>
      <c r="K294" s="28"/>
      <c r="L294" s="28"/>
      <c r="M294" s="285"/>
      <c r="N294" s="161" t="s">
        <v>142</v>
      </c>
      <c r="O294" s="165" t="s">
        <v>144</v>
      </c>
      <c r="P294" s="28"/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31"/>
      <c r="AC294" s="31"/>
      <c r="AD294" s="12"/>
    </row>
    <row r="295" spans="1:30" s="11" customFormat="1" ht="15" hidden="1" customHeight="1" outlineLevel="1" x14ac:dyDescent="0.35">
      <c r="A295" s="93"/>
      <c r="B295" s="10"/>
      <c r="C295" s="80"/>
      <c r="D295" s="80"/>
      <c r="E295" s="80"/>
      <c r="F295" s="78"/>
      <c r="G295" s="28"/>
      <c r="H295" s="28"/>
      <c r="I295" s="28"/>
      <c r="J295" s="28"/>
      <c r="K295" s="28"/>
      <c r="L295" s="28"/>
      <c r="M295" s="285"/>
      <c r="N295" s="158" t="str">
        <f>Lists!B46</f>
        <v>Low</v>
      </c>
      <c r="O295" s="164">
        <v>0.1</v>
      </c>
      <c r="P295" s="315" t="s">
        <v>143</v>
      </c>
      <c r="Q295" s="315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31"/>
      <c r="AC295" s="31"/>
      <c r="AD295" s="12"/>
    </row>
    <row r="296" spans="1:30" s="11" customFormat="1" hidden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285"/>
      <c r="N296" s="158" t="str">
        <f>Lists!B47</f>
        <v>Medium</v>
      </c>
      <c r="O296" s="164">
        <v>0.15</v>
      </c>
      <c r="P296" s="315"/>
      <c r="Q296" s="315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31"/>
      <c r="AC296" s="31"/>
      <c r="AD296" s="12"/>
    </row>
    <row r="297" spans="1:30" s="11" customFormat="1" hidden="1" outlineLevel="1" x14ac:dyDescent="0.35">
      <c r="A297" s="93"/>
      <c r="B297" s="10"/>
      <c r="C297" s="80"/>
      <c r="D297" s="80"/>
      <c r="E297" s="80"/>
      <c r="F297" s="78"/>
      <c r="G297" s="28"/>
      <c r="H297" s="28"/>
      <c r="I297" s="28"/>
      <c r="J297" s="28"/>
      <c r="K297" s="28"/>
      <c r="L297" s="28"/>
      <c r="M297" s="285"/>
      <c r="N297" s="158" t="str">
        <f>Lists!B48</f>
        <v>High</v>
      </c>
      <c r="O297" s="164">
        <v>0.2</v>
      </c>
      <c r="P297" s="315"/>
      <c r="Q297" s="315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31"/>
      <c r="AC297" s="31"/>
      <c r="AD297" s="12"/>
    </row>
    <row r="298" spans="1:30" s="11" customFormat="1" hidden="1" outlineLevel="1" x14ac:dyDescent="0.35">
      <c r="A298" s="93"/>
      <c r="B298" s="10"/>
      <c r="C298" s="80"/>
      <c r="D298" s="80"/>
      <c r="E298" s="80"/>
      <c r="F298" s="78"/>
      <c r="G298" s="28"/>
      <c r="H298" s="28"/>
      <c r="I298" s="28"/>
      <c r="J298" s="28"/>
      <c r="K298" s="28"/>
      <c r="L298" s="28"/>
      <c r="M298" s="285"/>
      <c r="N298" s="31"/>
      <c r="O298" s="31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31"/>
      <c r="AC298" s="31"/>
      <c r="AD298" s="12"/>
    </row>
    <row r="299" spans="1:30" s="11" customFormat="1" ht="20.25" hidden="1" customHeight="1" outlineLevel="1" x14ac:dyDescent="0.35">
      <c r="A299" s="93"/>
      <c r="B299" s="10"/>
      <c r="C299" s="78"/>
      <c r="D299" s="78"/>
      <c r="E299" s="78"/>
      <c r="F299" s="78"/>
      <c r="G299" s="43"/>
      <c r="H299" s="43"/>
      <c r="I299" s="43"/>
      <c r="J299" s="43"/>
      <c r="K299" s="43"/>
      <c r="L299" s="43"/>
      <c r="M299" s="281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12"/>
    </row>
    <row r="300" spans="1:30" x14ac:dyDescent="0.35">
      <c r="F300" s="78"/>
    </row>
    <row r="364" spans="1:30" s="11" customFormat="1" ht="20.25" customHeight="1" x14ac:dyDescent="0.35">
      <c r="A364" s="93"/>
      <c r="B364" s="10"/>
      <c r="C364" s="78"/>
      <c r="D364" s="78"/>
      <c r="E364" s="78"/>
      <c r="F364" s="78"/>
      <c r="G364" s="308" t="s">
        <v>48</v>
      </c>
      <c r="H364" s="308"/>
      <c r="I364" s="178"/>
      <c r="J364" s="43"/>
      <c r="K364" s="43"/>
      <c r="L364" s="39"/>
      <c r="M364" s="289" t="s">
        <v>125</v>
      </c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12"/>
    </row>
    <row r="365" spans="1:30" hidden="1" x14ac:dyDescent="0.35"/>
    <row r="366" spans="1:30" s="17" customFormat="1" ht="18.5" hidden="1" collapsed="1" x14ac:dyDescent="0.35">
      <c r="A366" s="93" t="s">
        <v>98</v>
      </c>
      <c r="B366" s="21"/>
      <c r="C366" s="81"/>
      <c r="D366" s="81"/>
      <c r="E366" s="81"/>
      <c r="F366" s="82"/>
      <c r="G366" s="55"/>
      <c r="H366" s="55"/>
      <c r="I366" s="55"/>
      <c r="J366" s="55"/>
      <c r="K366" s="55"/>
      <c r="L366" s="55" t="s">
        <v>105</v>
      </c>
      <c r="M366" s="284" t="s">
        <v>106</v>
      </c>
      <c r="N366" s="56"/>
      <c r="O366" s="57"/>
      <c r="P366" s="58"/>
      <c r="Q366" s="58"/>
      <c r="R366" s="58"/>
      <c r="S366" s="299">
        <f>CEILING(SUMIFS(T367:T372, J367:J372, "&lt;&gt;Yes", A367:A372,"T1"),1)</f>
        <v>0</v>
      </c>
      <c r="T366" s="299"/>
      <c r="U366" s="58"/>
      <c r="V366" s="58"/>
      <c r="W366" s="58"/>
      <c r="X366" s="58"/>
      <c r="Y366" s="58"/>
      <c r="Z366" s="58"/>
      <c r="AA366" s="58"/>
      <c r="AB366" s="58"/>
      <c r="AC366" s="58"/>
      <c r="AD366" s="26" t="str">
        <f>IF(M366="", "Section name cannot be empty.", "")</f>
        <v/>
      </c>
    </row>
    <row r="367" spans="1:30" s="11" customFormat="1" ht="1.5" hidden="1" customHeight="1" outlineLevel="1" x14ac:dyDescent="0.35">
      <c r="A367" s="93" t="s">
        <v>99</v>
      </c>
      <c r="B367" s="18"/>
      <c r="C367" s="78"/>
      <c r="D367" s="78"/>
      <c r="E367" s="78"/>
      <c r="F367" s="78"/>
      <c r="G367" s="28"/>
      <c r="H367" s="28"/>
      <c r="I367" s="28"/>
      <c r="J367" s="28"/>
      <c r="K367" s="28"/>
      <c r="L367" s="29">
        <v>0</v>
      </c>
      <c r="M367" s="285"/>
      <c r="N367" s="28"/>
      <c r="O367" s="28"/>
      <c r="P367" s="28"/>
      <c r="Q367" s="28"/>
      <c r="R367" s="28"/>
      <c r="S367" s="28"/>
      <c r="T367" s="30"/>
      <c r="U367" s="28"/>
      <c r="V367" s="28"/>
      <c r="W367" s="28"/>
      <c r="X367" s="30"/>
      <c r="Y367" s="28"/>
      <c r="Z367" s="28"/>
      <c r="AA367" s="28"/>
      <c r="AB367" s="31"/>
      <c r="AC367" s="31"/>
      <c r="AD367" s="12"/>
    </row>
    <row r="368" spans="1:30" s="17" customFormat="1" ht="15.5" hidden="1" outlineLevel="1" x14ac:dyDescent="0.35">
      <c r="A368" s="93" t="s">
        <v>100</v>
      </c>
      <c r="B368" s="21"/>
      <c r="C368" s="84"/>
      <c r="D368" s="84"/>
      <c r="E368" s="84"/>
      <c r="F368" s="83"/>
      <c r="G368" s="32"/>
      <c r="H368" s="32"/>
      <c r="I368" s="32"/>
      <c r="J368" s="32"/>
      <c r="K368" s="32"/>
      <c r="L368" s="20">
        <f ca="1">LOOKUP(1000,INDIRECT("L1:"&amp;CELL("address",INDIRECT("R[-1]C",FALSE))))+1</f>
        <v>1</v>
      </c>
      <c r="M368" s="298" t="s">
        <v>108</v>
      </c>
      <c r="N368" s="298"/>
      <c r="O368" s="5"/>
      <c r="P368" s="33"/>
      <c r="Q368" s="33"/>
      <c r="R368" s="33"/>
      <c r="S368" s="33"/>
      <c r="T368" s="167">
        <f>IF($S$6="Exclude", SUMIFS(S369:S371, J369:J371, "&lt;&gt;Yes", G369:G371, "&lt;&gt;Yes"), SUMIFS(S369:S371, J369:J371, "&lt;&gt;Yes"))</f>
        <v>0</v>
      </c>
      <c r="U368" s="33"/>
      <c r="V368" s="33"/>
      <c r="W368" s="33"/>
      <c r="X368" s="34"/>
      <c r="Y368" s="35"/>
      <c r="Z368" s="35"/>
      <c r="AA368" s="35"/>
      <c r="AB368" s="240" t="s">
        <v>443</v>
      </c>
      <c r="AC368" s="36"/>
      <c r="AD368" s="26" t="str">
        <f>IF(M368="", "Error: Task name cannot be empty.", "")</f>
        <v/>
      </c>
    </row>
    <row r="369" spans="1:30" s="15" customFormat="1" ht="1.5" hidden="1" customHeight="1" outlineLevel="2" x14ac:dyDescent="0.35">
      <c r="A369" s="93" t="s">
        <v>101</v>
      </c>
      <c r="B369" s="21"/>
      <c r="C369" s="84"/>
      <c r="D369" s="84"/>
      <c r="E369" s="84"/>
      <c r="F369" s="83"/>
      <c r="G369" s="32"/>
      <c r="H369" s="32"/>
      <c r="I369" s="32"/>
      <c r="J369" s="32"/>
      <c r="K369" s="32"/>
      <c r="L369" s="175">
        <f ca="1">L368</f>
        <v>1</v>
      </c>
      <c r="M369" s="176" t="s">
        <v>105</v>
      </c>
      <c r="N369" s="173"/>
      <c r="O369" s="174"/>
      <c r="P369" s="33"/>
      <c r="Q369" s="33"/>
      <c r="R369" s="33"/>
      <c r="S369" s="33"/>
      <c r="T369" s="167"/>
      <c r="U369" s="33"/>
      <c r="V369" s="33"/>
      <c r="W369" s="33"/>
      <c r="X369" s="34"/>
      <c r="Y369" s="35"/>
      <c r="Z369" s="35"/>
      <c r="AA369" s="35"/>
      <c r="AB369" s="36"/>
      <c r="AC369" s="36"/>
      <c r="AD369" s="26"/>
    </row>
    <row r="370" spans="1:30" ht="58" hidden="1" outlineLevel="2" x14ac:dyDescent="0.35">
      <c r="A370" s="93" t="s">
        <v>0</v>
      </c>
      <c r="B370" s="21"/>
      <c r="C370" s="85"/>
      <c r="D370" s="85"/>
      <c r="E370" s="85"/>
      <c r="F370" s="86"/>
      <c r="G370" s="22" t="s">
        <v>23</v>
      </c>
      <c r="H370" s="22" t="s">
        <v>23</v>
      </c>
      <c r="I370" s="23" t="s">
        <v>23</v>
      </c>
      <c r="J370" s="22" t="s">
        <v>23</v>
      </c>
      <c r="K370" s="38"/>
      <c r="L370" s="22"/>
      <c r="M370" s="286" t="str">
        <f ca="1">IFERROR(OFFSET(M370,-1,,1,1)+0.1,OFFSET(M370,-1,-1,1,1)&amp;".1")</f>
        <v>1.1</v>
      </c>
      <c r="N370" s="23" t="s">
        <v>442</v>
      </c>
      <c r="O370" s="23"/>
      <c r="P370" s="23"/>
      <c r="Q370" s="144"/>
      <c r="R370" s="137"/>
      <c r="S370" s="169">
        <f>CEILING((IF(J370="Yes", 0, IF(H370="-",AA370,AA370+AA370*VLOOKUP(H370,BUFFERS_BY_TYPE,2,FALSE)))) +
   (IF(J370="Yes", 0, IF(H370="-",AA370,AA370+AA370*VLOOKUP(H370,BUFFERS_BY_TYPE,2,FALSE))))*VLOOKUP($S$5, SALES_CALL_SCALE_ARRAY, 2,FALSE),0.25)</f>
        <v>0</v>
      </c>
      <c r="T370" s="170"/>
      <c r="U370" s="24">
        <v>0</v>
      </c>
      <c r="V370" s="24">
        <v>1</v>
      </c>
      <c r="W370" s="24">
        <v>0</v>
      </c>
      <c r="X370" s="168"/>
      <c r="Y370" s="169">
        <f>CEILING((IF(P370=AS_DEV_EFFORT, DEV_EFFORT*Q370%,
                           IF(P370=AS_DURATION_EFFORT, (MANUAL_DURATION*5)*Q370%,
                                    (IF(Q370&lt;=1,X370,
                                          IF(SUM(U370:W370)=0,(Q370*X370),
                                               (((Q370*U370)*(X370+(X370*EXTRA_FOR_H)))+
                                               ((Q370*V370)*X370)+
                                               ((Q370*W370)*(X370-(X370*LESS_FOR_L)))
                                    )*IF(R370=0,1,R370))))))+Z370), 0.25)</f>
        <v>0</v>
      </c>
      <c r="Z370" s="25"/>
      <c r="AA370" s="169">
        <f>Y370+Y370*VLOOKUP(I370,EXTRAS_ARRAY,2,FALSE)</f>
        <v>0</v>
      </c>
      <c r="AB370" s="23" t="s">
        <v>445</v>
      </c>
      <c r="AC370" s="37"/>
      <c r="AD370" s="26" t="str">
        <f>IF(J370&lt;&gt;"Yes",
IF(S370&lt;=0,"Error: Effort value is not defined or is invalid.",
IF(AND(SUM(U370:W370)&gt;0,SUM(U370:W370)&lt;&gt;1),"Error: Complexity % distribution should sum to 100%.",
IF(AND(P370=AS_DEV_EFFORT,X370&lt;&gt;0),"Error: PDs should not be defined when defining as dev effort %.",
IF(AND(P370=AS_DURATION_EFFORT,X370&lt;&gt;0),"Error: PDs should not be defined when defining as duration effort %.","")))))</f>
        <v>Error: Effort value is not defined or is invalid.</v>
      </c>
    </row>
    <row r="371" spans="1:30" s="11" customFormat="1" ht="7.5" hidden="1" customHeight="1" outlineLevel="2" x14ac:dyDescent="0.35">
      <c r="A371" s="93" t="s">
        <v>132</v>
      </c>
      <c r="B371" s="18"/>
      <c r="C371" s="78"/>
      <c r="D371" s="78"/>
      <c r="E371" s="78"/>
      <c r="F371" s="78"/>
      <c r="G371" s="10"/>
      <c r="H371" s="10"/>
      <c r="I371" s="10"/>
      <c r="J371" s="10"/>
      <c r="K371" s="10"/>
      <c r="L371" s="10"/>
      <c r="M371" s="287"/>
      <c r="N371" s="10"/>
      <c r="O371" s="10"/>
      <c r="P371" s="10"/>
      <c r="Q371" s="10"/>
      <c r="R371" s="10"/>
      <c r="S371" s="10"/>
      <c r="T371" s="18"/>
      <c r="U371" s="10"/>
      <c r="V371" s="10"/>
      <c r="W371" s="10"/>
      <c r="X371" s="18"/>
      <c r="Y371" s="10"/>
      <c r="Z371" s="10"/>
      <c r="AA371" s="10"/>
      <c r="AB371" s="60"/>
      <c r="AC371" s="60"/>
      <c r="AD371" s="12"/>
    </row>
    <row r="372" spans="1:30" s="11" customFormat="1" ht="1.5" hidden="1" customHeight="1" outlineLevel="1" x14ac:dyDescent="0.35">
      <c r="A372" s="93" t="s">
        <v>102</v>
      </c>
      <c r="B372" s="10"/>
      <c r="C372" s="78"/>
      <c r="D372" s="78"/>
      <c r="E372" s="78"/>
      <c r="F372" s="78"/>
      <c r="G372" s="59"/>
      <c r="H372" s="59"/>
      <c r="I372" s="59"/>
      <c r="J372" s="59"/>
      <c r="K372" s="59"/>
      <c r="L372" s="61"/>
      <c r="M372" s="288"/>
      <c r="N372" s="62"/>
      <c r="O372" s="62"/>
      <c r="P372" s="61"/>
      <c r="Q372" s="61"/>
      <c r="R372" s="61"/>
      <c r="S372" s="61"/>
      <c r="T372" s="61"/>
      <c r="U372" s="61"/>
      <c r="V372" s="61"/>
      <c r="W372" s="61"/>
      <c r="X372" s="61"/>
      <c r="Y372" s="61"/>
      <c r="Z372" s="61"/>
      <c r="AA372" s="61"/>
      <c r="AB372" s="62"/>
      <c r="AC372" s="62"/>
      <c r="AD372" s="12"/>
    </row>
    <row r="373" spans="1:30" hidden="1" collapsed="1" x14ac:dyDescent="0.35"/>
    <row r="374" spans="1:30" s="17" customFormat="1" ht="15.5" hidden="1" outlineLevel="1" x14ac:dyDescent="0.35">
      <c r="A374" s="93" t="s">
        <v>107</v>
      </c>
      <c r="B374" s="21"/>
      <c r="C374" s="84"/>
      <c r="D374" s="84"/>
      <c r="E374" s="84"/>
      <c r="F374" s="83"/>
      <c r="G374" s="185"/>
      <c r="H374" s="185"/>
      <c r="I374" s="185"/>
      <c r="J374" s="185"/>
      <c r="K374" s="185"/>
      <c r="L374" s="92" t="s">
        <v>109</v>
      </c>
      <c r="M374" s="316" t="s">
        <v>124</v>
      </c>
      <c r="N374" s="316"/>
      <c r="O374" s="87"/>
      <c r="P374" s="88"/>
      <c r="Q374" s="88"/>
      <c r="R374" s="88"/>
      <c r="S374" s="300">
        <f>SUMGROUP(ROW(), "T")</f>
        <v>0</v>
      </c>
      <c r="T374" s="300"/>
      <c r="U374" s="309"/>
      <c r="V374" s="309"/>
      <c r="W374" s="309"/>
      <c r="X374" s="89"/>
      <c r="Y374" s="90"/>
      <c r="Z374" s="90"/>
      <c r="AA374" s="90"/>
      <c r="AB374" s="243"/>
      <c r="AC374" s="91"/>
      <c r="AD374" s="26" t="str">
        <f>IF(M374="", "Error: Module name cannot be empty.", "")</f>
        <v/>
      </c>
    </row>
    <row r="375" spans="1:30" hidden="1" x14ac:dyDescent="0.35"/>
    <row r="376" spans="1:30" s="11" customFormat="1" ht="20.25" customHeight="1" x14ac:dyDescent="0.35">
      <c r="A376" s="93"/>
      <c r="B376" s="10"/>
      <c r="C376" s="78"/>
      <c r="D376" s="78"/>
      <c r="E376" s="78"/>
      <c r="F376" s="78"/>
      <c r="G376" s="43"/>
      <c r="H376" s="43"/>
      <c r="I376" s="43"/>
      <c r="J376" s="43"/>
      <c r="K376" s="43"/>
      <c r="L376" s="43"/>
      <c r="M376" s="281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91">
    <mergeCell ref="U131:W131"/>
    <mergeCell ref="M137:N137"/>
    <mergeCell ref="S137:T137"/>
    <mergeCell ref="U137:W137"/>
    <mergeCell ref="U122:W122"/>
    <mergeCell ref="U112:W112"/>
    <mergeCell ref="U106:W106"/>
    <mergeCell ref="M91:N91"/>
    <mergeCell ref="M107:N107"/>
    <mergeCell ref="M98:N98"/>
    <mergeCell ref="M106:N106"/>
    <mergeCell ref="M174:N174"/>
    <mergeCell ref="M178:N178"/>
    <mergeCell ref="M182:N182"/>
    <mergeCell ref="M150:N150"/>
    <mergeCell ref="M157:N157"/>
    <mergeCell ref="M169:N169"/>
    <mergeCell ref="M145:N145"/>
    <mergeCell ref="M112:N112"/>
    <mergeCell ref="S112:T112"/>
    <mergeCell ref="M113:N113"/>
    <mergeCell ref="M138:N138"/>
    <mergeCell ref="M123:N123"/>
    <mergeCell ref="M122:N122"/>
    <mergeCell ref="S122:T122"/>
    <mergeCell ref="M132:N132"/>
    <mergeCell ref="M131:N131"/>
    <mergeCell ref="S131:T131"/>
    <mergeCell ref="M118:N118"/>
    <mergeCell ref="M20:N20"/>
    <mergeCell ref="M66:N66"/>
    <mergeCell ref="M70:N70"/>
    <mergeCell ref="M77:N77"/>
    <mergeCell ref="S59:T59"/>
    <mergeCell ref="M26:N26"/>
    <mergeCell ref="M33:N33"/>
    <mergeCell ref="M39:N39"/>
    <mergeCell ref="M45:N45"/>
    <mergeCell ref="M51:N51"/>
    <mergeCell ref="Y231:AA235"/>
    <mergeCell ref="U10:W10"/>
    <mergeCell ref="M201:T202"/>
    <mergeCell ref="W219:X220"/>
    <mergeCell ref="W221:X221"/>
    <mergeCell ref="W222:X222"/>
    <mergeCell ref="W223:X223"/>
    <mergeCell ref="W224:X224"/>
    <mergeCell ref="W225:X225"/>
    <mergeCell ref="W226:X226"/>
    <mergeCell ref="W227:X227"/>
    <mergeCell ref="Q227:V227"/>
    <mergeCell ref="M14:N14"/>
    <mergeCell ref="M61:N61"/>
    <mergeCell ref="W229:X230"/>
    <mergeCell ref="S11:T11"/>
    <mergeCell ref="C2:F9"/>
    <mergeCell ref="C10:F10"/>
    <mergeCell ref="G9:J9"/>
    <mergeCell ref="G199:H199"/>
    <mergeCell ref="C11:F11"/>
    <mergeCell ref="C12:E12"/>
    <mergeCell ref="G3:J3"/>
    <mergeCell ref="J5:K5"/>
    <mergeCell ref="AB5:AB6"/>
    <mergeCell ref="P10:R10"/>
    <mergeCell ref="G216:H216"/>
    <mergeCell ref="U374:W374"/>
    <mergeCell ref="Q229:V229"/>
    <mergeCell ref="P219:P220"/>
    <mergeCell ref="G244:H244"/>
    <mergeCell ref="G364:H364"/>
    <mergeCell ref="Q218:V218"/>
    <mergeCell ref="O219:O220"/>
    <mergeCell ref="N256:N258"/>
    <mergeCell ref="P282:R285"/>
    <mergeCell ref="P287:Q288"/>
    <mergeCell ref="P295:Q297"/>
    <mergeCell ref="M374:N374"/>
    <mergeCell ref="M368:N368"/>
    <mergeCell ref="S12:T12"/>
    <mergeCell ref="S89:T89"/>
    <mergeCell ref="S129:T129"/>
    <mergeCell ref="S167:T167"/>
    <mergeCell ref="S106:T106"/>
    <mergeCell ref="M192:N192"/>
    <mergeCell ref="S366:T366"/>
    <mergeCell ref="S374:T374"/>
    <mergeCell ref="S190:T190"/>
    <mergeCell ref="S197:T197"/>
    <mergeCell ref="T238:U238"/>
    <mergeCell ref="T237:U237"/>
  </mergeCells>
  <conditionalFormatting sqref="B221">
    <cfRule type="cellIs" dxfId="930" priority="9994" operator="equal">
      <formula>"."</formula>
    </cfRule>
  </conditionalFormatting>
  <conditionalFormatting sqref="C218:E218 C237:E240">
    <cfRule type="expression" dxfId="929" priority="9874">
      <formula>$H218&lt;&gt;""</formula>
    </cfRule>
  </conditionalFormatting>
  <conditionalFormatting sqref="C219:E227">
    <cfRule type="expression" dxfId="928" priority="9872">
      <formula>$H219&lt;&gt;""</formula>
    </cfRule>
  </conditionalFormatting>
  <conditionalFormatting sqref="B219">
    <cfRule type="cellIs" dxfId="927" priority="9868" operator="equal">
      <formula>"."</formula>
    </cfRule>
  </conditionalFormatting>
  <conditionalFormatting sqref="B370">
    <cfRule type="expression" dxfId="926" priority="9763">
      <formula>AD370&lt;&gt;""</formula>
    </cfRule>
  </conditionalFormatting>
  <conditionalFormatting sqref="Z370">
    <cfRule type="cellIs" dxfId="925" priority="9761" operator="greaterThan">
      <formula>0</formula>
    </cfRule>
    <cfRule type="cellIs" dxfId="924" priority="9762" operator="lessThan">
      <formula>0</formula>
    </cfRule>
  </conditionalFormatting>
  <conditionalFormatting sqref="S370">
    <cfRule type="cellIs" dxfId="923" priority="9760" operator="lessThan">
      <formula>0</formula>
    </cfRule>
  </conditionalFormatting>
  <conditionalFormatting sqref="T368:T369">
    <cfRule type="expression" dxfId="922" priority="9764">
      <formula>#REF!="Yes"</formula>
    </cfRule>
  </conditionalFormatting>
  <conditionalFormatting sqref="P370">
    <cfRule type="cellIs" dxfId="921" priority="9757" operator="equal">
      <formula>AS_DURATION_EFFORT</formula>
    </cfRule>
    <cfRule type="cellIs" dxfId="920" priority="9758" operator="equal">
      <formula>AS_DEV_EFFORT</formula>
    </cfRule>
  </conditionalFormatting>
  <conditionalFormatting sqref="S374">
    <cfRule type="expression" dxfId="919" priority="9573">
      <formula>#REF!="Yes"</formula>
    </cfRule>
  </conditionalFormatting>
  <conditionalFormatting sqref="B366">
    <cfRule type="expression" dxfId="918" priority="9565">
      <formula>AD366&lt;&gt;""</formula>
    </cfRule>
  </conditionalFormatting>
  <conditionalFormatting sqref="B368:B369">
    <cfRule type="expression" dxfId="917" priority="9564">
      <formula>AD368&lt;&gt;""</formula>
    </cfRule>
  </conditionalFormatting>
  <conditionalFormatting sqref="B374">
    <cfRule type="expression" dxfId="916" priority="9563">
      <formula>AD374&lt;&gt;""</formula>
    </cfRule>
  </conditionalFormatting>
  <conditionalFormatting sqref="L23:AC24 L28:M28 L35:M35 O28:AC28 O35:AC35 L16:AC17 L36:AC37 L41:AC43 L47:AC49 L68:AC68 L63:AC64 L72:AC75 L79:AC86 L93:AC96 L100:AC104 L109:AC110 L115:AC116 L120:AC120 L125:AC126 L184:AC187 L194:AC194 L171:AC172 L176:AC176 L180:AC180 L370:AC370 L53:AC56 L140:AC143 L134:AC135 L147:AC148 L152:AC155 L159:AC164">
    <cfRule type="expression" dxfId="915" priority="11852">
      <formula>AND($G16="Yes", $S$6="Exclude")</formula>
    </cfRule>
    <cfRule type="expression" dxfId="914" priority="11853">
      <formula>$J16="Yes"</formula>
    </cfRule>
  </conditionalFormatting>
  <conditionalFormatting sqref="T5">
    <cfRule type="expression" dxfId="913" priority="9146">
      <formula>OR($S$5="Reduce by:", $S$5="Increase by:")</formula>
    </cfRule>
  </conditionalFormatting>
  <conditionalFormatting sqref="F370">
    <cfRule type="expression" dxfId="912" priority="6396">
      <formula>$K370&lt;&gt;""</formula>
    </cfRule>
  </conditionalFormatting>
  <conditionalFormatting sqref="C370">
    <cfRule type="expression" dxfId="911" priority="6352">
      <formula>$G370&lt;&gt;"-"</formula>
    </cfRule>
  </conditionalFormatting>
  <conditionalFormatting sqref="D370">
    <cfRule type="expression" dxfId="910" priority="6350">
      <formula>$H370&lt;&gt;"-"</formula>
    </cfRule>
  </conditionalFormatting>
  <conditionalFormatting sqref="E370">
    <cfRule type="expression" dxfId="909" priority="6349">
      <formula>$I370&lt;&gt;"-"</formula>
    </cfRule>
  </conditionalFormatting>
  <conditionalFormatting sqref="B222">
    <cfRule type="cellIs" dxfId="908" priority="2793" operator="equal">
      <formula>"."</formula>
    </cfRule>
  </conditionalFormatting>
  <conditionalFormatting sqref="B223">
    <cfRule type="cellIs" dxfId="907" priority="2792" operator="equal">
      <formula>"."</formula>
    </cfRule>
  </conditionalFormatting>
  <conditionalFormatting sqref="B224">
    <cfRule type="cellIs" dxfId="906" priority="2791" operator="equal">
      <formula>"."</formula>
    </cfRule>
  </conditionalFormatting>
  <conditionalFormatting sqref="B225">
    <cfRule type="cellIs" dxfId="905" priority="2790" operator="equal">
      <formula>"."</formula>
    </cfRule>
  </conditionalFormatting>
  <conditionalFormatting sqref="B226">
    <cfRule type="cellIs" dxfId="904" priority="2789" operator="equal">
      <formula>"."</formula>
    </cfRule>
  </conditionalFormatting>
  <conditionalFormatting sqref="B16">
    <cfRule type="expression" dxfId="903" priority="2785">
      <formula>AD16&lt;&gt;""</formula>
    </cfRule>
  </conditionalFormatting>
  <conditionalFormatting sqref="Z16">
    <cfRule type="cellIs" dxfId="902" priority="2783" operator="greaterThan">
      <formula>0</formula>
    </cfRule>
    <cfRule type="cellIs" dxfId="901" priority="2784" operator="lessThan">
      <formula>0</formula>
    </cfRule>
  </conditionalFormatting>
  <conditionalFormatting sqref="S16">
    <cfRule type="cellIs" dxfId="900" priority="2782" operator="lessThan">
      <formula>0</formula>
    </cfRule>
  </conditionalFormatting>
  <conditionalFormatting sqref="T14:T15">
    <cfRule type="expression" dxfId="899" priority="2786">
      <formula>#REF!="Yes"</formula>
    </cfRule>
  </conditionalFormatting>
  <conditionalFormatting sqref="P16">
    <cfRule type="cellIs" dxfId="898" priority="2780" operator="equal">
      <formula>AS_DURATION_EFFORT</formula>
    </cfRule>
    <cfRule type="cellIs" dxfId="897" priority="2781" operator="equal">
      <formula>AS_DEV_EFFORT</formula>
    </cfRule>
  </conditionalFormatting>
  <conditionalFormatting sqref="B14:B15">
    <cfRule type="expression" dxfId="896" priority="2779">
      <formula>AD14&lt;&gt;""</formula>
    </cfRule>
  </conditionalFormatting>
  <conditionalFormatting sqref="F16">
    <cfRule type="expression" dxfId="895" priority="2778">
      <formula>$K16&lt;&gt;""</formula>
    </cfRule>
  </conditionalFormatting>
  <conditionalFormatting sqref="C16">
    <cfRule type="expression" dxfId="894" priority="2777">
      <formula>$G16&lt;&gt;"-"</formula>
    </cfRule>
  </conditionalFormatting>
  <conditionalFormatting sqref="D16">
    <cfRule type="expression" dxfId="893" priority="2776">
      <formula>$H16&lt;&gt;"-"</formula>
    </cfRule>
  </conditionalFormatting>
  <conditionalFormatting sqref="E16">
    <cfRule type="expression" dxfId="892" priority="2775">
      <formula>$I16&lt;&gt;"-"</formula>
    </cfRule>
  </conditionalFormatting>
  <conditionalFormatting sqref="B17">
    <cfRule type="expression" dxfId="891" priority="2772">
      <formula>AD17&lt;&gt;""</formula>
    </cfRule>
  </conditionalFormatting>
  <conditionalFormatting sqref="Z17">
    <cfRule type="cellIs" dxfId="890" priority="2770" operator="greaterThan">
      <formula>0</formula>
    </cfRule>
    <cfRule type="cellIs" dxfId="889" priority="2771" operator="lessThan">
      <formula>0</formula>
    </cfRule>
  </conditionalFormatting>
  <conditionalFormatting sqref="S17">
    <cfRule type="cellIs" dxfId="888" priority="2769" operator="lessThan">
      <formula>0</formula>
    </cfRule>
  </conditionalFormatting>
  <conditionalFormatting sqref="P17">
    <cfRule type="cellIs" dxfId="887" priority="2767" operator="equal">
      <formula>AS_DURATION_EFFORT</formula>
    </cfRule>
    <cfRule type="cellIs" dxfId="886" priority="2768" operator="equal">
      <formula>AS_DEV_EFFORT</formula>
    </cfRule>
  </conditionalFormatting>
  <conditionalFormatting sqref="F17">
    <cfRule type="expression" dxfId="885" priority="2766">
      <formula>$K17&lt;&gt;""</formula>
    </cfRule>
  </conditionalFormatting>
  <conditionalFormatting sqref="C17">
    <cfRule type="expression" dxfId="884" priority="2765">
      <formula>$G17&lt;&gt;"-"</formula>
    </cfRule>
  </conditionalFormatting>
  <conditionalFormatting sqref="D17">
    <cfRule type="expression" dxfId="883" priority="2764">
      <formula>$H17&lt;&gt;"-"</formula>
    </cfRule>
  </conditionalFormatting>
  <conditionalFormatting sqref="E17">
    <cfRule type="expression" dxfId="882" priority="2763">
      <formula>$I17&lt;&gt;"-"</formula>
    </cfRule>
  </conditionalFormatting>
  <conditionalFormatting sqref="B63">
    <cfRule type="expression" dxfId="881" priority="2759">
      <formula>AD63&lt;&gt;""</formula>
    </cfRule>
  </conditionalFormatting>
  <conditionalFormatting sqref="Z63">
    <cfRule type="cellIs" dxfId="880" priority="2757" operator="greaterThan">
      <formula>0</formula>
    </cfRule>
    <cfRule type="cellIs" dxfId="879" priority="2758" operator="lessThan">
      <formula>0</formula>
    </cfRule>
  </conditionalFormatting>
  <conditionalFormatting sqref="S63">
    <cfRule type="cellIs" dxfId="878" priority="2756" operator="lessThan">
      <formula>0</formula>
    </cfRule>
  </conditionalFormatting>
  <conditionalFormatting sqref="T61:T62">
    <cfRule type="expression" dxfId="877" priority="2760">
      <formula>#REF!="Yes"</formula>
    </cfRule>
  </conditionalFormatting>
  <conditionalFormatting sqref="P63">
    <cfRule type="cellIs" dxfId="876" priority="2754" operator="equal">
      <formula>AS_DURATION_EFFORT</formula>
    </cfRule>
    <cfRule type="cellIs" dxfId="875" priority="2755" operator="equal">
      <formula>AS_DEV_EFFORT</formula>
    </cfRule>
  </conditionalFormatting>
  <conditionalFormatting sqref="B61:B62">
    <cfRule type="expression" dxfId="874" priority="2753">
      <formula>AD61&lt;&gt;""</formula>
    </cfRule>
  </conditionalFormatting>
  <conditionalFormatting sqref="F63">
    <cfRule type="expression" dxfId="873" priority="2752">
      <formula>$K63&lt;&gt;""</formula>
    </cfRule>
  </conditionalFormatting>
  <conditionalFormatting sqref="C63">
    <cfRule type="expression" dxfId="872" priority="2751">
      <formula>$G63&lt;&gt;"-"</formula>
    </cfRule>
  </conditionalFormatting>
  <conditionalFormatting sqref="D63">
    <cfRule type="expression" dxfId="871" priority="2750">
      <formula>$H63&lt;&gt;"-"</formula>
    </cfRule>
  </conditionalFormatting>
  <conditionalFormatting sqref="E63">
    <cfRule type="expression" dxfId="870" priority="2749">
      <formula>$I63&lt;&gt;"-"</formula>
    </cfRule>
  </conditionalFormatting>
  <conditionalFormatting sqref="B93">
    <cfRule type="expression" dxfId="869" priority="2689">
      <formula>AD93&lt;&gt;""</formula>
    </cfRule>
  </conditionalFormatting>
  <conditionalFormatting sqref="Z93">
    <cfRule type="cellIs" dxfId="868" priority="2687" operator="greaterThan">
      <formula>0</formula>
    </cfRule>
    <cfRule type="cellIs" dxfId="867" priority="2688" operator="lessThan">
      <formula>0</formula>
    </cfRule>
  </conditionalFormatting>
  <conditionalFormatting sqref="S93">
    <cfRule type="cellIs" dxfId="866" priority="2686" operator="lessThan">
      <formula>0</formula>
    </cfRule>
  </conditionalFormatting>
  <conditionalFormatting sqref="T91:T92">
    <cfRule type="expression" dxfId="865" priority="2690">
      <formula>#REF!="Yes"</formula>
    </cfRule>
  </conditionalFormatting>
  <conditionalFormatting sqref="P93">
    <cfRule type="cellIs" dxfId="864" priority="2684" operator="equal">
      <formula>AS_DURATION_EFFORT</formula>
    </cfRule>
    <cfRule type="cellIs" dxfId="863" priority="2685" operator="equal">
      <formula>AS_DEV_EFFORT</formula>
    </cfRule>
  </conditionalFormatting>
  <conditionalFormatting sqref="B91:B92">
    <cfRule type="expression" dxfId="862" priority="2683">
      <formula>AD91&lt;&gt;""</formula>
    </cfRule>
  </conditionalFormatting>
  <conditionalFormatting sqref="F93">
    <cfRule type="expression" dxfId="861" priority="2682">
      <formula>$K93&lt;&gt;""</formula>
    </cfRule>
  </conditionalFormatting>
  <conditionalFormatting sqref="C93">
    <cfRule type="expression" dxfId="860" priority="2681">
      <formula>$G93&lt;&gt;"-"</formula>
    </cfRule>
  </conditionalFormatting>
  <conditionalFormatting sqref="D93">
    <cfRule type="expression" dxfId="859" priority="2680">
      <formula>$H93&lt;&gt;"-"</formula>
    </cfRule>
  </conditionalFormatting>
  <conditionalFormatting sqref="E93">
    <cfRule type="expression" dxfId="858" priority="2679">
      <formula>$I93&lt;&gt;"-"</formula>
    </cfRule>
  </conditionalFormatting>
  <conditionalFormatting sqref="B115">
    <cfRule type="expression" dxfId="857" priority="2675">
      <formula>AD115&lt;&gt;""</formula>
    </cfRule>
  </conditionalFormatting>
  <conditionalFormatting sqref="Z115">
    <cfRule type="cellIs" dxfId="856" priority="2673" operator="greaterThan">
      <formula>0</formula>
    </cfRule>
    <cfRule type="cellIs" dxfId="855" priority="2674" operator="lessThan">
      <formula>0</formula>
    </cfRule>
  </conditionalFormatting>
  <conditionalFormatting sqref="S115">
    <cfRule type="cellIs" dxfId="854" priority="2672" operator="lessThan">
      <formula>0</formula>
    </cfRule>
  </conditionalFormatting>
  <conditionalFormatting sqref="T113:T114">
    <cfRule type="expression" dxfId="853" priority="2676">
      <formula>#REF!="Yes"</formula>
    </cfRule>
  </conditionalFormatting>
  <conditionalFormatting sqref="P115">
    <cfRule type="cellIs" dxfId="852" priority="2670" operator="equal">
      <formula>AS_DURATION_EFFORT</formula>
    </cfRule>
    <cfRule type="cellIs" dxfId="851" priority="2671" operator="equal">
      <formula>AS_DEV_EFFORT</formula>
    </cfRule>
  </conditionalFormatting>
  <conditionalFormatting sqref="B113:B114">
    <cfRule type="expression" dxfId="850" priority="2669">
      <formula>AD113&lt;&gt;""</formula>
    </cfRule>
  </conditionalFormatting>
  <conditionalFormatting sqref="F115">
    <cfRule type="expression" dxfId="849" priority="2668">
      <formula>$K115&lt;&gt;""</formula>
    </cfRule>
  </conditionalFormatting>
  <conditionalFormatting sqref="C115">
    <cfRule type="expression" dxfId="848" priority="2667">
      <formula>$G115&lt;&gt;"-"</formula>
    </cfRule>
  </conditionalFormatting>
  <conditionalFormatting sqref="D115">
    <cfRule type="expression" dxfId="847" priority="2666">
      <formula>$H115&lt;&gt;"-"</formula>
    </cfRule>
  </conditionalFormatting>
  <conditionalFormatting sqref="E115">
    <cfRule type="expression" dxfId="846" priority="2665">
      <formula>$I115&lt;&gt;"-"</formula>
    </cfRule>
  </conditionalFormatting>
  <conditionalFormatting sqref="B109">
    <cfRule type="expression" dxfId="845" priority="2661">
      <formula>AD109&lt;&gt;""</formula>
    </cfRule>
  </conditionalFormatting>
  <conditionalFormatting sqref="Z109">
    <cfRule type="cellIs" dxfId="844" priority="2659" operator="greaterThan">
      <formula>0</formula>
    </cfRule>
    <cfRule type="cellIs" dxfId="843" priority="2660" operator="lessThan">
      <formula>0</formula>
    </cfRule>
  </conditionalFormatting>
  <conditionalFormatting sqref="S109">
    <cfRule type="cellIs" dxfId="842" priority="2658" operator="lessThan">
      <formula>0</formula>
    </cfRule>
  </conditionalFormatting>
  <conditionalFormatting sqref="T107:T108">
    <cfRule type="expression" dxfId="841" priority="2662">
      <formula>#REF!="Yes"</formula>
    </cfRule>
  </conditionalFormatting>
  <conditionalFormatting sqref="P109">
    <cfRule type="cellIs" dxfId="840" priority="2656" operator="equal">
      <formula>AS_DURATION_EFFORT</formula>
    </cfRule>
    <cfRule type="cellIs" dxfId="839" priority="2657" operator="equal">
      <formula>AS_DEV_EFFORT</formula>
    </cfRule>
  </conditionalFormatting>
  <conditionalFormatting sqref="B107:B108">
    <cfRule type="expression" dxfId="838" priority="2655">
      <formula>AD107&lt;&gt;""</formula>
    </cfRule>
  </conditionalFormatting>
  <conditionalFormatting sqref="F109">
    <cfRule type="expression" dxfId="837" priority="2654">
      <formula>$K109&lt;&gt;""</formula>
    </cfRule>
  </conditionalFormatting>
  <conditionalFormatting sqref="C109">
    <cfRule type="expression" dxfId="836" priority="2653">
      <formula>$G109&lt;&gt;"-"</formula>
    </cfRule>
  </conditionalFormatting>
  <conditionalFormatting sqref="D109">
    <cfRule type="expression" dxfId="835" priority="2652">
      <formula>$H109&lt;&gt;"-"</formula>
    </cfRule>
  </conditionalFormatting>
  <conditionalFormatting sqref="E109">
    <cfRule type="expression" dxfId="834" priority="2651">
      <formula>$I109&lt;&gt;"-"</formula>
    </cfRule>
  </conditionalFormatting>
  <conditionalFormatting sqref="B100">
    <cfRule type="expression" dxfId="833" priority="2647">
      <formula>AD100&lt;&gt;""</formula>
    </cfRule>
  </conditionalFormatting>
  <conditionalFormatting sqref="Z100">
    <cfRule type="cellIs" dxfId="832" priority="2645" operator="greaterThan">
      <formula>0</formula>
    </cfRule>
    <cfRule type="cellIs" dxfId="831" priority="2646" operator="lessThan">
      <formula>0</formula>
    </cfRule>
  </conditionalFormatting>
  <conditionalFormatting sqref="S100">
    <cfRule type="cellIs" dxfId="830" priority="2644" operator="lessThan">
      <formula>0</formula>
    </cfRule>
  </conditionalFormatting>
  <conditionalFormatting sqref="T98:T99">
    <cfRule type="expression" dxfId="829" priority="2648">
      <formula>#REF!="Yes"</formula>
    </cfRule>
  </conditionalFormatting>
  <conditionalFormatting sqref="P100">
    <cfRule type="cellIs" dxfId="828" priority="2642" operator="equal">
      <formula>AS_DURATION_EFFORT</formula>
    </cfRule>
    <cfRule type="cellIs" dxfId="827" priority="2643" operator="equal">
      <formula>AS_DEV_EFFORT</formula>
    </cfRule>
  </conditionalFormatting>
  <conditionalFormatting sqref="B98:B99">
    <cfRule type="expression" dxfId="826" priority="2641">
      <formula>AD98&lt;&gt;""</formula>
    </cfRule>
  </conditionalFormatting>
  <conditionalFormatting sqref="F100">
    <cfRule type="expression" dxfId="825" priority="2640">
      <formula>$K100&lt;&gt;""</formula>
    </cfRule>
  </conditionalFormatting>
  <conditionalFormatting sqref="C100">
    <cfRule type="expression" dxfId="824" priority="2639">
      <formula>$G100&lt;&gt;"-"</formula>
    </cfRule>
  </conditionalFormatting>
  <conditionalFormatting sqref="D100">
    <cfRule type="expression" dxfId="823" priority="2638">
      <formula>$H100&lt;&gt;"-"</formula>
    </cfRule>
  </conditionalFormatting>
  <conditionalFormatting sqref="E100">
    <cfRule type="expression" dxfId="822" priority="2637">
      <formula>$I100&lt;&gt;"-"</formula>
    </cfRule>
  </conditionalFormatting>
  <conditionalFormatting sqref="S106">
    <cfRule type="expression" dxfId="821" priority="2632">
      <formula>#REF!="Yes"</formula>
    </cfRule>
  </conditionalFormatting>
  <conditionalFormatting sqref="B106">
    <cfRule type="expression" dxfId="820" priority="2631">
      <formula>AD106&lt;&gt;""</formula>
    </cfRule>
  </conditionalFormatting>
  <conditionalFormatting sqref="B23">
    <cfRule type="expression" dxfId="819" priority="2627">
      <formula>AD23&lt;&gt;""</formula>
    </cfRule>
  </conditionalFormatting>
  <conditionalFormatting sqref="Z23">
    <cfRule type="cellIs" dxfId="818" priority="2625" operator="greaterThan">
      <formula>0</formula>
    </cfRule>
    <cfRule type="cellIs" dxfId="817" priority="2626" operator="lessThan">
      <formula>0</formula>
    </cfRule>
  </conditionalFormatting>
  <conditionalFormatting sqref="S23">
    <cfRule type="cellIs" dxfId="816" priority="2624" operator="lessThan">
      <formula>0</formula>
    </cfRule>
  </conditionalFormatting>
  <conditionalFormatting sqref="T20:T21">
    <cfRule type="expression" dxfId="815" priority="2628">
      <formula>#REF!="Yes"</formula>
    </cfRule>
  </conditionalFormatting>
  <conditionalFormatting sqref="P23">
    <cfRule type="cellIs" dxfId="814" priority="2622" operator="equal">
      <formula>AS_DURATION_EFFORT</formula>
    </cfRule>
    <cfRule type="cellIs" dxfId="813" priority="2623" operator="equal">
      <formula>AS_DEV_EFFORT</formula>
    </cfRule>
  </conditionalFormatting>
  <conditionalFormatting sqref="B20:B21">
    <cfRule type="expression" dxfId="812" priority="2621">
      <formula>AD20&lt;&gt;""</formula>
    </cfRule>
  </conditionalFormatting>
  <conditionalFormatting sqref="F23">
    <cfRule type="expression" dxfId="811" priority="2620">
      <formula>$K23&lt;&gt;""</formula>
    </cfRule>
  </conditionalFormatting>
  <conditionalFormatting sqref="C23">
    <cfRule type="expression" dxfId="810" priority="2619">
      <formula>$G23&lt;&gt;"-"</formula>
    </cfRule>
  </conditionalFormatting>
  <conditionalFormatting sqref="D23">
    <cfRule type="expression" dxfId="809" priority="2618">
      <formula>$H23&lt;&gt;"-"</formula>
    </cfRule>
  </conditionalFormatting>
  <conditionalFormatting sqref="E23">
    <cfRule type="expression" dxfId="808" priority="2617">
      <formula>$I23&lt;&gt;"-"</formula>
    </cfRule>
  </conditionalFormatting>
  <conditionalFormatting sqref="B24">
    <cfRule type="expression" dxfId="807" priority="2614">
      <formula>AD24&lt;&gt;""</formula>
    </cfRule>
  </conditionalFormatting>
  <conditionalFormatting sqref="Z24">
    <cfRule type="cellIs" dxfId="806" priority="2612" operator="greaterThan">
      <formula>0</formula>
    </cfRule>
    <cfRule type="cellIs" dxfId="805" priority="2613" operator="lessThan">
      <formula>0</formula>
    </cfRule>
  </conditionalFormatting>
  <conditionalFormatting sqref="S24">
    <cfRule type="cellIs" dxfId="804" priority="2611" operator="lessThan">
      <formula>0</formula>
    </cfRule>
  </conditionalFormatting>
  <conditionalFormatting sqref="P24">
    <cfRule type="cellIs" dxfId="803" priority="2609" operator="equal">
      <formula>AS_DURATION_EFFORT</formula>
    </cfRule>
    <cfRule type="cellIs" dxfId="802" priority="2610" operator="equal">
      <formula>AS_DEV_EFFORT</formula>
    </cfRule>
  </conditionalFormatting>
  <conditionalFormatting sqref="F24">
    <cfRule type="expression" dxfId="801" priority="2608">
      <formula>$K24&lt;&gt;""</formula>
    </cfRule>
  </conditionalFormatting>
  <conditionalFormatting sqref="C24">
    <cfRule type="expression" dxfId="800" priority="2607">
      <formula>$G24&lt;&gt;"-"</formula>
    </cfRule>
  </conditionalFormatting>
  <conditionalFormatting sqref="D24">
    <cfRule type="expression" dxfId="799" priority="2606">
      <formula>$H24&lt;&gt;"-"</formula>
    </cfRule>
  </conditionalFormatting>
  <conditionalFormatting sqref="E24">
    <cfRule type="expression" dxfId="798" priority="2605">
      <formula>$I24&lt;&gt;"-"</formula>
    </cfRule>
  </conditionalFormatting>
  <conditionalFormatting sqref="B68">
    <cfRule type="expression" dxfId="797" priority="2551">
      <formula>AD68&lt;&gt;""</formula>
    </cfRule>
  </conditionalFormatting>
  <conditionalFormatting sqref="Z68">
    <cfRule type="cellIs" dxfId="796" priority="2549" operator="greaterThan">
      <formula>0</formula>
    </cfRule>
    <cfRule type="cellIs" dxfId="795" priority="2550" operator="lessThan">
      <formula>0</formula>
    </cfRule>
  </conditionalFormatting>
  <conditionalFormatting sqref="S68">
    <cfRule type="cellIs" dxfId="794" priority="2548" operator="lessThan">
      <formula>0</formula>
    </cfRule>
  </conditionalFormatting>
  <conditionalFormatting sqref="T66:T67">
    <cfRule type="expression" dxfId="793" priority="2552">
      <formula>#REF!="Yes"</formula>
    </cfRule>
  </conditionalFormatting>
  <conditionalFormatting sqref="P68">
    <cfRule type="cellIs" dxfId="792" priority="2546" operator="equal">
      <formula>AS_DURATION_EFFORT</formula>
    </cfRule>
    <cfRule type="cellIs" dxfId="791" priority="2547" operator="equal">
      <formula>AS_DEV_EFFORT</formula>
    </cfRule>
  </conditionalFormatting>
  <conditionalFormatting sqref="B66:B67">
    <cfRule type="expression" dxfId="790" priority="2545">
      <formula>AD66&lt;&gt;""</formula>
    </cfRule>
  </conditionalFormatting>
  <conditionalFormatting sqref="F68">
    <cfRule type="expression" dxfId="789" priority="2544">
      <formula>$K68&lt;&gt;""</formula>
    </cfRule>
  </conditionalFormatting>
  <conditionalFormatting sqref="C68">
    <cfRule type="expression" dxfId="788" priority="2543">
      <formula>$G68&lt;&gt;"-"</formula>
    </cfRule>
  </conditionalFormatting>
  <conditionalFormatting sqref="D68">
    <cfRule type="expression" dxfId="787" priority="2542">
      <formula>$H68&lt;&gt;"-"</formula>
    </cfRule>
  </conditionalFormatting>
  <conditionalFormatting sqref="E68">
    <cfRule type="expression" dxfId="786" priority="2541">
      <formula>$I68&lt;&gt;"-"</formula>
    </cfRule>
  </conditionalFormatting>
  <conditionalFormatting sqref="B72">
    <cfRule type="expression" dxfId="785" priority="2537">
      <formula>AD72&lt;&gt;""</formula>
    </cfRule>
  </conditionalFormatting>
  <conditionalFormatting sqref="Z72">
    <cfRule type="cellIs" dxfId="784" priority="2535" operator="greaterThan">
      <formula>0</formula>
    </cfRule>
    <cfRule type="cellIs" dxfId="783" priority="2536" operator="lessThan">
      <formula>0</formula>
    </cfRule>
  </conditionalFormatting>
  <conditionalFormatting sqref="S72">
    <cfRule type="cellIs" dxfId="782" priority="2534" operator="lessThan">
      <formula>0</formula>
    </cfRule>
  </conditionalFormatting>
  <conditionalFormatting sqref="T70:T71">
    <cfRule type="expression" dxfId="781" priority="2538">
      <formula>#REF!="Yes"</formula>
    </cfRule>
  </conditionalFormatting>
  <conditionalFormatting sqref="P72">
    <cfRule type="cellIs" dxfId="780" priority="2532" operator="equal">
      <formula>AS_DURATION_EFFORT</formula>
    </cfRule>
    <cfRule type="cellIs" dxfId="779" priority="2533" operator="equal">
      <formula>AS_DEV_EFFORT</formula>
    </cfRule>
  </conditionalFormatting>
  <conditionalFormatting sqref="B70:B71">
    <cfRule type="expression" dxfId="778" priority="2531">
      <formula>AD70&lt;&gt;""</formula>
    </cfRule>
  </conditionalFormatting>
  <conditionalFormatting sqref="F72">
    <cfRule type="expression" dxfId="777" priority="2530">
      <formula>$K72&lt;&gt;""</formula>
    </cfRule>
  </conditionalFormatting>
  <conditionalFormatting sqref="C72">
    <cfRule type="expression" dxfId="776" priority="2529">
      <formula>$G72&lt;&gt;"-"</formula>
    </cfRule>
  </conditionalFormatting>
  <conditionalFormatting sqref="D72">
    <cfRule type="expression" dxfId="775" priority="2528">
      <formula>$H72&lt;&gt;"-"</formula>
    </cfRule>
  </conditionalFormatting>
  <conditionalFormatting sqref="E72">
    <cfRule type="expression" dxfId="774" priority="2527">
      <formula>$I72&lt;&gt;"-"</formula>
    </cfRule>
  </conditionalFormatting>
  <conditionalFormatting sqref="B79">
    <cfRule type="expression" dxfId="773" priority="2523">
      <formula>AD79&lt;&gt;""</formula>
    </cfRule>
  </conditionalFormatting>
  <conditionalFormatting sqref="Z79">
    <cfRule type="cellIs" dxfId="772" priority="2521" operator="greaterThan">
      <formula>0</formula>
    </cfRule>
    <cfRule type="cellIs" dxfId="771" priority="2522" operator="lessThan">
      <formula>0</formula>
    </cfRule>
  </conditionalFormatting>
  <conditionalFormatting sqref="S79">
    <cfRule type="cellIs" dxfId="770" priority="2520" operator="lessThan">
      <formula>0</formula>
    </cfRule>
  </conditionalFormatting>
  <conditionalFormatting sqref="T77:T78">
    <cfRule type="expression" dxfId="769" priority="2524">
      <formula>#REF!="Yes"</formula>
    </cfRule>
  </conditionalFormatting>
  <conditionalFormatting sqref="P79">
    <cfRule type="cellIs" dxfId="768" priority="2518" operator="equal">
      <formula>AS_DURATION_EFFORT</formula>
    </cfRule>
    <cfRule type="cellIs" dxfId="767" priority="2519" operator="equal">
      <formula>AS_DEV_EFFORT</formula>
    </cfRule>
  </conditionalFormatting>
  <conditionalFormatting sqref="B77:B78">
    <cfRule type="expression" dxfId="766" priority="2517">
      <formula>AD77&lt;&gt;""</formula>
    </cfRule>
  </conditionalFormatting>
  <conditionalFormatting sqref="F79">
    <cfRule type="expression" dxfId="765" priority="2516">
      <formula>$K79&lt;&gt;""</formula>
    </cfRule>
  </conditionalFormatting>
  <conditionalFormatting sqref="C79">
    <cfRule type="expression" dxfId="764" priority="2515">
      <formula>$G79&lt;&gt;"-"</formula>
    </cfRule>
  </conditionalFormatting>
  <conditionalFormatting sqref="D79">
    <cfRule type="expression" dxfId="763" priority="2514">
      <formula>$H79&lt;&gt;"-"</formula>
    </cfRule>
  </conditionalFormatting>
  <conditionalFormatting sqref="E79">
    <cfRule type="expression" dxfId="762" priority="2513">
      <formula>$I79&lt;&gt;"-"</formula>
    </cfRule>
  </conditionalFormatting>
  <conditionalFormatting sqref="B64">
    <cfRule type="expression" dxfId="761" priority="2482">
      <formula>AD64&lt;&gt;""</formula>
    </cfRule>
  </conditionalFormatting>
  <conditionalFormatting sqref="Z64">
    <cfRule type="cellIs" dxfId="760" priority="2480" operator="greaterThan">
      <formula>0</formula>
    </cfRule>
    <cfRule type="cellIs" dxfId="759" priority="2481" operator="lessThan">
      <formula>0</formula>
    </cfRule>
  </conditionalFormatting>
  <conditionalFormatting sqref="S64">
    <cfRule type="cellIs" dxfId="758" priority="2479" operator="lessThan">
      <formula>0</formula>
    </cfRule>
  </conditionalFormatting>
  <conditionalFormatting sqref="P64">
    <cfRule type="cellIs" dxfId="757" priority="2477" operator="equal">
      <formula>AS_DURATION_EFFORT</formula>
    </cfRule>
    <cfRule type="cellIs" dxfId="756" priority="2478" operator="equal">
      <formula>AS_DEV_EFFORT</formula>
    </cfRule>
  </conditionalFormatting>
  <conditionalFormatting sqref="F64">
    <cfRule type="expression" dxfId="755" priority="2476">
      <formula>$K64&lt;&gt;""</formula>
    </cfRule>
  </conditionalFormatting>
  <conditionalFormatting sqref="C64">
    <cfRule type="expression" dxfId="754" priority="2475">
      <formula>$G64&lt;&gt;"-"</formula>
    </cfRule>
  </conditionalFormatting>
  <conditionalFormatting sqref="D64">
    <cfRule type="expression" dxfId="753" priority="2474">
      <formula>$H64&lt;&gt;"-"</formula>
    </cfRule>
  </conditionalFormatting>
  <conditionalFormatting sqref="E64">
    <cfRule type="expression" dxfId="752" priority="2473">
      <formula>$I64&lt;&gt;"-"</formula>
    </cfRule>
  </conditionalFormatting>
  <conditionalFormatting sqref="B73">
    <cfRule type="expression" dxfId="751" priority="2470">
      <formula>AD73&lt;&gt;""</formula>
    </cfRule>
  </conditionalFormatting>
  <conditionalFormatting sqref="Z73">
    <cfRule type="cellIs" dxfId="750" priority="2468" operator="greaterThan">
      <formula>0</formula>
    </cfRule>
    <cfRule type="cellIs" dxfId="749" priority="2469" operator="lessThan">
      <formula>0</formula>
    </cfRule>
  </conditionalFormatting>
  <conditionalFormatting sqref="S73">
    <cfRule type="cellIs" dxfId="748" priority="2467" operator="lessThan">
      <formula>0</formula>
    </cfRule>
  </conditionalFormatting>
  <conditionalFormatting sqref="P73">
    <cfRule type="cellIs" dxfId="747" priority="2465" operator="equal">
      <formula>AS_DURATION_EFFORT</formula>
    </cfRule>
    <cfRule type="cellIs" dxfId="746" priority="2466" operator="equal">
      <formula>AS_DEV_EFFORT</formula>
    </cfRule>
  </conditionalFormatting>
  <conditionalFormatting sqref="F73">
    <cfRule type="expression" dxfId="745" priority="2464">
      <formula>$K73&lt;&gt;""</formula>
    </cfRule>
  </conditionalFormatting>
  <conditionalFormatting sqref="C73">
    <cfRule type="expression" dxfId="744" priority="2463">
      <formula>$G73&lt;&gt;"-"</formula>
    </cfRule>
  </conditionalFormatting>
  <conditionalFormatting sqref="D73">
    <cfRule type="expression" dxfId="743" priority="2462">
      <formula>$H73&lt;&gt;"-"</formula>
    </cfRule>
  </conditionalFormatting>
  <conditionalFormatting sqref="E73">
    <cfRule type="expression" dxfId="742" priority="2461">
      <formula>$I73&lt;&gt;"-"</formula>
    </cfRule>
  </conditionalFormatting>
  <conditionalFormatting sqref="B74">
    <cfRule type="expression" dxfId="741" priority="2458">
      <formula>AD74&lt;&gt;""</formula>
    </cfRule>
  </conditionalFormatting>
  <conditionalFormatting sqref="Z74">
    <cfRule type="cellIs" dxfId="740" priority="2456" operator="greaterThan">
      <formula>0</formula>
    </cfRule>
    <cfRule type="cellIs" dxfId="739" priority="2457" operator="lessThan">
      <formula>0</formula>
    </cfRule>
  </conditionalFormatting>
  <conditionalFormatting sqref="S74">
    <cfRule type="cellIs" dxfId="738" priority="2455" operator="lessThan">
      <formula>0</formula>
    </cfRule>
  </conditionalFormatting>
  <conditionalFormatting sqref="P74">
    <cfRule type="cellIs" dxfId="737" priority="2453" operator="equal">
      <formula>AS_DURATION_EFFORT</formula>
    </cfRule>
    <cfRule type="cellIs" dxfId="736" priority="2454" operator="equal">
      <formula>AS_DEV_EFFORT</formula>
    </cfRule>
  </conditionalFormatting>
  <conditionalFormatting sqref="F74">
    <cfRule type="expression" dxfId="735" priority="2452">
      <formula>$K74&lt;&gt;""</formula>
    </cfRule>
  </conditionalFormatting>
  <conditionalFormatting sqref="C74">
    <cfRule type="expression" dxfId="734" priority="2451">
      <formula>$G74&lt;&gt;"-"</formula>
    </cfRule>
  </conditionalFormatting>
  <conditionalFormatting sqref="D74">
    <cfRule type="expression" dxfId="733" priority="2450">
      <formula>$H74&lt;&gt;"-"</formula>
    </cfRule>
  </conditionalFormatting>
  <conditionalFormatting sqref="E74">
    <cfRule type="expression" dxfId="732" priority="2449">
      <formula>$I74&lt;&gt;"-"</formula>
    </cfRule>
  </conditionalFormatting>
  <conditionalFormatting sqref="B75">
    <cfRule type="expression" dxfId="731" priority="2446">
      <formula>AD75&lt;&gt;""</formula>
    </cfRule>
  </conditionalFormatting>
  <conditionalFormatting sqref="Z75">
    <cfRule type="cellIs" dxfId="730" priority="2444" operator="greaterThan">
      <formula>0</formula>
    </cfRule>
    <cfRule type="cellIs" dxfId="729" priority="2445" operator="lessThan">
      <formula>0</formula>
    </cfRule>
  </conditionalFormatting>
  <conditionalFormatting sqref="S75">
    <cfRule type="cellIs" dxfId="728" priority="2443" operator="lessThan">
      <formula>0</formula>
    </cfRule>
  </conditionalFormatting>
  <conditionalFormatting sqref="P75">
    <cfRule type="cellIs" dxfId="727" priority="2441" operator="equal">
      <formula>AS_DURATION_EFFORT</formula>
    </cfRule>
    <cfRule type="cellIs" dxfId="726" priority="2442" operator="equal">
      <formula>AS_DEV_EFFORT</formula>
    </cfRule>
  </conditionalFormatting>
  <conditionalFormatting sqref="F75">
    <cfRule type="expression" dxfId="725" priority="2440">
      <formula>$K75&lt;&gt;""</formula>
    </cfRule>
  </conditionalFormatting>
  <conditionalFormatting sqref="C75">
    <cfRule type="expression" dxfId="724" priority="2439">
      <formula>$G75&lt;&gt;"-"</formula>
    </cfRule>
  </conditionalFormatting>
  <conditionalFormatting sqref="D75">
    <cfRule type="expression" dxfId="723" priority="2438">
      <formula>$H75&lt;&gt;"-"</formula>
    </cfRule>
  </conditionalFormatting>
  <conditionalFormatting sqref="E75">
    <cfRule type="expression" dxfId="722" priority="2437">
      <formula>$I75&lt;&gt;"-"</formula>
    </cfRule>
  </conditionalFormatting>
  <conditionalFormatting sqref="B86">
    <cfRule type="expression" dxfId="721" priority="2398">
      <formula>AD86&lt;&gt;""</formula>
    </cfRule>
  </conditionalFormatting>
  <conditionalFormatting sqref="Z86">
    <cfRule type="cellIs" dxfId="720" priority="2396" operator="greaterThan">
      <formula>0</formula>
    </cfRule>
    <cfRule type="cellIs" dxfId="719" priority="2397" operator="lessThan">
      <formula>0</formula>
    </cfRule>
  </conditionalFormatting>
  <conditionalFormatting sqref="S86">
    <cfRule type="cellIs" dxfId="718" priority="2395" operator="lessThan">
      <formula>0</formula>
    </cfRule>
  </conditionalFormatting>
  <conditionalFormatting sqref="P86">
    <cfRule type="cellIs" dxfId="717" priority="2393" operator="equal">
      <formula>AS_DURATION_EFFORT</formula>
    </cfRule>
    <cfRule type="cellIs" dxfId="716" priority="2394" operator="equal">
      <formula>AS_DEV_EFFORT</formula>
    </cfRule>
  </conditionalFormatting>
  <conditionalFormatting sqref="F86">
    <cfRule type="expression" dxfId="715" priority="2392">
      <formula>$K86&lt;&gt;""</formula>
    </cfRule>
  </conditionalFormatting>
  <conditionalFormatting sqref="C86">
    <cfRule type="expression" dxfId="714" priority="2391">
      <formula>$G86&lt;&gt;"-"</formula>
    </cfRule>
  </conditionalFormatting>
  <conditionalFormatting sqref="D86">
    <cfRule type="expression" dxfId="713" priority="2390">
      <formula>$H86&lt;&gt;"-"</formula>
    </cfRule>
  </conditionalFormatting>
  <conditionalFormatting sqref="E86">
    <cfRule type="expression" dxfId="712" priority="2389">
      <formula>$I86&lt;&gt;"-"</formula>
    </cfRule>
  </conditionalFormatting>
  <conditionalFormatting sqref="B85">
    <cfRule type="expression" dxfId="711" priority="2386">
      <formula>AD85&lt;&gt;""</formula>
    </cfRule>
  </conditionalFormatting>
  <conditionalFormatting sqref="Z85">
    <cfRule type="cellIs" dxfId="710" priority="2384" operator="greaterThan">
      <formula>0</formula>
    </cfRule>
    <cfRule type="cellIs" dxfId="709" priority="2385" operator="lessThan">
      <formula>0</formula>
    </cfRule>
  </conditionalFormatting>
  <conditionalFormatting sqref="S85">
    <cfRule type="cellIs" dxfId="708" priority="2383" operator="lessThan">
      <formula>0</formula>
    </cfRule>
  </conditionalFormatting>
  <conditionalFormatting sqref="P85">
    <cfRule type="cellIs" dxfId="707" priority="2381" operator="equal">
      <formula>AS_DURATION_EFFORT</formula>
    </cfRule>
    <cfRule type="cellIs" dxfId="706" priority="2382" operator="equal">
      <formula>AS_DEV_EFFORT</formula>
    </cfRule>
  </conditionalFormatting>
  <conditionalFormatting sqref="F85">
    <cfRule type="expression" dxfId="705" priority="2380">
      <formula>$K85&lt;&gt;""</formula>
    </cfRule>
  </conditionalFormatting>
  <conditionalFormatting sqref="C85">
    <cfRule type="expression" dxfId="704" priority="2379">
      <formula>$G85&lt;&gt;"-"</formula>
    </cfRule>
  </conditionalFormatting>
  <conditionalFormatting sqref="D85">
    <cfRule type="expression" dxfId="703" priority="2378">
      <formula>$H85&lt;&gt;"-"</formula>
    </cfRule>
  </conditionalFormatting>
  <conditionalFormatting sqref="E85">
    <cfRule type="expression" dxfId="702" priority="2377">
      <formula>$I85&lt;&gt;"-"</formula>
    </cfRule>
  </conditionalFormatting>
  <conditionalFormatting sqref="B84">
    <cfRule type="expression" dxfId="701" priority="2374">
      <formula>AD84&lt;&gt;""</formula>
    </cfRule>
  </conditionalFormatting>
  <conditionalFormatting sqref="Z84">
    <cfRule type="cellIs" dxfId="700" priority="2372" operator="greaterThan">
      <formula>0</formula>
    </cfRule>
    <cfRule type="cellIs" dxfId="699" priority="2373" operator="lessThan">
      <formula>0</formula>
    </cfRule>
  </conditionalFormatting>
  <conditionalFormatting sqref="S84">
    <cfRule type="cellIs" dxfId="698" priority="2371" operator="lessThan">
      <formula>0</formula>
    </cfRule>
  </conditionalFormatting>
  <conditionalFormatting sqref="P84">
    <cfRule type="cellIs" dxfId="697" priority="2369" operator="equal">
      <formula>AS_DURATION_EFFORT</formula>
    </cfRule>
    <cfRule type="cellIs" dxfId="696" priority="2370" operator="equal">
      <formula>AS_DEV_EFFORT</formula>
    </cfRule>
  </conditionalFormatting>
  <conditionalFormatting sqref="F84">
    <cfRule type="expression" dxfId="695" priority="2368">
      <formula>$K84&lt;&gt;""</formula>
    </cfRule>
  </conditionalFormatting>
  <conditionalFormatting sqref="C84">
    <cfRule type="expression" dxfId="694" priority="2367">
      <formula>$G84&lt;&gt;"-"</formula>
    </cfRule>
  </conditionalFormatting>
  <conditionalFormatting sqref="D84">
    <cfRule type="expression" dxfId="693" priority="2366">
      <formula>$H84&lt;&gt;"-"</formula>
    </cfRule>
  </conditionalFormatting>
  <conditionalFormatting sqref="E84">
    <cfRule type="expression" dxfId="692" priority="2365">
      <formula>$I84&lt;&gt;"-"</formula>
    </cfRule>
  </conditionalFormatting>
  <conditionalFormatting sqref="B83">
    <cfRule type="expression" dxfId="691" priority="2362">
      <formula>AD83&lt;&gt;""</formula>
    </cfRule>
  </conditionalFormatting>
  <conditionalFormatting sqref="Z83">
    <cfRule type="cellIs" dxfId="690" priority="2360" operator="greaterThan">
      <formula>0</formula>
    </cfRule>
    <cfRule type="cellIs" dxfId="689" priority="2361" operator="lessThan">
      <formula>0</formula>
    </cfRule>
  </conditionalFormatting>
  <conditionalFormatting sqref="S83">
    <cfRule type="cellIs" dxfId="688" priority="2359" operator="lessThan">
      <formula>0</formula>
    </cfRule>
  </conditionalFormatting>
  <conditionalFormatting sqref="P83">
    <cfRule type="cellIs" dxfId="687" priority="2357" operator="equal">
      <formula>AS_DURATION_EFFORT</formula>
    </cfRule>
    <cfRule type="cellIs" dxfId="686" priority="2358" operator="equal">
      <formula>AS_DEV_EFFORT</formula>
    </cfRule>
  </conditionalFormatting>
  <conditionalFormatting sqref="F83">
    <cfRule type="expression" dxfId="685" priority="2356">
      <formula>$K83&lt;&gt;""</formula>
    </cfRule>
  </conditionalFormatting>
  <conditionalFormatting sqref="C83">
    <cfRule type="expression" dxfId="684" priority="2355">
      <formula>$G83&lt;&gt;"-"</formula>
    </cfRule>
  </conditionalFormatting>
  <conditionalFormatting sqref="D83">
    <cfRule type="expression" dxfId="683" priority="2354">
      <formula>$H83&lt;&gt;"-"</formula>
    </cfRule>
  </conditionalFormatting>
  <conditionalFormatting sqref="E83">
    <cfRule type="expression" dxfId="682" priority="2353">
      <formula>$I83&lt;&gt;"-"</formula>
    </cfRule>
  </conditionalFormatting>
  <conditionalFormatting sqref="B82">
    <cfRule type="expression" dxfId="681" priority="2350">
      <formula>AD82&lt;&gt;""</formula>
    </cfRule>
  </conditionalFormatting>
  <conditionalFormatting sqref="Z82">
    <cfRule type="cellIs" dxfId="680" priority="2348" operator="greaterThan">
      <formula>0</formula>
    </cfRule>
    <cfRule type="cellIs" dxfId="679" priority="2349" operator="lessThan">
      <formula>0</formula>
    </cfRule>
  </conditionalFormatting>
  <conditionalFormatting sqref="S82">
    <cfRule type="cellIs" dxfId="678" priority="2347" operator="lessThan">
      <formula>0</formula>
    </cfRule>
  </conditionalFormatting>
  <conditionalFormatting sqref="P82">
    <cfRule type="cellIs" dxfId="677" priority="2345" operator="equal">
      <formula>AS_DURATION_EFFORT</formula>
    </cfRule>
    <cfRule type="cellIs" dxfId="676" priority="2346" operator="equal">
      <formula>AS_DEV_EFFORT</formula>
    </cfRule>
  </conditionalFormatting>
  <conditionalFormatting sqref="F82">
    <cfRule type="expression" dxfId="675" priority="2344">
      <formula>$K82&lt;&gt;""</formula>
    </cfRule>
  </conditionalFormatting>
  <conditionalFormatting sqref="C82">
    <cfRule type="expression" dxfId="674" priority="2343">
      <formula>$G82&lt;&gt;"-"</formula>
    </cfRule>
  </conditionalFormatting>
  <conditionalFormatting sqref="D82">
    <cfRule type="expression" dxfId="673" priority="2342">
      <formula>$H82&lt;&gt;"-"</formula>
    </cfRule>
  </conditionalFormatting>
  <conditionalFormatting sqref="E82">
    <cfRule type="expression" dxfId="672" priority="2341">
      <formula>$I82&lt;&gt;"-"</formula>
    </cfRule>
  </conditionalFormatting>
  <conditionalFormatting sqref="B81">
    <cfRule type="expression" dxfId="671" priority="2338">
      <formula>AD81&lt;&gt;""</formula>
    </cfRule>
  </conditionalFormatting>
  <conditionalFormatting sqref="Z81">
    <cfRule type="cellIs" dxfId="670" priority="2336" operator="greaterThan">
      <formula>0</formula>
    </cfRule>
    <cfRule type="cellIs" dxfId="669" priority="2337" operator="lessThan">
      <formula>0</formula>
    </cfRule>
  </conditionalFormatting>
  <conditionalFormatting sqref="S81">
    <cfRule type="cellIs" dxfId="668" priority="2335" operator="lessThan">
      <formula>0</formula>
    </cfRule>
  </conditionalFormatting>
  <conditionalFormatting sqref="P81">
    <cfRule type="cellIs" dxfId="667" priority="2333" operator="equal">
      <formula>AS_DURATION_EFFORT</formula>
    </cfRule>
    <cfRule type="cellIs" dxfId="666" priority="2334" operator="equal">
      <formula>AS_DEV_EFFORT</formula>
    </cfRule>
  </conditionalFormatting>
  <conditionalFormatting sqref="F81">
    <cfRule type="expression" dxfId="665" priority="2332">
      <formula>$K81&lt;&gt;""</formula>
    </cfRule>
  </conditionalFormatting>
  <conditionalFormatting sqref="C81">
    <cfRule type="expression" dxfId="664" priority="2331">
      <formula>$G81&lt;&gt;"-"</formula>
    </cfRule>
  </conditionalFormatting>
  <conditionalFormatting sqref="D81">
    <cfRule type="expression" dxfId="663" priority="2330">
      <formula>$H81&lt;&gt;"-"</formula>
    </cfRule>
  </conditionalFormatting>
  <conditionalFormatting sqref="E81">
    <cfRule type="expression" dxfId="662" priority="2329">
      <formula>$I81&lt;&gt;"-"</formula>
    </cfRule>
  </conditionalFormatting>
  <conditionalFormatting sqref="B80">
    <cfRule type="expression" dxfId="661" priority="2326">
      <formula>AD80&lt;&gt;""</formula>
    </cfRule>
  </conditionalFormatting>
  <conditionalFormatting sqref="Z80">
    <cfRule type="cellIs" dxfId="660" priority="2324" operator="greaterThan">
      <formula>0</formula>
    </cfRule>
    <cfRule type="cellIs" dxfId="659" priority="2325" operator="lessThan">
      <formula>0</formula>
    </cfRule>
  </conditionalFormatting>
  <conditionalFormatting sqref="S80">
    <cfRule type="cellIs" dxfId="658" priority="2323" operator="lessThan">
      <formula>0</formula>
    </cfRule>
  </conditionalFormatting>
  <conditionalFormatting sqref="P80">
    <cfRule type="cellIs" dxfId="657" priority="2321" operator="equal">
      <formula>AS_DURATION_EFFORT</formula>
    </cfRule>
    <cfRule type="cellIs" dxfId="656" priority="2322" operator="equal">
      <formula>AS_DEV_EFFORT</formula>
    </cfRule>
  </conditionalFormatting>
  <conditionalFormatting sqref="F80">
    <cfRule type="expression" dxfId="655" priority="2320">
      <formula>$K80&lt;&gt;""</formula>
    </cfRule>
  </conditionalFormatting>
  <conditionalFormatting sqref="C80">
    <cfRule type="expression" dxfId="654" priority="2319">
      <formula>$G80&lt;&gt;"-"</formula>
    </cfRule>
  </conditionalFormatting>
  <conditionalFormatting sqref="D80">
    <cfRule type="expression" dxfId="653" priority="2318">
      <formula>$H80&lt;&gt;"-"</formula>
    </cfRule>
  </conditionalFormatting>
  <conditionalFormatting sqref="E80">
    <cfRule type="expression" dxfId="652" priority="2317">
      <formula>$I80&lt;&gt;"-"</formula>
    </cfRule>
  </conditionalFormatting>
  <conditionalFormatting sqref="B96">
    <cfRule type="expression" dxfId="651" priority="2278">
      <formula>AD96&lt;&gt;""</formula>
    </cfRule>
  </conditionalFormatting>
  <conditionalFormatting sqref="Z96">
    <cfRule type="cellIs" dxfId="650" priority="2276" operator="greaterThan">
      <formula>0</formula>
    </cfRule>
    <cfRule type="cellIs" dxfId="649" priority="2277" operator="lessThan">
      <formula>0</formula>
    </cfRule>
  </conditionalFormatting>
  <conditionalFormatting sqref="S96">
    <cfRule type="cellIs" dxfId="648" priority="2275" operator="lessThan">
      <formula>0</formula>
    </cfRule>
  </conditionalFormatting>
  <conditionalFormatting sqref="P96">
    <cfRule type="cellIs" dxfId="647" priority="2273" operator="equal">
      <formula>AS_DURATION_EFFORT</formula>
    </cfRule>
    <cfRule type="cellIs" dxfId="646" priority="2274" operator="equal">
      <formula>AS_DEV_EFFORT</formula>
    </cfRule>
  </conditionalFormatting>
  <conditionalFormatting sqref="F96">
    <cfRule type="expression" dxfId="645" priority="2272">
      <formula>$K96&lt;&gt;""</formula>
    </cfRule>
  </conditionalFormatting>
  <conditionalFormatting sqref="C96">
    <cfRule type="expression" dxfId="644" priority="2271">
      <formula>$G96&lt;&gt;"-"</formula>
    </cfRule>
  </conditionalFormatting>
  <conditionalFormatting sqref="D96">
    <cfRule type="expression" dxfId="643" priority="2270">
      <formula>$H96&lt;&gt;"-"</formula>
    </cfRule>
  </conditionalFormatting>
  <conditionalFormatting sqref="E96">
    <cfRule type="expression" dxfId="642" priority="2269">
      <formula>$I96&lt;&gt;"-"</formula>
    </cfRule>
  </conditionalFormatting>
  <conditionalFormatting sqref="B95">
    <cfRule type="expression" dxfId="641" priority="2266">
      <formula>AD95&lt;&gt;""</formula>
    </cfRule>
  </conditionalFormatting>
  <conditionalFormatting sqref="Z95">
    <cfRule type="cellIs" dxfId="640" priority="2264" operator="greaterThan">
      <formula>0</formula>
    </cfRule>
    <cfRule type="cellIs" dxfId="639" priority="2265" operator="lessThan">
      <formula>0</formula>
    </cfRule>
  </conditionalFormatting>
  <conditionalFormatting sqref="S95">
    <cfRule type="cellIs" dxfId="638" priority="2263" operator="lessThan">
      <formula>0</formula>
    </cfRule>
  </conditionalFormatting>
  <conditionalFormatting sqref="P95">
    <cfRule type="cellIs" dxfId="637" priority="2261" operator="equal">
      <formula>AS_DURATION_EFFORT</formula>
    </cfRule>
    <cfRule type="cellIs" dxfId="636" priority="2262" operator="equal">
      <formula>AS_DEV_EFFORT</formula>
    </cfRule>
  </conditionalFormatting>
  <conditionalFormatting sqref="F95">
    <cfRule type="expression" dxfId="635" priority="2260">
      <formula>$K95&lt;&gt;""</formula>
    </cfRule>
  </conditionalFormatting>
  <conditionalFormatting sqref="C95">
    <cfRule type="expression" dxfId="634" priority="2259">
      <formula>$G95&lt;&gt;"-"</formula>
    </cfRule>
  </conditionalFormatting>
  <conditionalFormatting sqref="D95">
    <cfRule type="expression" dxfId="633" priority="2258">
      <formula>$H95&lt;&gt;"-"</formula>
    </cfRule>
  </conditionalFormatting>
  <conditionalFormatting sqref="E95">
    <cfRule type="expression" dxfId="632" priority="2257">
      <formula>$I95&lt;&gt;"-"</formula>
    </cfRule>
  </conditionalFormatting>
  <conditionalFormatting sqref="B94">
    <cfRule type="expression" dxfId="631" priority="2254">
      <formula>AD94&lt;&gt;""</formula>
    </cfRule>
  </conditionalFormatting>
  <conditionalFormatting sqref="Z94">
    <cfRule type="cellIs" dxfId="630" priority="2252" operator="greaterThan">
      <formula>0</formula>
    </cfRule>
    <cfRule type="cellIs" dxfId="629" priority="2253" operator="lessThan">
      <formula>0</formula>
    </cfRule>
  </conditionalFormatting>
  <conditionalFormatting sqref="S94">
    <cfRule type="cellIs" dxfId="628" priority="2251" operator="lessThan">
      <formula>0</formula>
    </cfRule>
  </conditionalFormatting>
  <conditionalFormatting sqref="P94">
    <cfRule type="cellIs" dxfId="627" priority="2249" operator="equal">
      <formula>AS_DURATION_EFFORT</formula>
    </cfRule>
    <cfRule type="cellIs" dxfId="626" priority="2250" operator="equal">
      <formula>AS_DEV_EFFORT</formula>
    </cfRule>
  </conditionalFormatting>
  <conditionalFormatting sqref="F94">
    <cfRule type="expression" dxfId="625" priority="2248">
      <formula>$K94&lt;&gt;""</formula>
    </cfRule>
  </conditionalFormatting>
  <conditionalFormatting sqref="C94">
    <cfRule type="expression" dxfId="624" priority="2247">
      <formula>$G94&lt;&gt;"-"</formula>
    </cfRule>
  </conditionalFormatting>
  <conditionalFormatting sqref="D94">
    <cfRule type="expression" dxfId="623" priority="2246">
      <formula>$H94&lt;&gt;"-"</formula>
    </cfRule>
  </conditionalFormatting>
  <conditionalFormatting sqref="E94">
    <cfRule type="expression" dxfId="622" priority="2245">
      <formula>$I94&lt;&gt;"-"</formula>
    </cfRule>
  </conditionalFormatting>
  <conditionalFormatting sqref="B104">
    <cfRule type="expression" dxfId="621" priority="2242">
      <formula>AD104&lt;&gt;""</formula>
    </cfRule>
  </conditionalFormatting>
  <conditionalFormatting sqref="Z104">
    <cfRule type="cellIs" dxfId="620" priority="2240" operator="greaterThan">
      <formula>0</formula>
    </cfRule>
    <cfRule type="cellIs" dxfId="619" priority="2241" operator="lessThan">
      <formula>0</formula>
    </cfRule>
  </conditionalFormatting>
  <conditionalFormatting sqref="S104">
    <cfRule type="cellIs" dxfId="618" priority="2239" operator="lessThan">
      <formula>0</formula>
    </cfRule>
  </conditionalFormatting>
  <conditionalFormatting sqref="P104">
    <cfRule type="cellIs" dxfId="617" priority="2237" operator="equal">
      <formula>AS_DURATION_EFFORT</formula>
    </cfRule>
    <cfRule type="cellIs" dxfId="616" priority="2238" operator="equal">
      <formula>AS_DEV_EFFORT</formula>
    </cfRule>
  </conditionalFormatting>
  <conditionalFormatting sqref="F104">
    <cfRule type="expression" dxfId="615" priority="2236">
      <formula>$K104&lt;&gt;""</formula>
    </cfRule>
  </conditionalFormatting>
  <conditionalFormatting sqref="C104">
    <cfRule type="expression" dxfId="614" priority="2235">
      <formula>$G104&lt;&gt;"-"</formula>
    </cfRule>
  </conditionalFormatting>
  <conditionalFormatting sqref="D104">
    <cfRule type="expression" dxfId="613" priority="2234">
      <formula>$H104&lt;&gt;"-"</formula>
    </cfRule>
  </conditionalFormatting>
  <conditionalFormatting sqref="E104">
    <cfRule type="expression" dxfId="612" priority="2233">
      <formula>$I104&lt;&gt;"-"</formula>
    </cfRule>
  </conditionalFormatting>
  <conditionalFormatting sqref="B103">
    <cfRule type="expression" dxfId="611" priority="2230">
      <formula>AD103&lt;&gt;""</formula>
    </cfRule>
  </conditionalFormatting>
  <conditionalFormatting sqref="Z103">
    <cfRule type="cellIs" dxfId="610" priority="2228" operator="greaterThan">
      <formula>0</formula>
    </cfRule>
    <cfRule type="cellIs" dxfId="609" priority="2229" operator="lessThan">
      <formula>0</formula>
    </cfRule>
  </conditionalFormatting>
  <conditionalFormatting sqref="S103">
    <cfRule type="cellIs" dxfId="608" priority="2227" operator="lessThan">
      <formula>0</formula>
    </cfRule>
  </conditionalFormatting>
  <conditionalFormatting sqref="P103">
    <cfRule type="cellIs" dxfId="607" priority="2225" operator="equal">
      <formula>AS_DURATION_EFFORT</formula>
    </cfRule>
    <cfRule type="cellIs" dxfId="606" priority="2226" operator="equal">
      <formula>AS_DEV_EFFORT</formula>
    </cfRule>
  </conditionalFormatting>
  <conditionalFormatting sqref="F103">
    <cfRule type="expression" dxfId="605" priority="2224">
      <formula>$K103&lt;&gt;""</formula>
    </cfRule>
  </conditionalFormatting>
  <conditionalFormatting sqref="C103">
    <cfRule type="expression" dxfId="604" priority="2223">
      <formula>$G103&lt;&gt;"-"</formula>
    </cfRule>
  </conditionalFormatting>
  <conditionalFormatting sqref="D103">
    <cfRule type="expression" dxfId="603" priority="2222">
      <formula>$H103&lt;&gt;"-"</formula>
    </cfRule>
  </conditionalFormatting>
  <conditionalFormatting sqref="E103">
    <cfRule type="expression" dxfId="602" priority="2221">
      <formula>$I103&lt;&gt;"-"</formula>
    </cfRule>
  </conditionalFormatting>
  <conditionalFormatting sqref="B102">
    <cfRule type="expression" dxfId="601" priority="2218">
      <formula>AD102&lt;&gt;""</formula>
    </cfRule>
  </conditionalFormatting>
  <conditionalFormatting sqref="Z102">
    <cfRule type="cellIs" dxfId="600" priority="2216" operator="greaterThan">
      <formula>0</formula>
    </cfRule>
    <cfRule type="cellIs" dxfId="599" priority="2217" operator="lessThan">
      <formula>0</formula>
    </cfRule>
  </conditionalFormatting>
  <conditionalFormatting sqref="S102">
    <cfRule type="cellIs" dxfId="598" priority="2215" operator="lessThan">
      <formula>0</formula>
    </cfRule>
  </conditionalFormatting>
  <conditionalFormatting sqref="P102">
    <cfRule type="cellIs" dxfId="597" priority="2213" operator="equal">
      <formula>AS_DURATION_EFFORT</formula>
    </cfRule>
    <cfRule type="cellIs" dxfId="596" priority="2214" operator="equal">
      <formula>AS_DEV_EFFORT</formula>
    </cfRule>
  </conditionalFormatting>
  <conditionalFormatting sqref="F102">
    <cfRule type="expression" dxfId="595" priority="2212">
      <formula>$K102&lt;&gt;""</formula>
    </cfRule>
  </conditionalFormatting>
  <conditionalFormatting sqref="C102">
    <cfRule type="expression" dxfId="594" priority="2211">
      <formula>$G102&lt;&gt;"-"</formula>
    </cfRule>
  </conditionalFormatting>
  <conditionalFormatting sqref="D102">
    <cfRule type="expression" dxfId="593" priority="2210">
      <formula>$H102&lt;&gt;"-"</formula>
    </cfRule>
  </conditionalFormatting>
  <conditionalFormatting sqref="E102">
    <cfRule type="expression" dxfId="592" priority="2209">
      <formula>$I102&lt;&gt;"-"</formula>
    </cfRule>
  </conditionalFormatting>
  <conditionalFormatting sqref="B101">
    <cfRule type="expression" dxfId="591" priority="2206">
      <formula>AD101&lt;&gt;""</formula>
    </cfRule>
  </conditionalFormatting>
  <conditionalFormatting sqref="Z101">
    <cfRule type="cellIs" dxfId="590" priority="2204" operator="greaterThan">
      <formula>0</formula>
    </cfRule>
    <cfRule type="cellIs" dxfId="589" priority="2205" operator="lessThan">
      <formula>0</formula>
    </cfRule>
  </conditionalFormatting>
  <conditionalFormatting sqref="S101">
    <cfRule type="cellIs" dxfId="588" priority="2203" operator="lessThan">
      <formula>0</formula>
    </cfRule>
  </conditionalFormatting>
  <conditionalFormatting sqref="P101">
    <cfRule type="cellIs" dxfId="587" priority="2201" operator="equal">
      <formula>AS_DURATION_EFFORT</formula>
    </cfRule>
    <cfRule type="cellIs" dxfId="586" priority="2202" operator="equal">
      <formula>AS_DEV_EFFORT</formula>
    </cfRule>
  </conditionalFormatting>
  <conditionalFormatting sqref="F101">
    <cfRule type="expression" dxfId="585" priority="2200">
      <formula>$K101&lt;&gt;""</formula>
    </cfRule>
  </conditionalFormatting>
  <conditionalFormatting sqref="C101">
    <cfRule type="expression" dxfId="584" priority="2199">
      <formula>$G101&lt;&gt;"-"</formula>
    </cfRule>
  </conditionalFormatting>
  <conditionalFormatting sqref="D101">
    <cfRule type="expression" dxfId="583" priority="2198">
      <formula>$H101&lt;&gt;"-"</formula>
    </cfRule>
  </conditionalFormatting>
  <conditionalFormatting sqref="E101">
    <cfRule type="expression" dxfId="582" priority="2197">
      <formula>$I101&lt;&gt;"-"</formula>
    </cfRule>
  </conditionalFormatting>
  <conditionalFormatting sqref="B110">
    <cfRule type="expression" dxfId="581" priority="2194">
      <formula>AD110&lt;&gt;""</formula>
    </cfRule>
  </conditionalFormatting>
  <conditionalFormatting sqref="Z110">
    <cfRule type="cellIs" dxfId="580" priority="2192" operator="greaterThan">
      <formula>0</formula>
    </cfRule>
    <cfRule type="cellIs" dxfId="579" priority="2193" operator="lessThan">
      <formula>0</formula>
    </cfRule>
  </conditionalFormatting>
  <conditionalFormatting sqref="S110">
    <cfRule type="cellIs" dxfId="578" priority="2191" operator="lessThan">
      <formula>0</formula>
    </cfRule>
  </conditionalFormatting>
  <conditionalFormatting sqref="P110">
    <cfRule type="cellIs" dxfId="577" priority="2189" operator="equal">
      <formula>AS_DURATION_EFFORT</formula>
    </cfRule>
    <cfRule type="cellIs" dxfId="576" priority="2190" operator="equal">
      <formula>AS_DEV_EFFORT</formula>
    </cfRule>
  </conditionalFormatting>
  <conditionalFormatting sqref="F110">
    <cfRule type="expression" dxfId="575" priority="2188">
      <formula>$K110&lt;&gt;""</formula>
    </cfRule>
  </conditionalFormatting>
  <conditionalFormatting sqref="C110">
    <cfRule type="expression" dxfId="574" priority="2187">
      <formula>$G110&lt;&gt;"-"</formula>
    </cfRule>
  </conditionalFormatting>
  <conditionalFormatting sqref="D110">
    <cfRule type="expression" dxfId="573" priority="2186">
      <formula>$H110&lt;&gt;"-"</formula>
    </cfRule>
  </conditionalFormatting>
  <conditionalFormatting sqref="E110">
    <cfRule type="expression" dxfId="572" priority="2185">
      <formula>$I110&lt;&gt;"-"</formula>
    </cfRule>
  </conditionalFormatting>
  <conditionalFormatting sqref="S112">
    <cfRule type="expression" dxfId="571" priority="2184">
      <formula>#REF!="Yes"</formula>
    </cfRule>
  </conditionalFormatting>
  <conditionalFormatting sqref="B112">
    <cfRule type="expression" dxfId="570" priority="2183">
      <formula>AD112&lt;&gt;""</formula>
    </cfRule>
  </conditionalFormatting>
  <conditionalFormatting sqref="B120">
    <cfRule type="expression" dxfId="569" priority="2179">
      <formula>AD120&lt;&gt;""</formula>
    </cfRule>
  </conditionalFormatting>
  <conditionalFormatting sqref="Z120">
    <cfRule type="cellIs" dxfId="568" priority="2177" operator="greaterThan">
      <formula>0</formula>
    </cfRule>
    <cfRule type="cellIs" dxfId="567" priority="2178" operator="lessThan">
      <formula>0</formula>
    </cfRule>
  </conditionalFormatting>
  <conditionalFormatting sqref="S120">
    <cfRule type="cellIs" dxfId="566" priority="2176" operator="lessThan">
      <formula>0</formula>
    </cfRule>
  </conditionalFormatting>
  <conditionalFormatting sqref="T118:T119">
    <cfRule type="expression" dxfId="565" priority="2180">
      <formula>#REF!="Yes"</formula>
    </cfRule>
  </conditionalFormatting>
  <conditionalFormatting sqref="P120">
    <cfRule type="cellIs" dxfId="564" priority="2174" operator="equal">
      <formula>AS_DURATION_EFFORT</formula>
    </cfRule>
    <cfRule type="cellIs" dxfId="563" priority="2175" operator="equal">
      <formula>AS_DEV_EFFORT</formula>
    </cfRule>
  </conditionalFormatting>
  <conditionalFormatting sqref="B118:B119">
    <cfRule type="expression" dxfId="562" priority="2173">
      <formula>AD118&lt;&gt;""</formula>
    </cfRule>
  </conditionalFormatting>
  <conditionalFormatting sqref="F120">
    <cfRule type="expression" dxfId="561" priority="2172">
      <formula>$K120&lt;&gt;""</formula>
    </cfRule>
  </conditionalFormatting>
  <conditionalFormatting sqref="C120">
    <cfRule type="expression" dxfId="560" priority="2171">
      <formula>$G120&lt;&gt;"-"</formula>
    </cfRule>
  </conditionalFormatting>
  <conditionalFormatting sqref="D120">
    <cfRule type="expression" dxfId="559" priority="2170">
      <formula>$H120&lt;&gt;"-"</formula>
    </cfRule>
  </conditionalFormatting>
  <conditionalFormatting sqref="E120">
    <cfRule type="expression" dxfId="558" priority="2169">
      <formula>$I120&lt;&gt;"-"</formula>
    </cfRule>
  </conditionalFormatting>
  <conditionalFormatting sqref="B116">
    <cfRule type="expression" dxfId="557" priority="2166">
      <formula>AD116&lt;&gt;""</formula>
    </cfRule>
  </conditionalFormatting>
  <conditionalFormatting sqref="Z116">
    <cfRule type="cellIs" dxfId="556" priority="2164" operator="greaterThan">
      <formula>0</formula>
    </cfRule>
    <cfRule type="cellIs" dxfId="555" priority="2165" operator="lessThan">
      <formula>0</formula>
    </cfRule>
  </conditionalFormatting>
  <conditionalFormatting sqref="S116">
    <cfRule type="cellIs" dxfId="554" priority="2163" operator="lessThan">
      <formula>0</formula>
    </cfRule>
  </conditionalFormatting>
  <conditionalFormatting sqref="P116">
    <cfRule type="cellIs" dxfId="553" priority="2161" operator="equal">
      <formula>AS_DURATION_EFFORT</formula>
    </cfRule>
    <cfRule type="cellIs" dxfId="552" priority="2162" operator="equal">
      <formula>AS_DEV_EFFORT</formula>
    </cfRule>
  </conditionalFormatting>
  <conditionalFormatting sqref="F116">
    <cfRule type="expression" dxfId="551" priority="2160">
      <formula>$K116&lt;&gt;""</formula>
    </cfRule>
  </conditionalFormatting>
  <conditionalFormatting sqref="C116">
    <cfRule type="expression" dxfId="550" priority="2159">
      <formula>$G116&lt;&gt;"-"</formula>
    </cfRule>
  </conditionalFormatting>
  <conditionalFormatting sqref="D116">
    <cfRule type="expression" dxfId="549" priority="2158">
      <formula>$H116&lt;&gt;"-"</formula>
    </cfRule>
  </conditionalFormatting>
  <conditionalFormatting sqref="E116">
    <cfRule type="expression" dxfId="548" priority="2157">
      <formula>$I116&lt;&gt;"-"</formula>
    </cfRule>
  </conditionalFormatting>
  <conditionalFormatting sqref="B147">
    <cfRule type="expression" dxfId="547" priority="2149">
      <formula>AD147&lt;&gt;""</formula>
    </cfRule>
  </conditionalFormatting>
  <conditionalFormatting sqref="Z147">
    <cfRule type="cellIs" dxfId="546" priority="2147" operator="greaterThan">
      <formula>0</formula>
    </cfRule>
    <cfRule type="cellIs" dxfId="545" priority="2148" operator="lessThan">
      <formula>0</formula>
    </cfRule>
  </conditionalFormatting>
  <conditionalFormatting sqref="S147">
    <cfRule type="cellIs" dxfId="544" priority="2146" operator="lessThan">
      <formula>0</formula>
    </cfRule>
  </conditionalFormatting>
  <conditionalFormatting sqref="T145:T146">
    <cfRule type="expression" dxfId="543" priority="2150">
      <formula>#REF!="Yes"</formula>
    </cfRule>
  </conditionalFormatting>
  <conditionalFormatting sqref="P147">
    <cfRule type="cellIs" dxfId="542" priority="2144" operator="equal">
      <formula>AS_DURATION_EFFORT</formula>
    </cfRule>
    <cfRule type="cellIs" dxfId="541" priority="2145" operator="equal">
      <formula>AS_DEV_EFFORT</formula>
    </cfRule>
  </conditionalFormatting>
  <conditionalFormatting sqref="B145:B146">
    <cfRule type="expression" dxfId="540" priority="2143">
      <formula>AD145&lt;&gt;""</formula>
    </cfRule>
  </conditionalFormatting>
  <conditionalFormatting sqref="F147">
    <cfRule type="expression" dxfId="539" priority="2142">
      <formula>$K147&lt;&gt;""</formula>
    </cfRule>
  </conditionalFormatting>
  <conditionalFormatting sqref="C147">
    <cfRule type="expression" dxfId="538" priority="2141">
      <formula>$G147&lt;&gt;"-"</formula>
    </cfRule>
  </conditionalFormatting>
  <conditionalFormatting sqref="D147">
    <cfRule type="expression" dxfId="537" priority="2140">
      <formula>$H147&lt;&gt;"-"</formula>
    </cfRule>
  </conditionalFormatting>
  <conditionalFormatting sqref="E147">
    <cfRule type="expression" dxfId="536" priority="2139">
      <formula>$I147&lt;&gt;"-"</formula>
    </cfRule>
  </conditionalFormatting>
  <conditionalFormatting sqref="B148">
    <cfRule type="expression" dxfId="535" priority="2136">
      <formula>AD148&lt;&gt;""</formula>
    </cfRule>
  </conditionalFormatting>
  <conditionalFormatting sqref="Z148">
    <cfRule type="cellIs" dxfId="534" priority="2134" operator="greaterThan">
      <formula>0</formula>
    </cfRule>
    <cfRule type="cellIs" dxfId="533" priority="2135" operator="lessThan">
      <formula>0</formula>
    </cfRule>
  </conditionalFormatting>
  <conditionalFormatting sqref="S148">
    <cfRule type="cellIs" dxfId="532" priority="2133" operator="lessThan">
      <formula>0</formula>
    </cfRule>
  </conditionalFormatting>
  <conditionalFormatting sqref="F148">
    <cfRule type="expression" dxfId="531" priority="2130">
      <formula>$K148&lt;&gt;""</formula>
    </cfRule>
  </conditionalFormatting>
  <conditionalFormatting sqref="C148">
    <cfRule type="expression" dxfId="530" priority="2129">
      <formula>$G148&lt;&gt;"-"</formula>
    </cfRule>
  </conditionalFormatting>
  <conditionalFormatting sqref="D148">
    <cfRule type="expression" dxfId="529" priority="2128">
      <formula>$H148&lt;&gt;"-"</formula>
    </cfRule>
  </conditionalFormatting>
  <conditionalFormatting sqref="E148">
    <cfRule type="expression" dxfId="528" priority="2127">
      <formula>$I148&lt;&gt;"-"</formula>
    </cfRule>
  </conditionalFormatting>
  <conditionalFormatting sqref="B152">
    <cfRule type="expression" dxfId="527" priority="2123">
      <formula>AD152&lt;&gt;""</formula>
    </cfRule>
  </conditionalFormatting>
  <conditionalFormatting sqref="Z152">
    <cfRule type="cellIs" dxfId="526" priority="2121" operator="greaterThan">
      <formula>0</formula>
    </cfRule>
    <cfRule type="cellIs" dxfId="525" priority="2122" operator="lessThan">
      <formula>0</formula>
    </cfRule>
  </conditionalFormatting>
  <conditionalFormatting sqref="S152">
    <cfRule type="cellIs" dxfId="524" priority="2120" operator="lessThan">
      <formula>0</formula>
    </cfRule>
  </conditionalFormatting>
  <conditionalFormatting sqref="T150:T151">
    <cfRule type="expression" dxfId="523" priority="2124">
      <formula>#REF!="Yes"</formula>
    </cfRule>
  </conditionalFormatting>
  <conditionalFormatting sqref="P159">
    <cfRule type="cellIs" dxfId="522" priority="2060" operator="equal">
      <formula>AS_DURATION_EFFORT</formula>
    </cfRule>
    <cfRule type="cellIs" dxfId="521" priority="2061" operator="equal">
      <formula>AS_DEV_EFFORT</formula>
    </cfRule>
  </conditionalFormatting>
  <conditionalFormatting sqref="B150:B151">
    <cfRule type="expression" dxfId="520" priority="2117">
      <formula>AD150&lt;&gt;""</formula>
    </cfRule>
  </conditionalFormatting>
  <conditionalFormatting sqref="F152">
    <cfRule type="expression" dxfId="519" priority="2116">
      <formula>$K152&lt;&gt;""</formula>
    </cfRule>
  </conditionalFormatting>
  <conditionalFormatting sqref="C152">
    <cfRule type="expression" dxfId="518" priority="2115">
      <formula>$G152&lt;&gt;"-"</formula>
    </cfRule>
  </conditionalFormatting>
  <conditionalFormatting sqref="D152">
    <cfRule type="expression" dxfId="517" priority="2114">
      <formula>$H152&lt;&gt;"-"</formula>
    </cfRule>
  </conditionalFormatting>
  <conditionalFormatting sqref="E152">
    <cfRule type="expression" dxfId="516" priority="2113">
      <formula>$I152&lt;&gt;"-"</formula>
    </cfRule>
  </conditionalFormatting>
  <conditionalFormatting sqref="B153">
    <cfRule type="expression" dxfId="515" priority="2110">
      <formula>AD153&lt;&gt;""</formula>
    </cfRule>
  </conditionalFormatting>
  <conditionalFormatting sqref="Z153">
    <cfRule type="cellIs" dxfId="514" priority="2108" operator="greaterThan">
      <formula>0</formula>
    </cfRule>
    <cfRule type="cellIs" dxfId="513" priority="2109" operator="lessThan">
      <formula>0</formula>
    </cfRule>
  </conditionalFormatting>
  <conditionalFormatting sqref="S153">
    <cfRule type="cellIs" dxfId="512" priority="2107" operator="lessThan">
      <formula>0</formula>
    </cfRule>
  </conditionalFormatting>
  <conditionalFormatting sqref="P154">
    <cfRule type="cellIs" dxfId="511" priority="2071" operator="equal">
      <formula>AS_DURATION_EFFORT</formula>
    </cfRule>
    <cfRule type="cellIs" dxfId="510" priority="2072" operator="equal">
      <formula>AS_DEV_EFFORT</formula>
    </cfRule>
  </conditionalFormatting>
  <conditionalFormatting sqref="F153">
    <cfRule type="expression" dxfId="509" priority="2104">
      <formula>$K153&lt;&gt;""</formula>
    </cfRule>
  </conditionalFormatting>
  <conditionalFormatting sqref="C153">
    <cfRule type="expression" dxfId="508" priority="2103">
      <formula>$G153&lt;&gt;"-"</formula>
    </cfRule>
  </conditionalFormatting>
  <conditionalFormatting sqref="D153">
    <cfRule type="expression" dxfId="507" priority="2102">
      <formula>$H153&lt;&gt;"-"</formula>
    </cfRule>
  </conditionalFormatting>
  <conditionalFormatting sqref="E153">
    <cfRule type="expression" dxfId="506" priority="2101">
      <formula>$I153&lt;&gt;"-"</formula>
    </cfRule>
  </conditionalFormatting>
  <conditionalFormatting sqref="B155">
    <cfRule type="expression" dxfId="505" priority="2098">
      <formula>AD155&lt;&gt;""</formula>
    </cfRule>
  </conditionalFormatting>
  <conditionalFormatting sqref="Z155">
    <cfRule type="cellIs" dxfId="504" priority="2096" operator="greaterThan">
      <formula>0</formula>
    </cfRule>
    <cfRule type="cellIs" dxfId="503" priority="2097" operator="lessThan">
      <formula>0</formula>
    </cfRule>
  </conditionalFormatting>
  <conditionalFormatting sqref="S155">
    <cfRule type="cellIs" dxfId="502" priority="2095" operator="lessThan">
      <formula>0</formula>
    </cfRule>
  </conditionalFormatting>
  <conditionalFormatting sqref="P155">
    <cfRule type="cellIs" dxfId="501" priority="2093" operator="equal">
      <formula>AS_DURATION_EFFORT</formula>
    </cfRule>
    <cfRule type="cellIs" dxfId="500" priority="2094" operator="equal">
      <formula>AS_DEV_EFFORT</formula>
    </cfRule>
  </conditionalFormatting>
  <conditionalFormatting sqref="F155">
    <cfRule type="expression" dxfId="499" priority="2092">
      <formula>$K155&lt;&gt;""</formula>
    </cfRule>
  </conditionalFormatting>
  <conditionalFormatting sqref="C155">
    <cfRule type="expression" dxfId="498" priority="2091">
      <formula>$G155&lt;&gt;"-"</formula>
    </cfRule>
  </conditionalFormatting>
  <conditionalFormatting sqref="D155">
    <cfRule type="expression" dxfId="497" priority="2090">
      <formula>$H155&lt;&gt;"-"</formula>
    </cfRule>
  </conditionalFormatting>
  <conditionalFormatting sqref="E155">
    <cfRule type="expression" dxfId="496" priority="2089">
      <formula>$I155&lt;&gt;"-"</formula>
    </cfRule>
  </conditionalFormatting>
  <conditionalFormatting sqref="B154">
    <cfRule type="expression" dxfId="495" priority="2086">
      <formula>AD154&lt;&gt;""</formula>
    </cfRule>
  </conditionalFormatting>
  <conditionalFormatting sqref="Z154">
    <cfRule type="cellIs" dxfId="494" priority="2084" operator="greaterThan">
      <formula>0</formula>
    </cfRule>
    <cfRule type="cellIs" dxfId="493" priority="2085" operator="lessThan">
      <formula>0</formula>
    </cfRule>
  </conditionalFormatting>
  <conditionalFormatting sqref="S154">
    <cfRule type="cellIs" dxfId="492" priority="2083" operator="lessThan">
      <formula>0</formula>
    </cfRule>
  </conditionalFormatting>
  <conditionalFormatting sqref="P152">
    <cfRule type="cellIs" dxfId="491" priority="2073" operator="equal">
      <formula>AS_DURATION_EFFORT</formula>
    </cfRule>
    <cfRule type="cellIs" dxfId="490" priority="2074" operator="equal">
      <formula>AS_DEV_EFFORT</formula>
    </cfRule>
  </conditionalFormatting>
  <conditionalFormatting sqref="F154">
    <cfRule type="expression" dxfId="489" priority="2080">
      <formula>$K154&lt;&gt;""</formula>
    </cfRule>
  </conditionalFormatting>
  <conditionalFormatting sqref="C154">
    <cfRule type="expression" dxfId="488" priority="2079">
      <formula>$G154&lt;&gt;"-"</formula>
    </cfRule>
  </conditionalFormatting>
  <conditionalFormatting sqref="D154">
    <cfRule type="expression" dxfId="487" priority="2078">
      <formula>$H154&lt;&gt;"-"</formula>
    </cfRule>
  </conditionalFormatting>
  <conditionalFormatting sqref="E154">
    <cfRule type="expression" dxfId="486" priority="2077">
      <formula>$I154&lt;&gt;"-"</formula>
    </cfRule>
  </conditionalFormatting>
  <conditionalFormatting sqref="P162">
    <cfRule type="cellIs" dxfId="485" priority="2047" operator="equal">
      <formula>AS_DURATION_EFFORT</formula>
    </cfRule>
    <cfRule type="cellIs" dxfId="484" priority="2048" operator="equal">
      <formula>AS_DEV_EFFORT</formula>
    </cfRule>
  </conditionalFormatting>
  <conditionalFormatting sqref="P153:P154">
    <cfRule type="cellIs" dxfId="483" priority="2069" operator="equal">
      <formula>AS_DURATION_EFFORT</formula>
    </cfRule>
    <cfRule type="cellIs" dxfId="482" priority="2070" operator="equal">
      <formula>AS_DEV_EFFORT</formula>
    </cfRule>
  </conditionalFormatting>
  <conditionalFormatting sqref="B159">
    <cfRule type="expression" dxfId="481" priority="2065">
      <formula>AD159&lt;&gt;""</formula>
    </cfRule>
  </conditionalFormatting>
  <conditionalFormatting sqref="Z159">
    <cfRule type="cellIs" dxfId="480" priority="2063" operator="greaterThan">
      <formula>0</formula>
    </cfRule>
    <cfRule type="cellIs" dxfId="479" priority="2064" operator="lessThan">
      <formula>0</formula>
    </cfRule>
  </conditionalFormatting>
  <conditionalFormatting sqref="S159">
    <cfRule type="cellIs" dxfId="478" priority="2062" operator="lessThan">
      <formula>0</formula>
    </cfRule>
  </conditionalFormatting>
  <conditionalFormatting sqref="T157:T158">
    <cfRule type="expression" dxfId="477" priority="2066">
      <formula>#REF!="Yes"</formula>
    </cfRule>
  </conditionalFormatting>
  <conditionalFormatting sqref="B157:B158">
    <cfRule type="expression" dxfId="476" priority="2059">
      <formula>AD157&lt;&gt;""</formula>
    </cfRule>
  </conditionalFormatting>
  <conditionalFormatting sqref="F159">
    <cfRule type="expression" dxfId="475" priority="2058">
      <formula>$K159&lt;&gt;""</formula>
    </cfRule>
  </conditionalFormatting>
  <conditionalFormatting sqref="C159">
    <cfRule type="expression" dxfId="474" priority="2057">
      <formula>$G159&lt;&gt;"-"</formula>
    </cfRule>
  </conditionalFormatting>
  <conditionalFormatting sqref="D159">
    <cfRule type="expression" dxfId="473" priority="2056">
      <formula>$H159&lt;&gt;"-"</formula>
    </cfRule>
  </conditionalFormatting>
  <conditionalFormatting sqref="E159">
    <cfRule type="expression" dxfId="472" priority="2055">
      <formula>$I159&lt;&gt;"-"</formula>
    </cfRule>
  </conditionalFormatting>
  <conditionalFormatting sqref="B162">
    <cfRule type="expression" dxfId="471" priority="2052">
      <formula>AD162&lt;&gt;""</formula>
    </cfRule>
  </conditionalFormatting>
  <conditionalFormatting sqref="Z162">
    <cfRule type="cellIs" dxfId="470" priority="2050" operator="greaterThan">
      <formula>0</formula>
    </cfRule>
    <cfRule type="cellIs" dxfId="469" priority="2051" operator="lessThan">
      <formula>0</formula>
    </cfRule>
  </conditionalFormatting>
  <conditionalFormatting sqref="S162">
    <cfRule type="cellIs" dxfId="468" priority="2049" operator="lessThan">
      <formula>0</formula>
    </cfRule>
  </conditionalFormatting>
  <conditionalFormatting sqref="P161">
    <cfRule type="cellIs" dxfId="467" priority="2035" operator="equal">
      <formula>AS_DURATION_EFFORT</formula>
    </cfRule>
    <cfRule type="cellIs" dxfId="466" priority="2036" operator="equal">
      <formula>AS_DEV_EFFORT</formula>
    </cfRule>
  </conditionalFormatting>
  <conditionalFormatting sqref="F162">
    <cfRule type="expression" dxfId="465" priority="2046">
      <formula>$K162&lt;&gt;""</formula>
    </cfRule>
  </conditionalFormatting>
  <conditionalFormatting sqref="C162">
    <cfRule type="expression" dxfId="464" priority="2045">
      <formula>$G162&lt;&gt;"-"</formula>
    </cfRule>
  </conditionalFormatting>
  <conditionalFormatting sqref="D162">
    <cfRule type="expression" dxfId="463" priority="2044">
      <formula>$H162&lt;&gt;"-"</formula>
    </cfRule>
  </conditionalFormatting>
  <conditionalFormatting sqref="E162">
    <cfRule type="expression" dxfId="462" priority="2043">
      <formula>$I162&lt;&gt;"-"</formula>
    </cfRule>
  </conditionalFormatting>
  <conditionalFormatting sqref="B161">
    <cfRule type="expression" dxfId="461" priority="2040">
      <formula>AD161&lt;&gt;""</formula>
    </cfRule>
  </conditionalFormatting>
  <conditionalFormatting sqref="Z161">
    <cfRule type="cellIs" dxfId="460" priority="2038" operator="greaterThan">
      <formula>0</formula>
    </cfRule>
    <cfRule type="cellIs" dxfId="459" priority="2039" operator="lessThan">
      <formula>0</formula>
    </cfRule>
  </conditionalFormatting>
  <conditionalFormatting sqref="S161">
    <cfRule type="cellIs" dxfId="458" priority="2037" operator="lessThan">
      <formula>0</formula>
    </cfRule>
  </conditionalFormatting>
  <conditionalFormatting sqref="P160">
    <cfRule type="cellIs" dxfId="457" priority="2023" operator="equal">
      <formula>AS_DURATION_EFFORT</formula>
    </cfRule>
    <cfRule type="cellIs" dxfId="456" priority="2024" operator="equal">
      <formula>AS_DEV_EFFORT</formula>
    </cfRule>
  </conditionalFormatting>
  <conditionalFormatting sqref="F161">
    <cfRule type="expression" dxfId="455" priority="2034">
      <formula>$K161&lt;&gt;""</formula>
    </cfRule>
  </conditionalFormatting>
  <conditionalFormatting sqref="C161">
    <cfRule type="expression" dxfId="454" priority="2033">
      <formula>$G161&lt;&gt;"-"</formula>
    </cfRule>
  </conditionalFormatting>
  <conditionalFormatting sqref="D161">
    <cfRule type="expression" dxfId="453" priority="2032">
      <formula>$H161&lt;&gt;"-"</formula>
    </cfRule>
  </conditionalFormatting>
  <conditionalFormatting sqref="E161">
    <cfRule type="expression" dxfId="452" priority="2031">
      <formula>$I161&lt;&gt;"-"</formula>
    </cfRule>
  </conditionalFormatting>
  <conditionalFormatting sqref="B160">
    <cfRule type="expression" dxfId="451" priority="2028">
      <formula>AD160&lt;&gt;""</formula>
    </cfRule>
  </conditionalFormatting>
  <conditionalFormatting sqref="Z160">
    <cfRule type="cellIs" dxfId="450" priority="2026" operator="greaterThan">
      <formula>0</formula>
    </cfRule>
    <cfRule type="cellIs" dxfId="449" priority="2027" operator="lessThan">
      <formula>0</formula>
    </cfRule>
  </conditionalFormatting>
  <conditionalFormatting sqref="S160">
    <cfRule type="cellIs" dxfId="448" priority="2025" operator="lessThan">
      <formula>0</formula>
    </cfRule>
  </conditionalFormatting>
  <conditionalFormatting sqref="F160">
    <cfRule type="expression" dxfId="447" priority="2022">
      <formula>$K160&lt;&gt;""</formula>
    </cfRule>
  </conditionalFormatting>
  <conditionalFormatting sqref="C160">
    <cfRule type="expression" dxfId="446" priority="2021">
      <formula>$G160&lt;&gt;"-"</formula>
    </cfRule>
  </conditionalFormatting>
  <conditionalFormatting sqref="D160">
    <cfRule type="expression" dxfId="445" priority="2020">
      <formula>$H160&lt;&gt;"-"</formula>
    </cfRule>
  </conditionalFormatting>
  <conditionalFormatting sqref="E160">
    <cfRule type="expression" dxfId="444" priority="2019">
      <formula>$I160&lt;&gt;"-"</formula>
    </cfRule>
  </conditionalFormatting>
  <conditionalFormatting sqref="B171">
    <cfRule type="expression" dxfId="443" priority="1987">
      <formula>AD171&lt;&gt;""</formula>
    </cfRule>
  </conditionalFormatting>
  <conditionalFormatting sqref="Z171">
    <cfRule type="cellIs" dxfId="442" priority="1985" operator="greaterThan">
      <formula>0</formula>
    </cfRule>
    <cfRule type="cellIs" dxfId="441" priority="1986" operator="lessThan">
      <formula>0</formula>
    </cfRule>
  </conditionalFormatting>
  <conditionalFormatting sqref="S171">
    <cfRule type="cellIs" dxfId="440" priority="1984" operator="lessThan">
      <formula>0</formula>
    </cfRule>
  </conditionalFormatting>
  <conditionalFormatting sqref="T169:T170">
    <cfRule type="expression" dxfId="439" priority="1988">
      <formula>#REF!="Yes"</formula>
    </cfRule>
  </conditionalFormatting>
  <conditionalFormatting sqref="P171">
    <cfRule type="cellIs" dxfId="438" priority="1982" operator="equal">
      <formula>AS_DURATION_EFFORT</formula>
    </cfRule>
    <cfRule type="cellIs" dxfId="437" priority="1983" operator="equal">
      <formula>AS_DEV_EFFORT</formula>
    </cfRule>
  </conditionalFormatting>
  <conditionalFormatting sqref="B169:B170">
    <cfRule type="expression" dxfId="436" priority="1981">
      <formula>AD169&lt;&gt;""</formula>
    </cfRule>
  </conditionalFormatting>
  <conditionalFormatting sqref="F171">
    <cfRule type="expression" dxfId="435" priority="1980">
      <formula>$K171&lt;&gt;""</formula>
    </cfRule>
  </conditionalFormatting>
  <conditionalFormatting sqref="C171">
    <cfRule type="expression" dxfId="434" priority="1979">
      <formula>$G171&lt;&gt;"-"</formula>
    </cfRule>
  </conditionalFormatting>
  <conditionalFormatting sqref="D171">
    <cfRule type="expression" dxfId="433" priority="1978">
      <formula>$H171&lt;&gt;"-"</formula>
    </cfRule>
  </conditionalFormatting>
  <conditionalFormatting sqref="E171">
    <cfRule type="expression" dxfId="432" priority="1977">
      <formula>$I171&lt;&gt;"-"</formula>
    </cfRule>
  </conditionalFormatting>
  <conditionalFormatting sqref="B172">
    <cfRule type="expression" dxfId="431" priority="1974">
      <formula>AD172&lt;&gt;""</formula>
    </cfRule>
  </conditionalFormatting>
  <conditionalFormatting sqref="Z172">
    <cfRule type="cellIs" dxfId="430" priority="1972" operator="greaterThan">
      <formula>0</formula>
    </cfRule>
    <cfRule type="cellIs" dxfId="429" priority="1973" operator="lessThan">
      <formula>0</formula>
    </cfRule>
  </conditionalFormatting>
  <conditionalFormatting sqref="S172">
    <cfRule type="cellIs" dxfId="428" priority="1971" operator="lessThan">
      <formula>0</formula>
    </cfRule>
  </conditionalFormatting>
  <conditionalFormatting sqref="P172">
    <cfRule type="cellIs" dxfId="427" priority="1969" operator="equal">
      <formula>AS_DURATION_EFFORT</formula>
    </cfRule>
    <cfRule type="cellIs" dxfId="426" priority="1970" operator="equal">
      <formula>AS_DEV_EFFORT</formula>
    </cfRule>
  </conditionalFormatting>
  <conditionalFormatting sqref="F172">
    <cfRule type="expression" dxfId="425" priority="1968">
      <formula>$K172&lt;&gt;""</formula>
    </cfRule>
  </conditionalFormatting>
  <conditionalFormatting sqref="C172">
    <cfRule type="expression" dxfId="424" priority="1967">
      <formula>$G172&lt;&gt;"-"</formula>
    </cfRule>
  </conditionalFormatting>
  <conditionalFormatting sqref="D172">
    <cfRule type="expression" dxfId="423" priority="1966">
      <formula>$H172&lt;&gt;"-"</formula>
    </cfRule>
  </conditionalFormatting>
  <conditionalFormatting sqref="E172">
    <cfRule type="expression" dxfId="422" priority="1965">
      <formula>$I172&lt;&gt;"-"</formula>
    </cfRule>
  </conditionalFormatting>
  <conditionalFormatting sqref="B176">
    <cfRule type="expression" dxfId="421" priority="1961">
      <formula>AD176&lt;&gt;""</formula>
    </cfRule>
  </conditionalFormatting>
  <conditionalFormatting sqref="Z176">
    <cfRule type="cellIs" dxfId="420" priority="1959" operator="greaterThan">
      <formula>0</formula>
    </cfRule>
    <cfRule type="cellIs" dxfId="419" priority="1960" operator="lessThan">
      <formula>0</formula>
    </cfRule>
  </conditionalFormatting>
  <conditionalFormatting sqref="S176">
    <cfRule type="cellIs" dxfId="418" priority="1958" operator="lessThan">
      <formula>0</formula>
    </cfRule>
  </conditionalFormatting>
  <conditionalFormatting sqref="T174:T175">
    <cfRule type="expression" dxfId="417" priority="1962">
      <formula>#REF!="Yes"</formula>
    </cfRule>
  </conditionalFormatting>
  <conditionalFormatting sqref="P176">
    <cfRule type="cellIs" dxfId="416" priority="1956" operator="equal">
      <formula>AS_DURATION_EFFORT</formula>
    </cfRule>
    <cfRule type="cellIs" dxfId="415" priority="1957" operator="equal">
      <formula>AS_DEV_EFFORT</formula>
    </cfRule>
  </conditionalFormatting>
  <conditionalFormatting sqref="B174:B175">
    <cfRule type="expression" dxfId="414" priority="1955">
      <formula>AD174&lt;&gt;""</formula>
    </cfRule>
  </conditionalFormatting>
  <conditionalFormatting sqref="F176">
    <cfRule type="expression" dxfId="413" priority="1954">
      <formula>$K176&lt;&gt;""</formula>
    </cfRule>
  </conditionalFormatting>
  <conditionalFormatting sqref="C176">
    <cfRule type="expression" dxfId="412" priority="1953">
      <formula>$G176&lt;&gt;"-"</formula>
    </cfRule>
  </conditionalFormatting>
  <conditionalFormatting sqref="D176">
    <cfRule type="expression" dxfId="411" priority="1952">
      <formula>$H176&lt;&gt;"-"</formula>
    </cfRule>
  </conditionalFormatting>
  <conditionalFormatting sqref="E176">
    <cfRule type="expression" dxfId="410" priority="1951">
      <formula>$I176&lt;&gt;"-"</formula>
    </cfRule>
  </conditionalFormatting>
  <conditionalFormatting sqref="B180">
    <cfRule type="expression" dxfId="409" priority="1923">
      <formula>AD180&lt;&gt;""</formula>
    </cfRule>
  </conditionalFormatting>
  <conditionalFormatting sqref="Z180">
    <cfRule type="cellIs" dxfId="408" priority="1921" operator="greaterThan">
      <formula>0</formula>
    </cfRule>
    <cfRule type="cellIs" dxfId="407" priority="1922" operator="lessThan">
      <formula>0</formula>
    </cfRule>
  </conditionalFormatting>
  <conditionalFormatting sqref="S180">
    <cfRule type="cellIs" dxfId="406" priority="1920" operator="lessThan">
      <formula>0</formula>
    </cfRule>
  </conditionalFormatting>
  <conditionalFormatting sqref="T178:T179">
    <cfRule type="expression" dxfId="405" priority="1924">
      <formula>#REF!="Yes"</formula>
    </cfRule>
  </conditionalFormatting>
  <conditionalFormatting sqref="P180">
    <cfRule type="cellIs" dxfId="404" priority="1918" operator="equal">
      <formula>AS_DURATION_EFFORT</formula>
    </cfRule>
    <cfRule type="cellIs" dxfId="403" priority="1919" operator="equal">
      <formula>AS_DEV_EFFORT</formula>
    </cfRule>
  </conditionalFormatting>
  <conditionalFormatting sqref="B178:B179">
    <cfRule type="expression" dxfId="402" priority="1917">
      <formula>AD178&lt;&gt;""</formula>
    </cfRule>
  </conditionalFormatting>
  <conditionalFormatting sqref="F180">
    <cfRule type="expression" dxfId="401" priority="1916">
      <formula>$K180&lt;&gt;""</formula>
    </cfRule>
  </conditionalFormatting>
  <conditionalFormatting sqref="C180">
    <cfRule type="expression" dxfId="400" priority="1915">
      <formula>$G180&lt;&gt;"-"</formula>
    </cfRule>
  </conditionalFormatting>
  <conditionalFormatting sqref="D180">
    <cfRule type="expression" dxfId="399" priority="1914">
      <formula>$H180&lt;&gt;"-"</formula>
    </cfRule>
  </conditionalFormatting>
  <conditionalFormatting sqref="E180">
    <cfRule type="expression" dxfId="398" priority="1913">
      <formula>$I180&lt;&gt;"-"</formula>
    </cfRule>
  </conditionalFormatting>
  <conditionalFormatting sqref="B184">
    <cfRule type="expression" dxfId="397" priority="1897">
      <formula>AD184&lt;&gt;""</formula>
    </cfRule>
  </conditionalFormatting>
  <conditionalFormatting sqref="Z184">
    <cfRule type="cellIs" dxfId="396" priority="1895" operator="greaterThan">
      <formula>0</formula>
    </cfRule>
    <cfRule type="cellIs" dxfId="395" priority="1896" operator="lessThan">
      <formula>0</formula>
    </cfRule>
  </conditionalFormatting>
  <conditionalFormatting sqref="S184">
    <cfRule type="cellIs" dxfId="394" priority="1894" operator="lessThan">
      <formula>0</formula>
    </cfRule>
  </conditionalFormatting>
  <conditionalFormatting sqref="T182:T183">
    <cfRule type="expression" dxfId="393" priority="1898">
      <formula>#REF!="Yes"</formula>
    </cfRule>
  </conditionalFormatting>
  <conditionalFormatting sqref="P184">
    <cfRule type="cellIs" dxfId="392" priority="1892" operator="equal">
      <formula>AS_DURATION_EFFORT</formula>
    </cfRule>
    <cfRule type="cellIs" dxfId="391" priority="1893" operator="equal">
      <formula>AS_DEV_EFFORT</formula>
    </cfRule>
  </conditionalFormatting>
  <conditionalFormatting sqref="B182:B183">
    <cfRule type="expression" dxfId="390" priority="1891">
      <formula>AD182&lt;&gt;""</formula>
    </cfRule>
  </conditionalFormatting>
  <conditionalFormatting sqref="F184">
    <cfRule type="expression" dxfId="389" priority="1890">
      <formula>$K184&lt;&gt;""</formula>
    </cfRule>
  </conditionalFormatting>
  <conditionalFormatting sqref="C184">
    <cfRule type="expression" dxfId="388" priority="1889">
      <formula>$G184&lt;&gt;"-"</formula>
    </cfRule>
  </conditionalFormatting>
  <conditionalFormatting sqref="D184">
    <cfRule type="expression" dxfId="387" priority="1888">
      <formula>$H184&lt;&gt;"-"</formula>
    </cfRule>
  </conditionalFormatting>
  <conditionalFormatting sqref="E184">
    <cfRule type="expression" dxfId="386" priority="1887">
      <formula>$I184&lt;&gt;"-"</formula>
    </cfRule>
  </conditionalFormatting>
  <conditionalFormatting sqref="B187">
    <cfRule type="expression" dxfId="385" priority="1884">
      <formula>AD187&lt;&gt;""</formula>
    </cfRule>
  </conditionalFormatting>
  <conditionalFormatting sqref="Z187">
    <cfRule type="cellIs" dxfId="384" priority="1882" operator="greaterThan">
      <formula>0</formula>
    </cfRule>
    <cfRule type="cellIs" dxfId="383" priority="1883" operator="lessThan">
      <formula>0</formula>
    </cfRule>
  </conditionalFormatting>
  <conditionalFormatting sqref="S187">
    <cfRule type="cellIs" dxfId="382" priority="1881" operator="lessThan">
      <formula>0</formula>
    </cfRule>
  </conditionalFormatting>
  <conditionalFormatting sqref="P187">
    <cfRule type="cellIs" dxfId="381" priority="1879" operator="equal">
      <formula>AS_DURATION_EFFORT</formula>
    </cfRule>
    <cfRule type="cellIs" dxfId="380" priority="1880" operator="equal">
      <formula>AS_DEV_EFFORT</formula>
    </cfRule>
  </conditionalFormatting>
  <conditionalFormatting sqref="F187">
    <cfRule type="expression" dxfId="379" priority="1878">
      <formula>$K187&lt;&gt;""</formula>
    </cfRule>
  </conditionalFormatting>
  <conditionalFormatting sqref="C187">
    <cfRule type="expression" dxfId="378" priority="1877">
      <formula>$G187&lt;&gt;"-"</formula>
    </cfRule>
  </conditionalFormatting>
  <conditionalFormatting sqref="D187">
    <cfRule type="expression" dxfId="377" priority="1876">
      <formula>$H187&lt;&gt;"-"</formula>
    </cfRule>
  </conditionalFormatting>
  <conditionalFormatting sqref="E187">
    <cfRule type="expression" dxfId="376" priority="1875">
      <formula>$I187&lt;&gt;"-"</formula>
    </cfRule>
  </conditionalFormatting>
  <conditionalFormatting sqref="B186">
    <cfRule type="expression" dxfId="375" priority="1872">
      <formula>AD186&lt;&gt;""</formula>
    </cfRule>
  </conditionalFormatting>
  <conditionalFormatting sqref="Z186">
    <cfRule type="cellIs" dxfId="374" priority="1870" operator="greaterThan">
      <formula>0</formula>
    </cfRule>
    <cfRule type="cellIs" dxfId="373" priority="1871" operator="lessThan">
      <formula>0</formula>
    </cfRule>
  </conditionalFormatting>
  <conditionalFormatting sqref="S186">
    <cfRule type="cellIs" dxfId="372" priority="1869" operator="lessThan">
      <formula>0</formula>
    </cfRule>
  </conditionalFormatting>
  <conditionalFormatting sqref="P186">
    <cfRule type="cellIs" dxfId="371" priority="1867" operator="equal">
      <formula>AS_DURATION_EFFORT</formula>
    </cfRule>
    <cfRule type="cellIs" dxfId="370" priority="1868" operator="equal">
      <formula>AS_DEV_EFFORT</formula>
    </cfRule>
  </conditionalFormatting>
  <conditionalFormatting sqref="F186">
    <cfRule type="expression" dxfId="369" priority="1866">
      <formula>$K186&lt;&gt;""</formula>
    </cfRule>
  </conditionalFormatting>
  <conditionalFormatting sqref="C186">
    <cfRule type="expression" dxfId="368" priority="1865">
      <formula>$G186&lt;&gt;"-"</formula>
    </cfRule>
  </conditionalFormatting>
  <conditionalFormatting sqref="D186">
    <cfRule type="expression" dxfId="367" priority="1864">
      <formula>$H186&lt;&gt;"-"</formula>
    </cfRule>
  </conditionalFormatting>
  <conditionalFormatting sqref="E186">
    <cfRule type="expression" dxfId="366" priority="1863">
      <formula>$I186&lt;&gt;"-"</formula>
    </cfRule>
  </conditionalFormatting>
  <conditionalFormatting sqref="B185">
    <cfRule type="expression" dxfId="365" priority="1860">
      <formula>AD185&lt;&gt;""</formula>
    </cfRule>
  </conditionalFormatting>
  <conditionalFormatting sqref="Z185">
    <cfRule type="cellIs" dxfId="364" priority="1858" operator="greaterThan">
      <formula>0</formula>
    </cfRule>
    <cfRule type="cellIs" dxfId="363" priority="1859" operator="lessThan">
      <formula>0</formula>
    </cfRule>
  </conditionalFormatting>
  <conditionalFormatting sqref="S185">
    <cfRule type="cellIs" dxfId="362" priority="1857" operator="lessThan">
      <formula>0</formula>
    </cfRule>
  </conditionalFormatting>
  <conditionalFormatting sqref="P185">
    <cfRule type="cellIs" dxfId="361" priority="1855" operator="equal">
      <formula>AS_DURATION_EFFORT</formula>
    </cfRule>
    <cfRule type="cellIs" dxfId="360" priority="1856" operator="equal">
      <formula>AS_DEV_EFFORT</formula>
    </cfRule>
  </conditionalFormatting>
  <conditionalFormatting sqref="F185">
    <cfRule type="expression" dxfId="359" priority="1854">
      <formula>$K185&lt;&gt;""</formula>
    </cfRule>
  </conditionalFormatting>
  <conditionalFormatting sqref="C185">
    <cfRule type="expression" dxfId="358" priority="1853">
      <formula>$G185&lt;&gt;"-"</formula>
    </cfRule>
  </conditionalFormatting>
  <conditionalFormatting sqref="D185">
    <cfRule type="expression" dxfId="357" priority="1852">
      <formula>$H185&lt;&gt;"-"</formula>
    </cfRule>
  </conditionalFormatting>
  <conditionalFormatting sqref="E185">
    <cfRule type="expression" dxfId="356" priority="1851">
      <formula>$I185&lt;&gt;"-"</formula>
    </cfRule>
  </conditionalFormatting>
  <conditionalFormatting sqref="B194">
    <cfRule type="expression" dxfId="355" priority="1841">
      <formula>AD194&lt;&gt;""</formula>
    </cfRule>
  </conditionalFormatting>
  <conditionalFormatting sqref="Z194">
    <cfRule type="cellIs" dxfId="354" priority="1839" operator="greaterThan">
      <formula>0</formula>
    </cfRule>
    <cfRule type="cellIs" dxfId="353" priority="1840" operator="lessThan">
      <formula>0</formula>
    </cfRule>
  </conditionalFormatting>
  <conditionalFormatting sqref="S194">
    <cfRule type="cellIs" dxfId="352" priority="1838" operator="lessThan">
      <formula>0</formula>
    </cfRule>
  </conditionalFormatting>
  <conditionalFormatting sqref="T192:T193">
    <cfRule type="expression" dxfId="351" priority="1842">
      <formula>#REF!="Yes"</formula>
    </cfRule>
  </conditionalFormatting>
  <conditionalFormatting sqref="P194">
    <cfRule type="cellIs" dxfId="350" priority="1836" operator="equal">
      <formula>AS_DURATION_EFFORT</formula>
    </cfRule>
    <cfRule type="cellIs" dxfId="349" priority="1837" operator="equal">
      <formula>AS_DEV_EFFORT</formula>
    </cfRule>
  </conditionalFormatting>
  <conditionalFormatting sqref="B192:B193">
    <cfRule type="expression" dxfId="348" priority="1835">
      <formula>AD192&lt;&gt;""</formula>
    </cfRule>
  </conditionalFormatting>
  <conditionalFormatting sqref="F194">
    <cfRule type="expression" dxfId="347" priority="1834">
      <formula>$K194&lt;&gt;""</formula>
    </cfRule>
  </conditionalFormatting>
  <conditionalFormatting sqref="C194">
    <cfRule type="expression" dxfId="346" priority="1833">
      <formula>$G194&lt;&gt;"-"</formula>
    </cfRule>
  </conditionalFormatting>
  <conditionalFormatting sqref="D194">
    <cfRule type="expression" dxfId="345" priority="1832">
      <formula>$H194&lt;&gt;"-"</formula>
    </cfRule>
  </conditionalFormatting>
  <conditionalFormatting sqref="E194">
    <cfRule type="expression" dxfId="344" priority="1831">
      <formula>$I194&lt;&gt;"-"</formula>
    </cfRule>
  </conditionalFormatting>
  <conditionalFormatting sqref="B18">
    <cfRule type="expression" dxfId="343" priority="888">
      <formula>AD18&lt;&gt;""</formula>
    </cfRule>
  </conditionalFormatting>
  <conditionalFormatting sqref="Z18">
    <cfRule type="cellIs" dxfId="342" priority="886" operator="greaterThan">
      <formula>0</formula>
    </cfRule>
    <cfRule type="cellIs" dxfId="341" priority="887" operator="lessThan">
      <formula>0</formula>
    </cfRule>
  </conditionalFormatting>
  <conditionalFormatting sqref="S18">
    <cfRule type="cellIs" dxfId="340" priority="885" operator="lessThan">
      <formula>0</formula>
    </cfRule>
  </conditionalFormatting>
  <conditionalFormatting sqref="L18:M18 O18 R18:AC18">
    <cfRule type="expression" dxfId="339" priority="889">
      <formula>AND($G18="Yes", $S$6="Exclude")</formula>
    </cfRule>
    <cfRule type="expression" dxfId="338" priority="890">
      <formula>$J18="Yes"</formula>
    </cfRule>
  </conditionalFormatting>
  <conditionalFormatting sqref="F18">
    <cfRule type="expression" dxfId="337" priority="882">
      <formula>$K18&lt;&gt;""</formula>
    </cfRule>
  </conditionalFormatting>
  <conditionalFormatting sqref="C18">
    <cfRule type="expression" dxfId="336" priority="881">
      <formula>$G18&lt;&gt;"-"</formula>
    </cfRule>
  </conditionalFormatting>
  <conditionalFormatting sqref="D18">
    <cfRule type="expression" dxfId="335" priority="880">
      <formula>$H18&lt;&gt;"-"</formula>
    </cfRule>
  </conditionalFormatting>
  <conditionalFormatting sqref="E18">
    <cfRule type="expression" dxfId="334" priority="879">
      <formula>$I18&lt;&gt;"-"</formula>
    </cfRule>
  </conditionalFormatting>
  <conditionalFormatting sqref="B28">
    <cfRule type="expression" dxfId="333" priority="875">
      <formula>AD28&lt;&gt;""</formula>
    </cfRule>
  </conditionalFormatting>
  <conditionalFormatting sqref="Z28">
    <cfRule type="cellIs" dxfId="332" priority="873" operator="greaterThan">
      <formula>0</formula>
    </cfRule>
    <cfRule type="cellIs" dxfId="331" priority="874" operator="lessThan">
      <formula>0</formula>
    </cfRule>
  </conditionalFormatting>
  <conditionalFormatting sqref="S28">
    <cfRule type="cellIs" dxfId="330" priority="872" operator="lessThan">
      <formula>0</formula>
    </cfRule>
  </conditionalFormatting>
  <conditionalFormatting sqref="T26:T27">
    <cfRule type="expression" dxfId="329" priority="876">
      <formula>#REF!="Yes"</formula>
    </cfRule>
  </conditionalFormatting>
  <conditionalFormatting sqref="P28">
    <cfRule type="cellIs" dxfId="328" priority="870" operator="equal">
      <formula>AS_DURATION_EFFORT</formula>
    </cfRule>
    <cfRule type="cellIs" dxfId="327" priority="871" operator="equal">
      <formula>AS_DEV_EFFORT</formula>
    </cfRule>
  </conditionalFormatting>
  <conditionalFormatting sqref="B26:B27">
    <cfRule type="expression" dxfId="326" priority="869">
      <formula>AD26&lt;&gt;""</formula>
    </cfRule>
  </conditionalFormatting>
  <conditionalFormatting sqref="F28">
    <cfRule type="expression" dxfId="325" priority="868">
      <formula>$K28&lt;&gt;""</formula>
    </cfRule>
  </conditionalFormatting>
  <conditionalFormatting sqref="C28">
    <cfRule type="expression" dxfId="324" priority="867">
      <formula>$G28&lt;&gt;"-"</formula>
    </cfRule>
  </conditionalFormatting>
  <conditionalFormatting sqref="D28">
    <cfRule type="expression" dxfId="323" priority="866">
      <formula>$H28&lt;&gt;"-"</formula>
    </cfRule>
  </conditionalFormatting>
  <conditionalFormatting sqref="E28">
    <cfRule type="expression" dxfId="322" priority="865">
      <formula>$I28&lt;&gt;"-"</formula>
    </cfRule>
  </conditionalFormatting>
  <conditionalFormatting sqref="B35">
    <cfRule type="expression" dxfId="321" priority="861">
      <formula>AD35&lt;&gt;""</formula>
    </cfRule>
  </conditionalFormatting>
  <conditionalFormatting sqref="Z35">
    <cfRule type="cellIs" dxfId="320" priority="859" operator="greaterThan">
      <formula>0</formula>
    </cfRule>
    <cfRule type="cellIs" dxfId="319" priority="860" operator="lessThan">
      <formula>0</formula>
    </cfRule>
  </conditionalFormatting>
  <conditionalFormatting sqref="S35">
    <cfRule type="cellIs" dxfId="318" priority="858" operator="lessThan">
      <formula>0</formula>
    </cfRule>
  </conditionalFormatting>
  <conditionalFormatting sqref="T33:T34">
    <cfRule type="expression" dxfId="317" priority="862">
      <formula>#REF!="Yes"</formula>
    </cfRule>
  </conditionalFormatting>
  <conditionalFormatting sqref="P35">
    <cfRule type="cellIs" dxfId="316" priority="856" operator="equal">
      <formula>AS_DURATION_EFFORT</formula>
    </cfRule>
    <cfRule type="cellIs" dxfId="315" priority="857" operator="equal">
      <formula>AS_DEV_EFFORT</formula>
    </cfRule>
  </conditionalFormatting>
  <conditionalFormatting sqref="B33:B34">
    <cfRule type="expression" dxfId="314" priority="855">
      <formula>AD33&lt;&gt;""</formula>
    </cfRule>
  </conditionalFormatting>
  <conditionalFormatting sqref="F35">
    <cfRule type="expression" dxfId="313" priority="854">
      <formula>$K35&lt;&gt;""</formula>
    </cfRule>
  </conditionalFormatting>
  <conditionalFormatting sqref="C35">
    <cfRule type="expression" dxfId="312" priority="853">
      <formula>$G35&lt;&gt;"-"</formula>
    </cfRule>
  </conditionalFormatting>
  <conditionalFormatting sqref="D35">
    <cfRule type="expression" dxfId="311" priority="852">
      <formula>$H35&lt;&gt;"-"</formula>
    </cfRule>
  </conditionalFormatting>
  <conditionalFormatting sqref="E35">
    <cfRule type="expression" dxfId="310" priority="851">
      <formula>$I35&lt;&gt;"-"</formula>
    </cfRule>
  </conditionalFormatting>
  <conditionalFormatting sqref="B41">
    <cfRule type="expression" dxfId="309" priority="847">
      <formula>AD41&lt;&gt;""</formula>
    </cfRule>
  </conditionalFormatting>
  <conditionalFormatting sqref="Z41">
    <cfRule type="cellIs" dxfId="308" priority="845" operator="greaterThan">
      <formula>0</formula>
    </cfRule>
    <cfRule type="cellIs" dxfId="307" priority="846" operator="lessThan">
      <formula>0</formula>
    </cfRule>
  </conditionalFormatting>
  <conditionalFormatting sqref="S41">
    <cfRule type="cellIs" dxfId="306" priority="844" operator="lessThan">
      <formula>0</formula>
    </cfRule>
  </conditionalFormatting>
  <conditionalFormatting sqref="T39:T40">
    <cfRule type="expression" dxfId="305" priority="848">
      <formula>#REF!="Yes"</formula>
    </cfRule>
  </conditionalFormatting>
  <conditionalFormatting sqref="P41">
    <cfRule type="cellIs" dxfId="304" priority="842" operator="equal">
      <formula>AS_DURATION_EFFORT</formula>
    </cfRule>
    <cfRule type="cellIs" dxfId="303" priority="843" operator="equal">
      <formula>AS_DEV_EFFORT</formula>
    </cfRule>
  </conditionalFormatting>
  <conditionalFormatting sqref="B39:B40">
    <cfRule type="expression" dxfId="302" priority="841">
      <formula>AD39&lt;&gt;""</formula>
    </cfRule>
  </conditionalFormatting>
  <conditionalFormatting sqref="F41">
    <cfRule type="expression" dxfId="301" priority="840">
      <formula>$K41&lt;&gt;""</formula>
    </cfRule>
  </conditionalFormatting>
  <conditionalFormatting sqref="C41">
    <cfRule type="expression" dxfId="300" priority="839">
      <formula>$G41&lt;&gt;"-"</formula>
    </cfRule>
  </conditionalFormatting>
  <conditionalFormatting sqref="D41">
    <cfRule type="expression" dxfId="299" priority="838">
      <formula>$H41&lt;&gt;"-"</formula>
    </cfRule>
  </conditionalFormatting>
  <conditionalFormatting sqref="E41">
    <cfRule type="expression" dxfId="298" priority="837">
      <formula>$I41&lt;&gt;"-"</formula>
    </cfRule>
  </conditionalFormatting>
  <conditionalFormatting sqref="T45:T46">
    <cfRule type="expression" dxfId="297" priority="834">
      <formula>#REF!="Yes"</formula>
    </cfRule>
  </conditionalFormatting>
  <conditionalFormatting sqref="B45:B46">
    <cfRule type="expression" dxfId="296" priority="827">
      <formula>AD45&lt;&gt;""</formula>
    </cfRule>
  </conditionalFormatting>
  <conditionalFormatting sqref="B53">
    <cfRule type="expression" dxfId="295" priority="819">
      <formula>AD53&lt;&gt;""</formula>
    </cfRule>
  </conditionalFormatting>
  <conditionalFormatting sqref="Z53">
    <cfRule type="cellIs" dxfId="294" priority="817" operator="greaterThan">
      <formula>0</formula>
    </cfRule>
    <cfRule type="cellIs" dxfId="293" priority="818" operator="lessThan">
      <formula>0</formula>
    </cfRule>
  </conditionalFormatting>
  <conditionalFormatting sqref="S53">
    <cfRule type="cellIs" dxfId="292" priority="816" operator="lessThan">
      <formula>0</formula>
    </cfRule>
  </conditionalFormatting>
  <conditionalFormatting sqref="T51:T52">
    <cfRule type="expression" dxfId="291" priority="820">
      <formula>#REF!="Yes"</formula>
    </cfRule>
  </conditionalFormatting>
  <conditionalFormatting sqref="P53">
    <cfRule type="cellIs" dxfId="290" priority="814" operator="equal">
      <formula>AS_DURATION_EFFORT</formula>
    </cfRule>
    <cfRule type="cellIs" dxfId="289" priority="815" operator="equal">
      <formula>AS_DEV_EFFORT</formula>
    </cfRule>
  </conditionalFormatting>
  <conditionalFormatting sqref="B51:B52">
    <cfRule type="expression" dxfId="288" priority="813">
      <formula>AD51&lt;&gt;""</formula>
    </cfRule>
  </conditionalFormatting>
  <conditionalFormatting sqref="F53">
    <cfRule type="expression" dxfId="287" priority="812">
      <formula>$K53&lt;&gt;""</formula>
    </cfRule>
  </conditionalFormatting>
  <conditionalFormatting sqref="C53">
    <cfRule type="expression" dxfId="286" priority="811">
      <formula>$G53&lt;&gt;"-"</formula>
    </cfRule>
  </conditionalFormatting>
  <conditionalFormatting sqref="D53">
    <cfRule type="expression" dxfId="285" priority="810">
      <formula>$H53&lt;&gt;"-"</formula>
    </cfRule>
  </conditionalFormatting>
  <conditionalFormatting sqref="E53">
    <cfRule type="expression" dxfId="284" priority="809">
      <formula>$I53&lt;&gt;"-"</formula>
    </cfRule>
  </conditionalFormatting>
  <conditionalFormatting sqref="N18">
    <cfRule type="expression" dxfId="283" priority="807">
      <formula>AND($G18="Yes", $S$6="Exclude")</formula>
    </cfRule>
    <cfRule type="expression" dxfId="282" priority="808">
      <formula>$J18="Yes"</formula>
    </cfRule>
  </conditionalFormatting>
  <conditionalFormatting sqref="P18">
    <cfRule type="cellIs" dxfId="281" priority="803" operator="equal">
      <formula>AS_DURATION_EFFORT</formula>
    </cfRule>
    <cfRule type="cellIs" dxfId="280" priority="804" operator="equal">
      <formula>AS_DEV_EFFORT</formula>
    </cfRule>
  </conditionalFormatting>
  <conditionalFormatting sqref="P18:Q18">
    <cfRule type="expression" dxfId="279" priority="805">
      <formula>AND($G18="Yes", $S$6="Exclude")</formula>
    </cfRule>
    <cfRule type="expression" dxfId="278" priority="806">
      <formula>$J18="Yes"</formula>
    </cfRule>
  </conditionalFormatting>
  <conditionalFormatting sqref="B22">
    <cfRule type="expression" dxfId="277" priority="800">
      <formula>AD22&lt;&gt;""</formula>
    </cfRule>
  </conditionalFormatting>
  <conditionalFormatting sqref="Z22">
    <cfRule type="cellIs" dxfId="276" priority="798" operator="greaterThan">
      <formula>0</formula>
    </cfRule>
    <cfRule type="cellIs" dxfId="275" priority="799" operator="lessThan">
      <formula>0</formula>
    </cfRule>
  </conditionalFormatting>
  <conditionalFormatting sqref="S22">
    <cfRule type="cellIs" dxfId="274" priority="797" operator="lessThan">
      <formula>0</formula>
    </cfRule>
  </conditionalFormatting>
  <conditionalFormatting sqref="P22">
    <cfRule type="cellIs" dxfId="273" priority="795" operator="equal">
      <formula>AS_DURATION_EFFORT</formula>
    </cfRule>
    <cfRule type="cellIs" dxfId="272" priority="796" operator="equal">
      <formula>AS_DEV_EFFORT</formula>
    </cfRule>
  </conditionalFormatting>
  <conditionalFormatting sqref="L22:M22 O22:AC22">
    <cfRule type="expression" dxfId="271" priority="801">
      <formula>AND($G22="Yes", $S$6="Exclude")</formula>
    </cfRule>
    <cfRule type="expression" dxfId="270" priority="802">
      <formula>$J22="Yes"</formula>
    </cfRule>
  </conditionalFormatting>
  <conditionalFormatting sqref="F22">
    <cfRule type="expression" dxfId="269" priority="794">
      <formula>$K22&lt;&gt;""</formula>
    </cfRule>
  </conditionalFormatting>
  <conditionalFormatting sqref="C22">
    <cfRule type="expression" dxfId="268" priority="793">
      <formula>$G22&lt;&gt;"-"</formula>
    </cfRule>
  </conditionalFormatting>
  <conditionalFormatting sqref="D22">
    <cfRule type="expression" dxfId="267" priority="792">
      <formula>$H22&lt;&gt;"-"</formula>
    </cfRule>
  </conditionalFormatting>
  <conditionalFormatting sqref="E22">
    <cfRule type="expression" dxfId="266" priority="791">
      <formula>$I22&lt;&gt;"-"</formula>
    </cfRule>
  </conditionalFormatting>
  <conditionalFormatting sqref="N22">
    <cfRule type="expression" dxfId="265" priority="789">
      <formula>AND($G22="Yes", $S$6="Exclude")</formula>
    </cfRule>
    <cfRule type="expression" dxfId="264" priority="790">
      <formula>$J22="Yes"</formula>
    </cfRule>
  </conditionalFormatting>
  <conditionalFormatting sqref="B31">
    <cfRule type="expression" dxfId="263" priority="786">
      <formula>AD31&lt;&gt;""</formula>
    </cfRule>
  </conditionalFormatting>
  <conditionalFormatting sqref="Z31">
    <cfRule type="cellIs" dxfId="262" priority="784" operator="greaterThan">
      <formula>0</formula>
    </cfRule>
    <cfRule type="cellIs" dxfId="261" priority="785" operator="lessThan">
      <formula>0</formula>
    </cfRule>
  </conditionalFormatting>
  <conditionalFormatting sqref="S31">
    <cfRule type="cellIs" dxfId="260" priority="783" operator="lessThan">
      <formula>0</formula>
    </cfRule>
  </conditionalFormatting>
  <conditionalFormatting sqref="P31">
    <cfRule type="cellIs" dxfId="259" priority="781" operator="equal">
      <formula>AS_DURATION_EFFORT</formula>
    </cfRule>
    <cfRule type="cellIs" dxfId="258" priority="782" operator="equal">
      <formula>AS_DEV_EFFORT</formula>
    </cfRule>
  </conditionalFormatting>
  <conditionalFormatting sqref="L31:M31 O31:AC31">
    <cfRule type="expression" dxfId="257" priority="787">
      <formula>AND($G31="Yes", $S$6="Exclude")</formula>
    </cfRule>
    <cfRule type="expression" dxfId="256" priority="788">
      <formula>$J31="Yes"</formula>
    </cfRule>
  </conditionalFormatting>
  <conditionalFormatting sqref="F31">
    <cfRule type="expression" dxfId="255" priority="780">
      <formula>$K31&lt;&gt;""</formula>
    </cfRule>
  </conditionalFormatting>
  <conditionalFormatting sqref="C31">
    <cfRule type="expression" dxfId="254" priority="779">
      <formula>$G31&lt;&gt;"-"</formula>
    </cfRule>
  </conditionalFormatting>
  <conditionalFormatting sqref="D31">
    <cfRule type="expression" dxfId="253" priority="778">
      <formula>$H31&lt;&gt;"-"</formula>
    </cfRule>
  </conditionalFormatting>
  <conditionalFormatting sqref="E31">
    <cfRule type="expression" dxfId="252" priority="777">
      <formula>$I31&lt;&gt;"-"</formula>
    </cfRule>
  </conditionalFormatting>
  <conditionalFormatting sqref="B30">
    <cfRule type="expression" dxfId="251" priority="774">
      <formula>AD30&lt;&gt;""</formula>
    </cfRule>
  </conditionalFormatting>
  <conditionalFormatting sqref="Z30">
    <cfRule type="cellIs" dxfId="250" priority="772" operator="greaterThan">
      <formula>0</formula>
    </cfRule>
    <cfRule type="cellIs" dxfId="249" priority="773" operator="lessThan">
      <formula>0</formula>
    </cfRule>
  </conditionalFormatting>
  <conditionalFormatting sqref="S30">
    <cfRule type="cellIs" dxfId="248" priority="771" operator="lessThan">
      <formula>0</formula>
    </cfRule>
  </conditionalFormatting>
  <conditionalFormatting sqref="P30">
    <cfRule type="cellIs" dxfId="247" priority="769" operator="equal">
      <formula>AS_DURATION_EFFORT</formula>
    </cfRule>
    <cfRule type="cellIs" dxfId="246" priority="770" operator="equal">
      <formula>AS_DEV_EFFORT</formula>
    </cfRule>
  </conditionalFormatting>
  <conditionalFormatting sqref="L30:M30 P30:AC30">
    <cfRule type="expression" dxfId="245" priority="775">
      <formula>AND($G30="Yes", $S$6="Exclude")</formula>
    </cfRule>
    <cfRule type="expression" dxfId="244" priority="776">
      <formula>$J30="Yes"</formula>
    </cfRule>
  </conditionalFormatting>
  <conditionalFormatting sqref="F30">
    <cfRule type="expression" dxfId="243" priority="768">
      <formula>$K30&lt;&gt;""</formula>
    </cfRule>
  </conditionalFormatting>
  <conditionalFormatting sqref="C30">
    <cfRule type="expression" dxfId="242" priority="767">
      <formula>$G30&lt;&gt;"-"</formula>
    </cfRule>
  </conditionalFormatting>
  <conditionalFormatting sqref="D30">
    <cfRule type="expression" dxfId="241" priority="766">
      <formula>$H30&lt;&gt;"-"</formula>
    </cfRule>
  </conditionalFormatting>
  <conditionalFormatting sqref="E30">
    <cfRule type="expression" dxfId="240" priority="765">
      <formula>$I30&lt;&gt;"-"</formula>
    </cfRule>
  </conditionalFormatting>
  <conditionalFormatting sqref="B29">
    <cfRule type="expression" dxfId="239" priority="762">
      <formula>AD29&lt;&gt;""</formula>
    </cfRule>
  </conditionalFormatting>
  <conditionalFormatting sqref="Z29">
    <cfRule type="cellIs" dxfId="238" priority="760" operator="greaterThan">
      <formula>0</formula>
    </cfRule>
    <cfRule type="cellIs" dxfId="237" priority="761" operator="lessThan">
      <formula>0</formula>
    </cfRule>
  </conditionalFormatting>
  <conditionalFormatting sqref="S29">
    <cfRule type="cellIs" dxfId="236" priority="759" operator="lessThan">
      <formula>0</formula>
    </cfRule>
  </conditionalFormatting>
  <conditionalFormatting sqref="P29">
    <cfRule type="cellIs" dxfId="235" priority="757" operator="equal">
      <formula>AS_DURATION_EFFORT</formula>
    </cfRule>
    <cfRule type="cellIs" dxfId="234" priority="758" operator="equal">
      <formula>AS_DEV_EFFORT</formula>
    </cfRule>
  </conditionalFormatting>
  <conditionalFormatting sqref="L29:M29 P29:AC29">
    <cfRule type="expression" dxfId="233" priority="763">
      <formula>AND($G29="Yes", $S$6="Exclude")</formula>
    </cfRule>
    <cfRule type="expression" dxfId="232" priority="764">
      <formula>$J29="Yes"</formula>
    </cfRule>
  </conditionalFormatting>
  <conditionalFormatting sqref="F29">
    <cfRule type="expression" dxfId="231" priority="756">
      <formula>$K29&lt;&gt;""</formula>
    </cfRule>
  </conditionalFormatting>
  <conditionalFormatting sqref="C29">
    <cfRule type="expression" dxfId="230" priority="755">
      <formula>$G29&lt;&gt;"-"</formula>
    </cfRule>
  </conditionalFormatting>
  <conditionalFormatting sqref="D29">
    <cfRule type="expression" dxfId="229" priority="754">
      <formula>$H29&lt;&gt;"-"</formula>
    </cfRule>
  </conditionalFormatting>
  <conditionalFormatting sqref="E29">
    <cfRule type="expression" dxfId="228" priority="753">
      <formula>$I29&lt;&gt;"-"</formula>
    </cfRule>
  </conditionalFormatting>
  <conditionalFormatting sqref="N30:N31">
    <cfRule type="expression" dxfId="227" priority="751">
      <formula>AND($G30="Yes", $S$6="Exclude")</formula>
    </cfRule>
    <cfRule type="expression" dxfId="226" priority="752">
      <formula>$J30="Yes"</formula>
    </cfRule>
  </conditionalFormatting>
  <conditionalFormatting sqref="N28">
    <cfRule type="expression" dxfId="225" priority="749">
      <formula>AND($G28="Yes", $S$6="Exclude")</formula>
    </cfRule>
    <cfRule type="expression" dxfId="224" priority="750">
      <formula>$J28="Yes"</formula>
    </cfRule>
  </conditionalFormatting>
  <conditionalFormatting sqref="N29">
    <cfRule type="expression" dxfId="223" priority="747">
      <formula>AND($G29="Yes", $S$6="Exclude")</formula>
    </cfRule>
    <cfRule type="expression" dxfId="222" priority="748">
      <formula>$J29="Yes"</formula>
    </cfRule>
  </conditionalFormatting>
  <conditionalFormatting sqref="O30">
    <cfRule type="expression" dxfId="221" priority="745">
      <formula>AND($G30="Yes", $S$6="Exclude")</formula>
    </cfRule>
    <cfRule type="expression" dxfId="220" priority="746">
      <formula>$J30="Yes"</formula>
    </cfRule>
  </conditionalFormatting>
  <conditionalFormatting sqref="O29">
    <cfRule type="expression" dxfId="219" priority="743">
      <formula>AND($G29="Yes", $S$6="Exclude")</formula>
    </cfRule>
    <cfRule type="expression" dxfId="218" priority="744">
      <formula>$J29="Yes"</formula>
    </cfRule>
  </conditionalFormatting>
  <conditionalFormatting sqref="B37">
    <cfRule type="expression" dxfId="217" priority="740">
      <formula>AD37&lt;&gt;""</formula>
    </cfRule>
  </conditionalFormatting>
  <conditionalFormatting sqref="Z37">
    <cfRule type="cellIs" dxfId="216" priority="738" operator="greaterThan">
      <formula>0</formula>
    </cfRule>
    <cfRule type="cellIs" dxfId="215" priority="739" operator="lessThan">
      <formula>0</formula>
    </cfRule>
  </conditionalFormatting>
  <conditionalFormatting sqref="S37">
    <cfRule type="cellIs" dxfId="214" priority="737" operator="lessThan">
      <formula>0</formula>
    </cfRule>
  </conditionalFormatting>
  <conditionalFormatting sqref="P37">
    <cfRule type="cellIs" dxfId="213" priority="735" operator="equal">
      <formula>AS_DURATION_EFFORT</formula>
    </cfRule>
    <cfRule type="cellIs" dxfId="212" priority="736" operator="equal">
      <formula>AS_DEV_EFFORT</formula>
    </cfRule>
  </conditionalFormatting>
  <conditionalFormatting sqref="F37">
    <cfRule type="expression" dxfId="211" priority="734">
      <formula>$K37&lt;&gt;""</formula>
    </cfRule>
  </conditionalFormatting>
  <conditionalFormatting sqref="C37">
    <cfRule type="expression" dxfId="210" priority="733">
      <formula>$G37&lt;&gt;"-"</formula>
    </cfRule>
  </conditionalFormatting>
  <conditionalFormatting sqref="D37">
    <cfRule type="expression" dxfId="209" priority="732">
      <formula>$H37&lt;&gt;"-"</formula>
    </cfRule>
  </conditionalFormatting>
  <conditionalFormatting sqref="E37">
    <cfRule type="expression" dxfId="208" priority="731">
      <formula>$I37&lt;&gt;"-"</formula>
    </cfRule>
  </conditionalFormatting>
  <conditionalFormatting sqref="B36">
    <cfRule type="expression" dxfId="207" priority="716">
      <formula>AD36&lt;&gt;""</formula>
    </cfRule>
  </conditionalFormatting>
  <conditionalFormatting sqref="Z36">
    <cfRule type="cellIs" dxfId="206" priority="714" operator="greaterThan">
      <formula>0</formula>
    </cfRule>
    <cfRule type="cellIs" dxfId="205" priority="715" operator="lessThan">
      <formula>0</formula>
    </cfRule>
  </conditionalFormatting>
  <conditionalFormatting sqref="S36">
    <cfRule type="cellIs" dxfId="204" priority="713" operator="lessThan">
      <formula>0</formula>
    </cfRule>
  </conditionalFormatting>
  <conditionalFormatting sqref="P36">
    <cfRule type="cellIs" dxfId="203" priority="711" operator="equal">
      <formula>AS_DURATION_EFFORT</formula>
    </cfRule>
    <cfRule type="cellIs" dxfId="202" priority="712" operator="equal">
      <formula>AS_DEV_EFFORT</formula>
    </cfRule>
  </conditionalFormatting>
  <conditionalFormatting sqref="F36">
    <cfRule type="expression" dxfId="201" priority="710">
      <formula>$K36&lt;&gt;""</formula>
    </cfRule>
  </conditionalFormatting>
  <conditionalFormatting sqref="C36">
    <cfRule type="expression" dxfId="200" priority="709">
      <formula>$G36&lt;&gt;"-"</formula>
    </cfRule>
  </conditionalFormatting>
  <conditionalFormatting sqref="D36">
    <cfRule type="expression" dxfId="199" priority="708">
      <formula>$H36&lt;&gt;"-"</formula>
    </cfRule>
  </conditionalFormatting>
  <conditionalFormatting sqref="E36">
    <cfRule type="expression" dxfId="198" priority="707">
      <formula>$I36&lt;&gt;"-"</formula>
    </cfRule>
  </conditionalFormatting>
  <conditionalFormatting sqref="N35">
    <cfRule type="expression" dxfId="197" priority="693">
      <formula>AND($G35="Yes", $S$6="Exclude")</formula>
    </cfRule>
    <cfRule type="expression" dxfId="196" priority="694">
      <formula>$J35="Yes"</formula>
    </cfRule>
  </conditionalFormatting>
  <conditionalFormatting sqref="B43">
    <cfRule type="expression" dxfId="195" priority="676">
      <formula>AD43&lt;&gt;""</formula>
    </cfRule>
  </conditionalFormatting>
  <conditionalFormatting sqref="Z43">
    <cfRule type="cellIs" dxfId="194" priority="674" operator="greaterThan">
      <formula>0</formula>
    </cfRule>
    <cfRule type="cellIs" dxfId="193" priority="675" operator="lessThan">
      <formula>0</formula>
    </cfRule>
  </conditionalFormatting>
  <conditionalFormatting sqref="S43">
    <cfRule type="cellIs" dxfId="192" priority="673" operator="lessThan">
      <formula>0</formula>
    </cfRule>
  </conditionalFormatting>
  <conditionalFormatting sqref="P43">
    <cfRule type="cellIs" dxfId="191" priority="671" operator="equal">
      <formula>AS_DURATION_EFFORT</formula>
    </cfRule>
    <cfRule type="cellIs" dxfId="190" priority="672" operator="equal">
      <formula>AS_DEV_EFFORT</formula>
    </cfRule>
  </conditionalFormatting>
  <conditionalFormatting sqref="F43">
    <cfRule type="expression" dxfId="189" priority="670">
      <formula>$K43&lt;&gt;""</formula>
    </cfRule>
  </conditionalFormatting>
  <conditionalFormatting sqref="C43">
    <cfRule type="expression" dxfId="188" priority="669">
      <formula>$G43&lt;&gt;"-"</formula>
    </cfRule>
  </conditionalFormatting>
  <conditionalFormatting sqref="D43">
    <cfRule type="expression" dxfId="187" priority="668">
      <formula>$H43&lt;&gt;"-"</formula>
    </cfRule>
  </conditionalFormatting>
  <conditionalFormatting sqref="E43">
    <cfRule type="expression" dxfId="186" priority="667">
      <formula>$I43&lt;&gt;"-"</formula>
    </cfRule>
  </conditionalFormatting>
  <conditionalFormatting sqref="B42">
    <cfRule type="expression" dxfId="185" priority="664">
      <formula>AD42&lt;&gt;""</formula>
    </cfRule>
  </conditionalFormatting>
  <conditionalFormatting sqref="Z42">
    <cfRule type="cellIs" dxfId="184" priority="662" operator="greaterThan">
      <formula>0</formula>
    </cfRule>
    <cfRule type="cellIs" dxfId="183" priority="663" operator="lessThan">
      <formula>0</formula>
    </cfRule>
  </conditionalFormatting>
  <conditionalFormatting sqref="S42">
    <cfRule type="cellIs" dxfId="182" priority="661" operator="lessThan">
      <formula>0</formula>
    </cfRule>
  </conditionalFormatting>
  <conditionalFormatting sqref="P42">
    <cfRule type="cellIs" dxfId="181" priority="659" operator="equal">
      <formula>AS_DURATION_EFFORT</formula>
    </cfRule>
    <cfRule type="cellIs" dxfId="180" priority="660" operator="equal">
      <formula>AS_DEV_EFFORT</formula>
    </cfRule>
  </conditionalFormatting>
  <conditionalFormatting sqref="F42">
    <cfRule type="expression" dxfId="179" priority="658">
      <formula>$K42&lt;&gt;""</formula>
    </cfRule>
  </conditionalFormatting>
  <conditionalFormatting sqref="C42">
    <cfRule type="expression" dxfId="178" priority="657">
      <formula>$G42&lt;&gt;"-"</formula>
    </cfRule>
  </conditionalFormatting>
  <conditionalFormatting sqref="D42">
    <cfRule type="expression" dxfId="177" priority="656">
      <formula>$H42&lt;&gt;"-"</formula>
    </cfRule>
  </conditionalFormatting>
  <conditionalFormatting sqref="E42">
    <cfRule type="expression" dxfId="176" priority="655">
      <formula>$I42&lt;&gt;"-"</formula>
    </cfRule>
  </conditionalFormatting>
  <conditionalFormatting sqref="P41">
    <cfRule type="cellIs" dxfId="175" priority="651" operator="equal">
      <formula>AS_DURATION_EFFORT</formula>
    </cfRule>
    <cfRule type="cellIs" dxfId="174" priority="652" operator="equal">
      <formula>AS_DEV_EFFORT</formula>
    </cfRule>
  </conditionalFormatting>
  <conditionalFormatting sqref="B49">
    <cfRule type="expression" dxfId="173" priority="648">
      <formula>AD49&lt;&gt;""</formula>
    </cfRule>
  </conditionalFormatting>
  <conditionalFormatting sqref="Z49">
    <cfRule type="cellIs" dxfId="172" priority="646" operator="greaterThan">
      <formula>0</formula>
    </cfRule>
    <cfRule type="cellIs" dxfId="171" priority="647" operator="lessThan">
      <formula>0</formula>
    </cfRule>
  </conditionalFormatting>
  <conditionalFormatting sqref="S49">
    <cfRule type="cellIs" dxfId="170" priority="645" operator="lessThan">
      <formula>0</formula>
    </cfRule>
  </conditionalFormatting>
  <conditionalFormatting sqref="P49">
    <cfRule type="cellIs" dxfId="169" priority="643" operator="equal">
      <formula>AS_DURATION_EFFORT</formula>
    </cfRule>
    <cfRule type="cellIs" dxfId="168" priority="644" operator="equal">
      <formula>AS_DEV_EFFORT</formula>
    </cfRule>
  </conditionalFormatting>
  <conditionalFormatting sqref="F49">
    <cfRule type="expression" dxfId="167" priority="642">
      <formula>$K49&lt;&gt;""</formula>
    </cfRule>
  </conditionalFormatting>
  <conditionalFormatting sqref="C49">
    <cfRule type="expression" dxfId="166" priority="641">
      <formula>$G49&lt;&gt;"-"</formula>
    </cfRule>
  </conditionalFormatting>
  <conditionalFormatting sqref="D49">
    <cfRule type="expression" dxfId="165" priority="640">
      <formula>$H49&lt;&gt;"-"</formula>
    </cfRule>
  </conditionalFormatting>
  <conditionalFormatting sqref="E49">
    <cfRule type="expression" dxfId="164" priority="639">
      <formula>$I49&lt;&gt;"-"</formula>
    </cfRule>
  </conditionalFormatting>
  <conditionalFormatting sqref="B48">
    <cfRule type="expression" dxfId="163" priority="636">
      <formula>AD48&lt;&gt;""</formula>
    </cfRule>
  </conditionalFormatting>
  <conditionalFormatting sqref="Z48">
    <cfRule type="cellIs" dxfId="162" priority="634" operator="greaterThan">
      <formula>0</formula>
    </cfRule>
    <cfRule type="cellIs" dxfId="161" priority="635" operator="lessThan">
      <formula>0</formula>
    </cfRule>
  </conditionalFormatting>
  <conditionalFormatting sqref="S48">
    <cfRule type="cellIs" dxfId="160" priority="633" operator="lessThan">
      <formula>0</formula>
    </cfRule>
  </conditionalFormatting>
  <conditionalFormatting sqref="P48">
    <cfRule type="cellIs" dxfId="159" priority="631" operator="equal">
      <formula>AS_DURATION_EFFORT</formula>
    </cfRule>
    <cfRule type="cellIs" dxfId="158" priority="632" operator="equal">
      <formula>AS_DEV_EFFORT</formula>
    </cfRule>
  </conditionalFormatting>
  <conditionalFormatting sqref="F48">
    <cfRule type="expression" dxfId="157" priority="630">
      <formula>$K48&lt;&gt;""</formula>
    </cfRule>
  </conditionalFormatting>
  <conditionalFormatting sqref="C48">
    <cfRule type="expression" dxfId="156" priority="629">
      <formula>$G48&lt;&gt;"-"</formula>
    </cfRule>
  </conditionalFormatting>
  <conditionalFormatting sqref="D48">
    <cfRule type="expression" dxfId="155" priority="628">
      <formula>$H48&lt;&gt;"-"</formula>
    </cfRule>
  </conditionalFormatting>
  <conditionalFormatting sqref="E48">
    <cfRule type="expression" dxfId="154" priority="627">
      <formula>$I48&lt;&gt;"-"</formula>
    </cfRule>
  </conditionalFormatting>
  <conditionalFormatting sqref="B47">
    <cfRule type="expression" dxfId="153" priority="600">
      <formula>AD47&lt;&gt;""</formula>
    </cfRule>
  </conditionalFormatting>
  <conditionalFormatting sqref="Z47">
    <cfRule type="cellIs" dxfId="152" priority="598" operator="greaterThan">
      <formula>0</formula>
    </cfRule>
    <cfRule type="cellIs" dxfId="151" priority="599" operator="lessThan">
      <formula>0</formula>
    </cfRule>
  </conditionalFormatting>
  <conditionalFormatting sqref="S47">
    <cfRule type="cellIs" dxfId="150" priority="597" operator="lessThan">
      <formula>0</formula>
    </cfRule>
  </conditionalFormatting>
  <conditionalFormatting sqref="P47">
    <cfRule type="cellIs" dxfId="149" priority="595" operator="equal">
      <formula>AS_DURATION_EFFORT</formula>
    </cfRule>
    <cfRule type="cellIs" dxfId="148" priority="596" operator="equal">
      <formula>AS_DEV_EFFORT</formula>
    </cfRule>
  </conditionalFormatting>
  <conditionalFormatting sqref="F47">
    <cfRule type="expression" dxfId="147" priority="594">
      <formula>$K47&lt;&gt;""</formula>
    </cfRule>
  </conditionalFormatting>
  <conditionalFormatting sqref="C47">
    <cfRule type="expression" dxfId="146" priority="593">
      <formula>$G47&lt;&gt;"-"</formula>
    </cfRule>
  </conditionalFormatting>
  <conditionalFormatting sqref="D47">
    <cfRule type="expression" dxfId="145" priority="592">
      <formula>$H47&lt;&gt;"-"</formula>
    </cfRule>
  </conditionalFormatting>
  <conditionalFormatting sqref="E47">
    <cfRule type="expression" dxfId="144" priority="591">
      <formula>$I47&lt;&gt;"-"</formula>
    </cfRule>
  </conditionalFormatting>
  <conditionalFormatting sqref="B56">
    <cfRule type="expression" dxfId="143" priority="586">
      <formula>AD56&lt;&gt;""</formula>
    </cfRule>
  </conditionalFormatting>
  <conditionalFormatting sqref="Z56">
    <cfRule type="cellIs" dxfId="142" priority="584" operator="greaterThan">
      <formula>0</formula>
    </cfRule>
    <cfRule type="cellIs" dxfId="141" priority="585" operator="lessThan">
      <formula>0</formula>
    </cfRule>
  </conditionalFormatting>
  <conditionalFormatting sqref="S56">
    <cfRule type="cellIs" dxfId="140" priority="583" operator="lessThan">
      <formula>0</formula>
    </cfRule>
  </conditionalFormatting>
  <conditionalFormatting sqref="P56">
    <cfRule type="cellIs" dxfId="139" priority="581" operator="equal">
      <formula>AS_DURATION_EFFORT</formula>
    </cfRule>
    <cfRule type="cellIs" dxfId="138" priority="582" operator="equal">
      <formula>AS_DEV_EFFORT</formula>
    </cfRule>
  </conditionalFormatting>
  <conditionalFormatting sqref="F56">
    <cfRule type="expression" dxfId="137" priority="580">
      <formula>$K56&lt;&gt;""</formula>
    </cfRule>
  </conditionalFormatting>
  <conditionalFormatting sqref="C56">
    <cfRule type="expression" dxfId="136" priority="579">
      <formula>$G56&lt;&gt;"-"</formula>
    </cfRule>
  </conditionalFormatting>
  <conditionalFormatting sqref="D56">
    <cfRule type="expression" dxfId="135" priority="578">
      <formula>$H56&lt;&gt;"-"</formula>
    </cfRule>
  </conditionalFormatting>
  <conditionalFormatting sqref="E56">
    <cfRule type="expression" dxfId="134" priority="577">
      <formula>$I56&lt;&gt;"-"</formula>
    </cfRule>
  </conditionalFormatting>
  <conditionalFormatting sqref="B55">
    <cfRule type="expression" dxfId="133" priority="574">
      <formula>AD55&lt;&gt;""</formula>
    </cfRule>
  </conditionalFormatting>
  <conditionalFormatting sqref="Z55">
    <cfRule type="cellIs" dxfId="132" priority="572" operator="greaterThan">
      <formula>0</formula>
    </cfRule>
    <cfRule type="cellIs" dxfId="131" priority="573" operator="lessThan">
      <formula>0</formula>
    </cfRule>
  </conditionalFormatting>
  <conditionalFormatting sqref="S55">
    <cfRule type="cellIs" dxfId="130" priority="571" operator="lessThan">
      <formula>0</formula>
    </cfRule>
  </conditionalFormatting>
  <conditionalFormatting sqref="P55">
    <cfRule type="cellIs" dxfId="129" priority="569" operator="equal">
      <formula>AS_DURATION_EFFORT</formula>
    </cfRule>
    <cfRule type="cellIs" dxfId="128" priority="570" operator="equal">
      <formula>AS_DEV_EFFORT</formula>
    </cfRule>
  </conditionalFormatting>
  <conditionalFormatting sqref="F55">
    <cfRule type="expression" dxfId="127" priority="568">
      <formula>$K55&lt;&gt;""</formula>
    </cfRule>
  </conditionalFormatting>
  <conditionalFormatting sqref="C55">
    <cfRule type="expression" dxfId="126" priority="567">
      <formula>$G55&lt;&gt;"-"</formula>
    </cfRule>
  </conditionalFormatting>
  <conditionalFormatting sqref="D55">
    <cfRule type="expression" dxfId="125" priority="566">
      <formula>$H55&lt;&gt;"-"</formula>
    </cfRule>
  </conditionalFormatting>
  <conditionalFormatting sqref="E55">
    <cfRule type="expression" dxfId="124" priority="565">
      <formula>$I55&lt;&gt;"-"</formula>
    </cfRule>
  </conditionalFormatting>
  <conditionalFormatting sqref="B54">
    <cfRule type="expression" dxfId="123" priority="550">
      <formula>AD54&lt;&gt;""</formula>
    </cfRule>
  </conditionalFormatting>
  <conditionalFormatting sqref="Z54">
    <cfRule type="cellIs" dxfId="122" priority="548" operator="greaterThan">
      <formula>0</formula>
    </cfRule>
    <cfRule type="cellIs" dxfId="121" priority="549" operator="lessThan">
      <formula>0</formula>
    </cfRule>
  </conditionalFormatting>
  <conditionalFormatting sqref="S54">
    <cfRule type="cellIs" dxfId="120" priority="547" operator="lessThan">
      <formula>0</formula>
    </cfRule>
  </conditionalFormatting>
  <conditionalFormatting sqref="P54">
    <cfRule type="cellIs" dxfId="119" priority="545" operator="equal">
      <formula>AS_DURATION_EFFORT</formula>
    </cfRule>
    <cfRule type="cellIs" dxfId="118" priority="546" operator="equal">
      <formula>AS_DEV_EFFORT</formula>
    </cfRule>
  </conditionalFormatting>
  <conditionalFormatting sqref="F54">
    <cfRule type="expression" dxfId="117" priority="544">
      <formula>$K54&lt;&gt;""</formula>
    </cfRule>
  </conditionalFormatting>
  <conditionalFormatting sqref="C54">
    <cfRule type="expression" dxfId="116" priority="543">
      <formula>$G54&lt;&gt;"-"</formula>
    </cfRule>
  </conditionalFormatting>
  <conditionalFormatting sqref="D54">
    <cfRule type="expression" dxfId="115" priority="542">
      <formula>$H54&lt;&gt;"-"</formula>
    </cfRule>
  </conditionalFormatting>
  <conditionalFormatting sqref="E54">
    <cfRule type="expression" dxfId="114" priority="541">
      <formula>$I54&lt;&gt;"-"</formula>
    </cfRule>
  </conditionalFormatting>
  <conditionalFormatting sqref="B125">
    <cfRule type="expression" dxfId="113" priority="533">
      <formula>AD125&lt;&gt;""</formula>
    </cfRule>
  </conditionalFormatting>
  <conditionalFormatting sqref="Z125">
    <cfRule type="cellIs" dxfId="112" priority="531" operator="greaterThan">
      <formula>0</formula>
    </cfRule>
    <cfRule type="cellIs" dxfId="111" priority="532" operator="lessThan">
      <formula>0</formula>
    </cfRule>
  </conditionalFormatting>
  <conditionalFormatting sqref="S125">
    <cfRule type="cellIs" dxfId="110" priority="530" operator="lessThan">
      <formula>0</formula>
    </cfRule>
  </conditionalFormatting>
  <conditionalFormatting sqref="T123:T124">
    <cfRule type="expression" dxfId="109" priority="534">
      <formula>#REF!="Yes"</formula>
    </cfRule>
  </conditionalFormatting>
  <conditionalFormatting sqref="P125">
    <cfRule type="cellIs" dxfId="108" priority="528" operator="equal">
      <formula>AS_DURATION_EFFORT</formula>
    </cfRule>
    <cfRule type="cellIs" dxfId="107" priority="529" operator="equal">
      <formula>AS_DEV_EFFORT</formula>
    </cfRule>
  </conditionalFormatting>
  <conditionalFormatting sqref="B123:B124">
    <cfRule type="expression" dxfId="106" priority="527">
      <formula>AD123&lt;&gt;""</formula>
    </cfRule>
  </conditionalFormatting>
  <conditionalFormatting sqref="F125">
    <cfRule type="expression" dxfId="105" priority="526">
      <formula>$K125&lt;&gt;""</formula>
    </cfRule>
  </conditionalFormatting>
  <conditionalFormatting sqref="C125">
    <cfRule type="expression" dxfId="104" priority="525">
      <formula>$G125&lt;&gt;"-"</formula>
    </cfRule>
  </conditionalFormatting>
  <conditionalFormatting sqref="D125">
    <cfRule type="expression" dxfId="103" priority="524">
      <formula>$H125&lt;&gt;"-"</formula>
    </cfRule>
  </conditionalFormatting>
  <conditionalFormatting sqref="E125">
    <cfRule type="expression" dxfId="102" priority="523">
      <formula>$I125&lt;&gt;"-"</formula>
    </cfRule>
  </conditionalFormatting>
  <conditionalFormatting sqref="S122">
    <cfRule type="expression" dxfId="101" priority="522">
      <formula>#REF!="Yes"</formula>
    </cfRule>
  </conditionalFormatting>
  <conditionalFormatting sqref="B122">
    <cfRule type="expression" dxfId="100" priority="521">
      <formula>AD122&lt;&gt;""</formula>
    </cfRule>
  </conditionalFormatting>
  <conditionalFormatting sqref="B126">
    <cfRule type="expression" dxfId="99" priority="518">
      <formula>AD126&lt;&gt;""</formula>
    </cfRule>
  </conditionalFormatting>
  <conditionalFormatting sqref="Z126">
    <cfRule type="cellIs" dxfId="98" priority="516" operator="greaterThan">
      <formula>0</formula>
    </cfRule>
    <cfRule type="cellIs" dxfId="97" priority="517" operator="lessThan">
      <formula>0</formula>
    </cfRule>
  </conditionalFormatting>
  <conditionalFormatting sqref="S126">
    <cfRule type="cellIs" dxfId="96" priority="515" operator="lessThan">
      <formula>0</formula>
    </cfRule>
  </conditionalFormatting>
  <conditionalFormatting sqref="P126">
    <cfRule type="cellIs" dxfId="95" priority="513" operator="equal">
      <formula>AS_DURATION_EFFORT</formula>
    </cfRule>
    <cfRule type="cellIs" dxfId="94" priority="514" operator="equal">
      <formula>AS_DEV_EFFORT</formula>
    </cfRule>
  </conditionalFormatting>
  <conditionalFormatting sqref="F126">
    <cfRule type="expression" dxfId="93" priority="512">
      <formula>$K126&lt;&gt;""</formula>
    </cfRule>
  </conditionalFormatting>
  <conditionalFormatting sqref="C126">
    <cfRule type="expression" dxfId="92" priority="511">
      <formula>$G126&lt;&gt;"-"</formula>
    </cfRule>
  </conditionalFormatting>
  <conditionalFormatting sqref="D126">
    <cfRule type="expression" dxfId="91" priority="510">
      <formula>$H126&lt;&gt;"-"</formula>
    </cfRule>
  </conditionalFormatting>
  <conditionalFormatting sqref="E126">
    <cfRule type="expression" dxfId="90" priority="509">
      <formula>$I126&lt;&gt;"-"</formula>
    </cfRule>
  </conditionalFormatting>
  <conditionalFormatting sqref="B140">
    <cfRule type="expression" dxfId="89" priority="107">
      <formula>AD140&lt;&gt;""</formula>
    </cfRule>
  </conditionalFormatting>
  <conditionalFormatting sqref="Z140">
    <cfRule type="cellIs" dxfId="88" priority="105" operator="greaterThan">
      <formula>0</formula>
    </cfRule>
    <cfRule type="cellIs" dxfId="87" priority="106" operator="lessThan">
      <formula>0</formula>
    </cfRule>
  </conditionalFormatting>
  <conditionalFormatting sqref="S140">
    <cfRule type="cellIs" dxfId="86" priority="104" operator="lessThan">
      <formula>0</formula>
    </cfRule>
  </conditionalFormatting>
  <conditionalFormatting sqref="T138:T139">
    <cfRule type="expression" dxfId="85" priority="108">
      <formula>#REF!="Yes"</formula>
    </cfRule>
  </conditionalFormatting>
  <conditionalFormatting sqref="P140">
    <cfRule type="cellIs" dxfId="84" priority="102" operator="equal">
      <formula>AS_DURATION_EFFORT</formula>
    </cfRule>
    <cfRule type="cellIs" dxfId="83" priority="103" operator="equal">
      <formula>AS_DEV_EFFORT</formula>
    </cfRule>
  </conditionalFormatting>
  <conditionalFormatting sqref="B138:B139">
    <cfRule type="expression" dxfId="82" priority="101">
      <formula>AD138&lt;&gt;""</formula>
    </cfRule>
  </conditionalFormatting>
  <conditionalFormatting sqref="F140">
    <cfRule type="expression" dxfId="81" priority="100">
      <formula>$K140&lt;&gt;""</formula>
    </cfRule>
  </conditionalFormatting>
  <conditionalFormatting sqref="C140">
    <cfRule type="expression" dxfId="80" priority="99">
      <formula>$G140&lt;&gt;"-"</formula>
    </cfRule>
  </conditionalFormatting>
  <conditionalFormatting sqref="D140">
    <cfRule type="expression" dxfId="79" priority="98">
      <formula>$H140&lt;&gt;"-"</formula>
    </cfRule>
  </conditionalFormatting>
  <conditionalFormatting sqref="E140">
    <cfRule type="expression" dxfId="78" priority="97">
      <formula>$I140&lt;&gt;"-"</formula>
    </cfRule>
  </conditionalFormatting>
  <conditionalFormatting sqref="B141">
    <cfRule type="expression" dxfId="77" priority="96">
      <formula>AD141&lt;&gt;""</formula>
    </cfRule>
  </conditionalFormatting>
  <conditionalFormatting sqref="Z141">
    <cfRule type="cellIs" dxfId="76" priority="94" operator="greaterThan">
      <formula>0</formula>
    </cfRule>
    <cfRule type="cellIs" dxfId="75" priority="95" operator="lessThan">
      <formula>0</formula>
    </cfRule>
  </conditionalFormatting>
  <conditionalFormatting sqref="S141">
    <cfRule type="cellIs" dxfId="74" priority="93" operator="lessThan">
      <formula>0</formula>
    </cfRule>
  </conditionalFormatting>
  <conditionalFormatting sqref="P141">
    <cfRule type="cellIs" dxfId="73" priority="91" operator="equal">
      <formula>AS_DURATION_EFFORT</formula>
    </cfRule>
    <cfRule type="cellIs" dxfId="72" priority="92" operator="equal">
      <formula>AS_DEV_EFFORT</formula>
    </cfRule>
  </conditionalFormatting>
  <conditionalFormatting sqref="F141">
    <cfRule type="expression" dxfId="71" priority="90">
      <formula>$K141&lt;&gt;""</formula>
    </cfRule>
  </conditionalFormatting>
  <conditionalFormatting sqref="C141">
    <cfRule type="expression" dxfId="70" priority="89">
      <formula>$G141&lt;&gt;"-"</formula>
    </cfRule>
  </conditionalFormatting>
  <conditionalFormatting sqref="D141">
    <cfRule type="expression" dxfId="69" priority="88">
      <formula>$H141&lt;&gt;"-"</formula>
    </cfRule>
  </conditionalFormatting>
  <conditionalFormatting sqref="E141">
    <cfRule type="expression" dxfId="68" priority="87">
      <formula>$I141&lt;&gt;"-"</formula>
    </cfRule>
  </conditionalFormatting>
  <conditionalFormatting sqref="B142">
    <cfRule type="expression" dxfId="67" priority="86">
      <formula>AD142&lt;&gt;""</formula>
    </cfRule>
  </conditionalFormatting>
  <conditionalFormatting sqref="Z142">
    <cfRule type="cellIs" dxfId="66" priority="84" operator="greaterThan">
      <formula>0</formula>
    </cfRule>
    <cfRule type="cellIs" dxfId="65" priority="85" operator="lessThan">
      <formula>0</formula>
    </cfRule>
  </conditionalFormatting>
  <conditionalFormatting sqref="S142">
    <cfRule type="cellIs" dxfId="64" priority="83" operator="lessThan">
      <formula>0</formula>
    </cfRule>
  </conditionalFormatting>
  <conditionalFormatting sqref="P142">
    <cfRule type="cellIs" dxfId="63" priority="81" operator="equal">
      <formula>AS_DURATION_EFFORT</formula>
    </cfRule>
    <cfRule type="cellIs" dxfId="62" priority="82" operator="equal">
      <formula>AS_DEV_EFFORT</formula>
    </cfRule>
  </conditionalFormatting>
  <conditionalFormatting sqref="F142">
    <cfRule type="expression" dxfId="61" priority="80">
      <formula>$K142&lt;&gt;""</formula>
    </cfRule>
  </conditionalFormatting>
  <conditionalFormatting sqref="C142">
    <cfRule type="expression" dxfId="60" priority="79">
      <formula>$G142&lt;&gt;"-"</formula>
    </cfRule>
  </conditionalFormatting>
  <conditionalFormatting sqref="D142">
    <cfRule type="expression" dxfId="59" priority="78">
      <formula>$H142&lt;&gt;"-"</formula>
    </cfRule>
  </conditionalFormatting>
  <conditionalFormatting sqref="E142">
    <cfRule type="expression" dxfId="58" priority="77">
      <formula>$I142&lt;&gt;"-"</formula>
    </cfRule>
  </conditionalFormatting>
  <conditionalFormatting sqref="B143">
    <cfRule type="expression" dxfId="57" priority="76">
      <formula>AD143&lt;&gt;""</formula>
    </cfRule>
  </conditionalFormatting>
  <conditionalFormatting sqref="Z143">
    <cfRule type="cellIs" dxfId="56" priority="74" operator="greaterThan">
      <formula>0</formula>
    </cfRule>
    <cfRule type="cellIs" dxfId="55" priority="75" operator="lessThan">
      <formula>0</formula>
    </cfRule>
  </conditionalFormatting>
  <conditionalFormatting sqref="S143">
    <cfRule type="cellIs" dxfId="54" priority="73" operator="lessThan">
      <formula>0</formula>
    </cfRule>
  </conditionalFormatting>
  <conditionalFormatting sqref="P143">
    <cfRule type="cellIs" dxfId="53" priority="71" operator="equal">
      <formula>AS_DURATION_EFFORT</formula>
    </cfRule>
    <cfRule type="cellIs" dxfId="52" priority="72" operator="equal">
      <formula>AS_DEV_EFFORT</formula>
    </cfRule>
  </conditionalFormatting>
  <conditionalFormatting sqref="F143">
    <cfRule type="expression" dxfId="51" priority="70">
      <formula>$K143&lt;&gt;""</formula>
    </cfRule>
  </conditionalFormatting>
  <conditionalFormatting sqref="C143">
    <cfRule type="expression" dxfId="50" priority="69">
      <formula>$G143&lt;&gt;"-"</formula>
    </cfRule>
  </conditionalFormatting>
  <conditionalFormatting sqref="D143">
    <cfRule type="expression" dxfId="49" priority="68">
      <formula>$H143&lt;&gt;"-"</formula>
    </cfRule>
  </conditionalFormatting>
  <conditionalFormatting sqref="E143">
    <cfRule type="expression" dxfId="48" priority="67">
      <formula>$I143&lt;&gt;"-"</formula>
    </cfRule>
  </conditionalFormatting>
  <conditionalFormatting sqref="B134">
    <cfRule type="expression" dxfId="47" priority="63">
      <formula>AD134&lt;&gt;""</formula>
    </cfRule>
  </conditionalFormatting>
  <conditionalFormatting sqref="Z134">
    <cfRule type="cellIs" dxfId="46" priority="61" operator="greaterThan">
      <formula>0</formula>
    </cfRule>
    <cfRule type="cellIs" dxfId="45" priority="62" operator="lessThan">
      <formula>0</formula>
    </cfRule>
  </conditionalFormatting>
  <conditionalFormatting sqref="S134">
    <cfRule type="cellIs" dxfId="44" priority="60" operator="lessThan">
      <formula>0</formula>
    </cfRule>
  </conditionalFormatting>
  <conditionalFormatting sqref="T132:T133">
    <cfRule type="expression" dxfId="43" priority="64">
      <formula>#REF!="Yes"</formula>
    </cfRule>
  </conditionalFormatting>
  <conditionalFormatting sqref="P134">
    <cfRule type="cellIs" dxfId="42" priority="58" operator="equal">
      <formula>AS_DURATION_EFFORT</formula>
    </cfRule>
    <cfRule type="cellIs" dxfId="41" priority="59" operator="equal">
      <formula>AS_DEV_EFFORT</formula>
    </cfRule>
  </conditionalFormatting>
  <conditionalFormatting sqref="B132:B133">
    <cfRule type="expression" dxfId="40" priority="57">
      <formula>AD132&lt;&gt;""</formula>
    </cfRule>
  </conditionalFormatting>
  <conditionalFormatting sqref="F134">
    <cfRule type="expression" dxfId="39" priority="56">
      <formula>$K134&lt;&gt;""</formula>
    </cfRule>
  </conditionalFormatting>
  <conditionalFormatting sqref="C134">
    <cfRule type="expression" dxfId="38" priority="55">
      <formula>$G134&lt;&gt;"-"</formula>
    </cfRule>
  </conditionalFormatting>
  <conditionalFormatting sqref="D134">
    <cfRule type="expression" dxfId="37" priority="54">
      <formula>$H134&lt;&gt;"-"</formula>
    </cfRule>
  </conditionalFormatting>
  <conditionalFormatting sqref="E134">
    <cfRule type="expression" dxfId="36" priority="53">
      <formula>$I134&lt;&gt;"-"</formula>
    </cfRule>
  </conditionalFormatting>
  <conditionalFormatting sqref="S131">
    <cfRule type="expression" dxfId="35" priority="52">
      <formula>#REF!="Yes"</formula>
    </cfRule>
  </conditionalFormatting>
  <conditionalFormatting sqref="B131">
    <cfRule type="expression" dxfId="34" priority="51">
      <formula>AD131&lt;&gt;""</formula>
    </cfRule>
  </conditionalFormatting>
  <conditionalFormatting sqref="B135">
    <cfRule type="expression" dxfId="33" priority="48">
      <formula>AD135&lt;&gt;""</formula>
    </cfRule>
  </conditionalFormatting>
  <conditionalFormatting sqref="Z135">
    <cfRule type="cellIs" dxfId="32" priority="46" operator="greaterThan">
      <formula>0</formula>
    </cfRule>
    <cfRule type="cellIs" dxfId="31" priority="47" operator="lessThan">
      <formula>0</formula>
    </cfRule>
  </conditionalFormatting>
  <conditionalFormatting sqref="S135">
    <cfRule type="cellIs" dxfId="30" priority="45" operator="lessThan">
      <formula>0</formula>
    </cfRule>
  </conditionalFormatting>
  <conditionalFormatting sqref="F135">
    <cfRule type="expression" dxfId="29" priority="42">
      <formula>$K135&lt;&gt;""</formula>
    </cfRule>
  </conditionalFormatting>
  <conditionalFormatting sqref="C135">
    <cfRule type="expression" dxfId="28" priority="41">
      <formula>$G135&lt;&gt;"-"</formula>
    </cfRule>
  </conditionalFormatting>
  <conditionalFormatting sqref="D135">
    <cfRule type="expression" dxfId="27" priority="40">
      <formula>$H135&lt;&gt;"-"</formula>
    </cfRule>
  </conditionalFormatting>
  <conditionalFormatting sqref="E135">
    <cfRule type="expression" dxfId="26" priority="39">
      <formula>$I135&lt;&gt;"-"</formula>
    </cfRule>
  </conditionalFormatting>
  <conditionalFormatting sqref="P135">
    <cfRule type="cellIs" dxfId="25" priority="33" operator="equal">
      <formula>AS_DURATION_EFFORT</formula>
    </cfRule>
    <cfRule type="cellIs" dxfId="24" priority="34" operator="equal">
      <formula>AS_DEV_EFFORT</formula>
    </cfRule>
  </conditionalFormatting>
  <conditionalFormatting sqref="S137">
    <cfRule type="expression" dxfId="23" priority="32">
      <formula>#REF!="Yes"</formula>
    </cfRule>
  </conditionalFormatting>
  <conditionalFormatting sqref="B137">
    <cfRule type="expression" dxfId="22" priority="31">
      <formula>AD137&lt;&gt;""</formula>
    </cfRule>
  </conditionalFormatting>
  <conditionalFormatting sqref="P148">
    <cfRule type="cellIs" dxfId="21" priority="27" operator="equal">
      <formula>AS_DURATION_EFFORT</formula>
    </cfRule>
    <cfRule type="cellIs" dxfId="20" priority="28" operator="equal">
      <formula>AS_DEV_EFFORT</formula>
    </cfRule>
  </conditionalFormatting>
  <conditionalFormatting sqref="B163">
    <cfRule type="expression" dxfId="19" priority="22">
      <formula>AD163&lt;&gt;""</formula>
    </cfRule>
  </conditionalFormatting>
  <conditionalFormatting sqref="Z163">
    <cfRule type="cellIs" dxfId="18" priority="20" operator="greaterThan">
      <formula>0</formula>
    </cfRule>
    <cfRule type="cellIs" dxfId="17" priority="21" operator="lessThan">
      <formula>0</formula>
    </cfRule>
  </conditionalFormatting>
  <conditionalFormatting sqref="S163">
    <cfRule type="cellIs" dxfId="16" priority="19" operator="lessThan">
      <formula>0</formula>
    </cfRule>
  </conditionalFormatting>
  <conditionalFormatting sqref="P163">
    <cfRule type="cellIs" dxfId="15" priority="17" operator="equal">
      <formula>AS_DURATION_EFFORT</formula>
    </cfRule>
    <cfRule type="cellIs" dxfId="14" priority="18" operator="equal">
      <formula>AS_DEV_EFFORT</formula>
    </cfRule>
  </conditionalFormatting>
  <conditionalFormatting sqref="F163">
    <cfRule type="expression" dxfId="13" priority="16">
      <formula>$K163&lt;&gt;""</formula>
    </cfRule>
  </conditionalFormatting>
  <conditionalFormatting sqref="C163">
    <cfRule type="expression" dxfId="12" priority="15">
      <formula>$G163&lt;&gt;"-"</formula>
    </cfRule>
  </conditionalFormatting>
  <conditionalFormatting sqref="D163">
    <cfRule type="expression" dxfId="11" priority="14">
      <formula>$H163&lt;&gt;"-"</formula>
    </cfRule>
  </conditionalFormatting>
  <conditionalFormatting sqref="E163">
    <cfRule type="expression" dxfId="10" priority="13">
      <formula>$I163&lt;&gt;"-"</formula>
    </cfRule>
  </conditionalFormatting>
  <conditionalFormatting sqref="B164">
    <cfRule type="expression" dxfId="9" priority="10">
      <formula>AD164&lt;&gt;""</formula>
    </cfRule>
  </conditionalFormatting>
  <conditionalFormatting sqref="Z164">
    <cfRule type="cellIs" dxfId="8" priority="8" operator="greaterThan">
      <formula>0</formula>
    </cfRule>
    <cfRule type="cellIs" dxfId="7" priority="9" operator="lessThan">
      <formula>0</formula>
    </cfRule>
  </conditionalFormatting>
  <conditionalFormatting sqref="S164">
    <cfRule type="cellIs" dxfId="6" priority="7" operator="lessThan">
      <formula>0</formula>
    </cfRule>
  </conditionalFormatting>
  <conditionalFormatting sqref="P164">
    <cfRule type="cellIs" dxfId="5" priority="5" operator="equal">
      <formula>AS_DURATION_EFFORT</formula>
    </cfRule>
    <cfRule type="cellIs" dxfId="4" priority="6" operator="equal">
      <formula>AS_DEV_EFFORT</formula>
    </cfRule>
  </conditionalFormatting>
  <conditionalFormatting sqref="F164">
    <cfRule type="expression" dxfId="3" priority="4">
      <formula>$K164&lt;&gt;""</formula>
    </cfRule>
  </conditionalFormatting>
  <conditionalFormatting sqref="C164">
    <cfRule type="expression" dxfId="2" priority="3">
      <formula>$G164&lt;&gt;"-"</formula>
    </cfRule>
  </conditionalFormatting>
  <conditionalFormatting sqref="D164">
    <cfRule type="expression" dxfId="1" priority="2">
      <formula>$H164&lt;&gt;"-"</formula>
    </cfRule>
  </conditionalFormatting>
  <conditionalFormatting sqref="E164">
    <cfRule type="expression" dxfId="0" priority="1">
      <formula>$I164&lt;&gt;"-"</formula>
    </cfRule>
  </conditionalFormatting>
  <dataValidations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52" xr:uid="{00000000-0002-0000-0100-000002000000}">
      <formula1>YES_NO_LIST</formula1>
    </dataValidation>
    <dataValidation type="list" allowBlank="1" showInputMessage="1" showErrorMessage="1" sqref="O249" xr:uid="{00000000-0002-0000-0100-000003000000}">
      <formula1>PLATFORMS_LIST</formula1>
    </dataValidation>
    <dataValidation type="list" allowBlank="1" showInputMessage="1" showErrorMessage="1" sqref="O250" xr:uid="{00000000-0002-0000-0100-000004000000}">
      <formula1>PROJECT_TYPES_LIST</formula1>
    </dataValidation>
    <dataValidation type="list" allowBlank="1" showInputMessage="1" showErrorMessage="1" sqref="O254" xr:uid="{00000000-0002-0000-0100-000005000000}">
      <formula1>CURRENCIES_LIST</formula1>
    </dataValidation>
    <dataValidation type="list" allowBlank="1" showInputMessage="1" showErrorMessage="1" sqref="O253" xr:uid="{00000000-0002-0000-0100-000006000000}">
      <formula1>REGIONS_LIST</formula1>
    </dataValidation>
    <dataValidation type="list" showInputMessage="1" showErrorMessage="1" sqref="G370 J370 G16:G18 J63:J64 J115:J116 J120 J109:J110 J100:J104 G93:G96 J194 G68 J68 J72:J75 G63:G64 G72:G75 J79:J86 G79:G86 J93:J96 G100:G104 G109:G110 G120 G115:G116 J147:J148 G147:G148 J152:J155 G152:G155 J159:J164 G134:G135 J171:J172 G171:G172 G176 J176 J180 G180 J184:J187 G184:G187 G194 J16:J18 J22:J24 G28:G31 J41:J43 G22:G24 J28:J31 G41:G43 J125:J126 G125:G126 G140:G143 J140:J143 J134:J135 G159:G164 J35:J37 G35:G37 J47:J49 G47:G49 J53:J56 G53:G56" xr:uid="{00000000-0002-0000-0100-000007000000}">
      <formula1>YES_NO_LIST</formula1>
    </dataValidation>
    <dataValidation type="list" showInputMessage="1" showErrorMessage="1" sqref="I370 I120 I100:I104 I93:I96 I194 I68 I63:I64 I72:I75 I79:I86 I109:I110 I115:I116 I147:I148 I152:I155 I134:I135 I171:I172 I176 I180 I184:I187 I16:I18 I22:I24 I28:I31 I41:I43 I125:I126 I140:I143 I159:I164 I35:I37 I47:I49 I53:I56" xr:uid="{00000000-0002-0000-0100-000008000000}">
      <formula1>EXTRAS_LIST</formula1>
    </dataValidation>
    <dataValidation type="list" showInputMessage="1" showErrorMessage="1" sqref="H370 H120 H100:H104 H93:H96 H194 H68 H63:H64 H72:H75 H79:H86 H109:H110 H115:H116 H147:H148 H152:H155 H134:H135 H171:H172 H176 H180 H184:H187 H16:H18 H22:H24 H28:H31 H41:H43 H125:H126 H140:H143 H159:H164 H35:H37 H47:H49 H53:H56" xr:uid="{00000000-0002-0000-0100-000009000000}">
      <formula1>BUFFER_TYPES_LIST</formula1>
    </dataValidation>
    <dataValidation type="list" showInputMessage="1" showErrorMessage="1" sqref="S204" xr:uid="{00000000-0002-0000-0100-00000A000000}">
      <formula1>"Default, Extended"</formula1>
    </dataValidation>
  </dataValidations>
  <hyperlinks>
    <hyperlink ref="T240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04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039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Estimation!N231</f>
        <v>Discovery / Requirement Analysis</v>
      </c>
      <c r="C6" s="129"/>
      <c r="D6" s="129"/>
      <c r="E6" s="129"/>
    </row>
    <row r="7" spans="2:38" x14ac:dyDescent="0.35">
      <c r="B7" s="125" t="str">
        <f>Estimation!N232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Estimation!N233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Estimation!N234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Estimation!N235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Estimation!N236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43" t="s">
        <v>263</v>
      </c>
      <c r="C13" s="343"/>
      <c r="D13" s="343"/>
      <c r="E13" s="343"/>
      <c r="F13" s="343"/>
      <c r="G13" s="343"/>
      <c r="H13" s="343"/>
      <c r="I13" s="343"/>
      <c r="J13" s="343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43"/>
      <c r="C14" s="343"/>
      <c r="D14" s="343"/>
      <c r="E14" s="343"/>
      <c r="F14" s="343"/>
      <c r="G14" s="343"/>
      <c r="H14" s="343"/>
      <c r="I14" s="343"/>
      <c r="J14" s="343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42" t="s">
        <v>195</v>
      </c>
      <c r="I16" s="342"/>
      <c r="J16" s="342"/>
      <c r="K16" s="342"/>
      <c r="L16" s="342"/>
      <c r="M16" s="342"/>
      <c r="N16" s="342"/>
      <c r="O16" s="342"/>
      <c r="P16" s="342"/>
      <c r="Q16" s="342"/>
      <c r="R16" s="342"/>
      <c r="S16" s="342"/>
      <c r="T16" s="342"/>
      <c r="U16" s="342"/>
      <c r="V16" s="342"/>
      <c r="AL16" s="342" t="s">
        <v>245</v>
      </c>
      <c r="AM16" s="342"/>
      <c r="AN16" s="342"/>
      <c r="AO16" s="342"/>
      <c r="AP16" s="342"/>
      <c r="AQ16" s="342"/>
      <c r="AR16" s="342"/>
      <c r="AS16" s="342"/>
      <c r="AT16" s="342"/>
      <c r="AU16" s="342"/>
      <c r="AV16" s="342"/>
      <c r="AW16" s="342"/>
      <c r="AX16" s="342"/>
      <c r="AY16" s="342"/>
      <c r="AZ16" s="342"/>
      <c r="BA16" s="342"/>
      <c r="BB16" s="342"/>
      <c r="BC16" s="342"/>
      <c r="BD16" s="342"/>
    </row>
    <row r="17" spans="2:56" ht="15" customHeight="1" x14ac:dyDescent="0.35">
      <c r="H17" s="342"/>
      <c r="I17" s="342"/>
      <c r="J17" s="342"/>
      <c r="K17" s="342"/>
      <c r="L17" s="342"/>
      <c r="M17" s="342"/>
      <c r="N17" s="342"/>
      <c r="O17" s="342"/>
      <c r="P17" s="342"/>
      <c r="Q17" s="342"/>
      <c r="R17" s="342"/>
      <c r="S17" s="342"/>
      <c r="T17" s="342"/>
      <c r="U17" s="342"/>
      <c r="V17" s="342"/>
      <c r="AL17" s="342"/>
      <c r="AM17" s="342"/>
      <c r="AN17" s="342"/>
      <c r="AO17" s="342"/>
      <c r="AP17" s="342"/>
      <c r="AQ17" s="342"/>
      <c r="AR17" s="342"/>
      <c r="AS17" s="342"/>
      <c r="AT17" s="342"/>
      <c r="AU17" s="342"/>
      <c r="AV17" s="342"/>
      <c r="AW17" s="342"/>
      <c r="AX17" s="342"/>
      <c r="AY17" s="342"/>
      <c r="AZ17" s="342"/>
      <c r="BA17" s="342"/>
      <c r="BB17" s="342"/>
      <c r="BC17" s="342"/>
      <c r="BD17" s="342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42" t="s">
        <v>207</v>
      </c>
      <c r="C29" s="342"/>
      <c r="D29" s="342"/>
      <c r="E29" s="342"/>
      <c r="F29" s="342"/>
      <c r="G29" s="342"/>
      <c r="H29" s="342"/>
      <c r="I29" s="342"/>
      <c r="J29" s="342"/>
      <c r="K29" s="342"/>
      <c r="L29" s="342"/>
      <c r="M29" s="342"/>
      <c r="N29" s="342"/>
      <c r="O29" s="342"/>
    </row>
    <row r="30" spans="2:56" x14ac:dyDescent="0.35">
      <c r="B30" s="342"/>
      <c r="C30" s="342"/>
      <c r="D30" s="342"/>
      <c r="E30" s="342"/>
      <c r="F30" s="342"/>
      <c r="G30" s="342"/>
      <c r="H30" s="342"/>
      <c r="I30" s="342"/>
      <c r="J30" s="342"/>
      <c r="K30" s="342"/>
      <c r="L30" s="342"/>
      <c r="M30" s="342"/>
      <c r="N30" s="342"/>
      <c r="O30" s="342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42" t="s">
        <v>208</v>
      </c>
      <c r="C41" s="342"/>
      <c r="D41" s="342"/>
      <c r="E41" s="342"/>
      <c r="F41" s="342"/>
      <c r="G41" s="342"/>
      <c r="H41" s="342"/>
      <c r="I41" s="342"/>
      <c r="J41" s="342"/>
      <c r="K41" s="342"/>
      <c r="L41" s="342"/>
      <c r="M41" s="342"/>
      <c r="N41" s="342"/>
      <c r="O41" s="342"/>
    </row>
    <row r="42" spans="2:31" x14ac:dyDescent="0.35">
      <c r="B42" s="342"/>
      <c r="C42" s="342"/>
      <c r="D42" s="342"/>
      <c r="E42" s="342"/>
      <c r="F42" s="342"/>
      <c r="G42" s="342"/>
      <c r="H42" s="342"/>
      <c r="I42" s="342"/>
      <c r="J42" s="342"/>
      <c r="K42" s="342"/>
      <c r="L42" s="342"/>
      <c r="M42" s="342"/>
      <c r="N42" s="342"/>
      <c r="O42" s="342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42" t="s">
        <v>224</v>
      </c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  <c r="N49" s="342"/>
    </row>
    <row r="50" spans="2:14" x14ac:dyDescent="0.35">
      <c r="B50" s="342"/>
      <c r="C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  <c r="N50" s="342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42" t="s">
        <v>225</v>
      </c>
      <c r="C71" s="342"/>
      <c r="D71" s="342"/>
      <c r="E71" s="342"/>
      <c r="F71" s="342"/>
      <c r="G71" s="342"/>
      <c r="H71" s="342"/>
      <c r="I71" s="342"/>
      <c r="J71" s="342"/>
      <c r="K71" s="342"/>
      <c r="L71" s="342"/>
      <c r="M71" s="342"/>
      <c r="N71" s="342"/>
      <c r="O71" s="342"/>
      <c r="P71" s="342"/>
    </row>
    <row r="72" spans="2:16" x14ac:dyDescent="0.35">
      <c r="B72" s="342"/>
      <c r="C72" s="342"/>
      <c r="D72" s="342"/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42" t="s">
        <v>234</v>
      </c>
      <c r="D84" s="342"/>
      <c r="E84" s="342"/>
      <c r="F84" s="342"/>
      <c r="G84" s="342"/>
      <c r="H84" s="342"/>
      <c r="I84" s="342"/>
      <c r="J84" s="342"/>
      <c r="K84" s="342"/>
      <c r="L84" s="342"/>
      <c r="M84" s="342"/>
      <c r="N84" s="342"/>
      <c r="O84" s="342"/>
      <c r="P84" s="342"/>
      <c r="Q84" s="342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42"/>
      <c r="D85" s="342"/>
      <c r="E85" s="342"/>
      <c r="F85" s="342"/>
      <c r="G85" s="342"/>
      <c r="H85" s="342"/>
      <c r="I85" s="342"/>
      <c r="J85" s="342"/>
      <c r="K85" s="342"/>
      <c r="L85" s="342"/>
      <c r="M85" s="342"/>
      <c r="N85" s="342"/>
      <c r="O85" s="342"/>
      <c r="P85" s="342"/>
      <c r="Q85" s="342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42" t="s">
        <v>237</v>
      </c>
      <c r="AF93" s="342"/>
      <c r="AG93" s="342"/>
      <c r="AH93" s="342"/>
      <c r="AI93" s="342"/>
      <c r="AJ93" s="342"/>
      <c r="AK93" s="342"/>
      <c r="AL93" s="342"/>
      <c r="AM93" s="342"/>
      <c r="AN93" s="342"/>
      <c r="AO93" s="342"/>
      <c r="AP93" s="342"/>
      <c r="AQ93" s="342"/>
      <c r="AR93" s="342"/>
      <c r="AS93" s="342"/>
      <c r="AT93" s="342"/>
      <c r="AU93" s="342"/>
      <c r="AV93" s="342"/>
      <c r="AW93" s="342"/>
      <c r="AX93" s="342"/>
      <c r="AY93" s="342"/>
    </row>
    <row r="94" spans="3:69" x14ac:dyDescent="0.35">
      <c r="AE94" s="342"/>
      <c r="AF94" s="342"/>
      <c r="AG94" s="342"/>
      <c r="AH94" s="342"/>
      <c r="AI94" s="342"/>
      <c r="AJ94" s="342"/>
      <c r="AK94" s="342"/>
      <c r="AL94" s="342"/>
      <c r="AM94" s="342"/>
      <c r="AN94" s="342"/>
      <c r="AO94" s="342"/>
      <c r="AP94" s="342"/>
      <c r="AQ94" s="342"/>
      <c r="AR94" s="342"/>
      <c r="AS94" s="342"/>
      <c r="AT94" s="342"/>
      <c r="AU94" s="342"/>
      <c r="AV94" s="342"/>
      <c r="AW94" s="342"/>
      <c r="AX94" s="342"/>
      <c r="AY94" s="342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42" t="s">
        <v>240</v>
      </c>
      <c r="D104" s="342"/>
      <c r="E104" s="342"/>
      <c r="F104" s="342"/>
      <c r="G104" s="342"/>
      <c r="H104" s="342"/>
      <c r="I104" s="342"/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2"/>
      <c r="V104" s="342"/>
      <c r="W104" s="342"/>
    </row>
    <row r="105" spans="3:23" x14ac:dyDescent="0.35">
      <c r="C105" s="342"/>
      <c r="D105" s="342"/>
      <c r="E105" s="342"/>
      <c r="F105" s="342"/>
      <c r="G105" s="342"/>
      <c r="H105" s="342"/>
      <c r="I105" s="342"/>
      <c r="J105" s="342"/>
      <c r="K105" s="342"/>
      <c r="L105" s="342"/>
      <c r="M105" s="342"/>
      <c r="N105" s="342"/>
      <c r="O105" s="342"/>
      <c r="P105" s="342"/>
      <c r="Q105" s="342"/>
      <c r="R105" s="342"/>
      <c r="S105" s="342"/>
      <c r="T105" s="342"/>
      <c r="U105" s="342"/>
      <c r="V105" s="342"/>
      <c r="W105" s="342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42" t="s">
        <v>246</v>
      </c>
      <c r="AG114" s="342"/>
      <c r="AH114" s="342"/>
      <c r="AI114" s="342"/>
      <c r="AJ114" s="342"/>
      <c r="AK114" s="342"/>
      <c r="AL114" s="342"/>
      <c r="AM114" s="342"/>
      <c r="AN114" s="342"/>
      <c r="AO114" s="342"/>
      <c r="AP114" s="342"/>
      <c r="AQ114" s="342"/>
      <c r="AR114" s="342"/>
      <c r="AS114" s="342"/>
      <c r="AT114" s="342"/>
      <c r="AU114" s="342"/>
      <c r="AV114" s="342"/>
      <c r="AW114" s="342"/>
      <c r="AX114" s="342"/>
      <c r="AY114" s="342"/>
      <c r="AZ114" s="342"/>
    </row>
    <row r="115" spans="3:52" x14ac:dyDescent="0.35">
      <c r="C115" s="172" t="s">
        <v>244</v>
      </c>
      <c r="AF115" s="342"/>
      <c r="AG115" s="342"/>
      <c r="AH115" s="342"/>
      <c r="AI115" s="342"/>
      <c r="AJ115" s="342"/>
      <c r="AK115" s="342"/>
      <c r="AL115" s="342"/>
      <c r="AM115" s="342"/>
      <c r="AN115" s="342"/>
      <c r="AO115" s="342"/>
      <c r="AP115" s="342"/>
      <c r="AQ115" s="342"/>
      <c r="AR115" s="342"/>
      <c r="AS115" s="342"/>
      <c r="AT115" s="342"/>
      <c r="AU115" s="342"/>
      <c r="AV115" s="342"/>
      <c r="AW115" s="342"/>
      <c r="AX115" s="342"/>
      <c r="AY115" s="342"/>
      <c r="AZ115" s="342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42" t="s">
        <v>247</v>
      </c>
      <c r="W121" s="342"/>
      <c r="X121" s="342"/>
      <c r="Y121" s="342"/>
      <c r="Z121" s="342"/>
      <c r="AA121" s="342"/>
      <c r="AB121" s="342"/>
      <c r="AC121" s="342"/>
      <c r="AD121" s="342"/>
      <c r="AE121" s="342"/>
      <c r="AF121" s="342"/>
      <c r="AG121" s="342"/>
      <c r="AH121" s="342"/>
      <c r="AI121" s="342"/>
      <c r="AJ121" s="342"/>
      <c r="AK121" s="342"/>
      <c r="AL121" s="342"/>
      <c r="AM121" s="342"/>
      <c r="AN121" s="342"/>
      <c r="AO121" s="342"/>
      <c r="AP121" s="342"/>
    </row>
    <row r="122" spans="3:52" x14ac:dyDescent="0.35">
      <c r="V122" s="342"/>
      <c r="W122" s="342"/>
      <c r="X122" s="342"/>
      <c r="Y122" s="342"/>
      <c r="Z122" s="342"/>
      <c r="AA122" s="342"/>
      <c r="AB122" s="342"/>
      <c r="AC122" s="342"/>
      <c r="AD122" s="342"/>
      <c r="AE122" s="342"/>
      <c r="AF122" s="342"/>
      <c r="AG122" s="342"/>
      <c r="AH122" s="342"/>
      <c r="AI122" s="342"/>
      <c r="AJ122" s="342"/>
      <c r="AK122" s="342"/>
      <c r="AL122" s="342"/>
      <c r="AM122" s="342"/>
      <c r="AN122" s="342"/>
      <c r="AO122" s="342"/>
      <c r="AP122" s="342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42" t="s">
        <v>253</v>
      </c>
      <c r="G130" s="342"/>
      <c r="H130" s="342"/>
      <c r="I130" s="342"/>
      <c r="J130" s="342"/>
      <c r="K130" s="342"/>
      <c r="L130" s="342"/>
      <c r="M130" s="342"/>
      <c r="N130" s="342"/>
      <c r="O130" s="342"/>
      <c r="P130" s="342"/>
      <c r="Q130" s="342"/>
      <c r="R130" s="342"/>
      <c r="S130" s="342"/>
      <c r="T130" s="342"/>
      <c r="U130" s="342"/>
      <c r="V130" s="342"/>
      <c r="W130" s="342"/>
      <c r="X130" s="342"/>
      <c r="Y130" s="342"/>
      <c r="Z130" s="342"/>
    </row>
    <row r="131" spans="4:26" x14ac:dyDescent="0.35">
      <c r="F131" s="342"/>
      <c r="G131" s="342"/>
      <c r="H131" s="342"/>
      <c r="I131" s="342"/>
      <c r="J131" s="342"/>
      <c r="K131" s="342"/>
      <c r="L131" s="342"/>
      <c r="M131" s="342"/>
      <c r="N131" s="342"/>
      <c r="O131" s="342"/>
      <c r="P131" s="342"/>
      <c r="Q131" s="342"/>
      <c r="R131" s="342"/>
      <c r="S131" s="342"/>
      <c r="T131" s="342"/>
      <c r="U131" s="342"/>
      <c r="V131" s="342"/>
      <c r="W131" s="342"/>
      <c r="X131" s="342"/>
      <c r="Y131" s="342"/>
      <c r="Z131" s="342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42" t="s">
        <v>256</v>
      </c>
      <c r="E143" s="342"/>
      <c r="F143" s="342"/>
      <c r="G143" s="342"/>
      <c r="H143" s="342"/>
      <c r="I143" s="342"/>
      <c r="J143" s="342"/>
      <c r="K143" s="342"/>
      <c r="L143" s="342"/>
      <c r="M143" s="342"/>
      <c r="N143" s="342"/>
      <c r="O143" s="342"/>
      <c r="P143" s="342"/>
      <c r="Q143" s="342"/>
      <c r="R143" s="342"/>
      <c r="S143" s="342"/>
      <c r="T143" s="342"/>
      <c r="U143" s="342"/>
      <c r="V143" s="342"/>
      <c r="W143" s="342"/>
      <c r="X143" s="342"/>
    </row>
    <row r="144" spans="4:26" x14ac:dyDescent="0.35">
      <c r="D144" s="342"/>
      <c r="E144" s="342"/>
      <c r="F144" s="342"/>
      <c r="G144" s="342"/>
      <c r="H144" s="342"/>
      <c r="I144" s="342"/>
      <c r="J144" s="342"/>
      <c r="K144" s="342"/>
      <c r="L144" s="342"/>
      <c r="M144" s="342"/>
      <c r="N144" s="342"/>
      <c r="O144" s="342"/>
      <c r="P144" s="342"/>
      <c r="Q144" s="342"/>
      <c r="R144" s="342"/>
      <c r="S144" s="342"/>
      <c r="T144" s="342"/>
      <c r="U144" s="342"/>
      <c r="V144" s="342"/>
      <c r="W144" s="342"/>
      <c r="X144" s="342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42" t="s">
        <v>261</v>
      </c>
      <c r="E152" s="342"/>
      <c r="F152" s="342"/>
      <c r="G152" s="342"/>
      <c r="H152" s="342"/>
      <c r="I152" s="342"/>
      <c r="J152" s="342"/>
      <c r="K152" s="342"/>
      <c r="L152" s="342"/>
      <c r="M152" s="342"/>
      <c r="N152" s="342"/>
      <c r="O152" s="342"/>
      <c r="P152" s="342"/>
      <c r="Q152" s="342"/>
      <c r="R152" s="342"/>
      <c r="S152" s="342"/>
      <c r="T152" s="342"/>
      <c r="U152" s="342"/>
      <c r="V152" s="342"/>
      <c r="W152" s="342"/>
      <c r="X152" s="342"/>
    </row>
    <row r="153" spans="4:24" x14ac:dyDescent="0.35">
      <c r="D153" s="342"/>
      <c r="E153" s="342"/>
      <c r="F153" s="342"/>
      <c r="G153" s="342"/>
      <c r="H153" s="342"/>
      <c r="I153" s="342"/>
      <c r="J153" s="342"/>
      <c r="K153" s="342"/>
      <c r="L153" s="342"/>
      <c r="M153" s="342"/>
      <c r="N153" s="342"/>
      <c r="O153" s="342"/>
      <c r="P153" s="342"/>
      <c r="Q153" s="342"/>
      <c r="R153" s="342"/>
      <c r="S153" s="342"/>
      <c r="T153" s="342"/>
      <c r="U153" s="342"/>
      <c r="V153" s="342"/>
      <c r="W153" s="342"/>
      <c r="X153" s="342"/>
    </row>
    <row r="154" spans="4:24" x14ac:dyDescent="0.35">
      <c r="G154" s="172" t="s">
        <v>262</v>
      </c>
    </row>
  </sheetData>
  <mergeCells count="15">
    <mergeCell ref="B13:J14"/>
    <mergeCell ref="B71:P72"/>
    <mergeCell ref="B49:N50"/>
    <mergeCell ref="B41:O42"/>
    <mergeCell ref="B29:O30"/>
    <mergeCell ref="AL16:BD17"/>
    <mergeCell ref="H16:V17"/>
    <mergeCell ref="V121:AP122"/>
    <mergeCell ref="F130:Z131"/>
    <mergeCell ref="D143:X144"/>
    <mergeCell ref="D152:X153"/>
    <mergeCell ref="C84:Q85"/>
    <mergeCell ref="AE93:AY94"/>
    <mergeCell ref="C104:W105"/>
    <mergeCell ref="AF114:AZ115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44" t="s">
        <v>446</v>
      </c>
      <c r="E50" s="344"/>
      <c r="F50" s="344"/>
      <c r="G50" s="344"/>
      <c r="H50" t="s">
        <v>447</v>
      </c>
    </row>
    <row r="51" spans="2:20" x14ac:dyDescent="0.35">
      <c r="D51" s="344"/>
      <c r="E51" s="344"/>
      <c r="F51" s="344"/>
      <c r="G51" s="344"/>
    </row>
    <row r="52" spans="2:20" x14ac:dyDescent="0.35">
      <c r="D52" s="344"/>
      <c r="E52" s="344"/>
      <c r="F52" s="344"/>
      <c r="G52" s="344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purl.org/dc/elements/1.1/"/>
    <ds:schemaRef ds:uri="http://schemas.microsoft.com/office/2006/metadata/propertie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Nagarro</dc:creator>
  <cp:keywords/>
  <cp:lastModifiedBy>Nagarro</cp:lastModifiedBy>
  <cp:lastPrinted>2015-06-17T10:58:29Z</cp:lastPrinted>
  <dcterms:created xsi:type="dcterms:W3CDTF">2013-10-21T05:49:27Z</dcterms:created>
  <dcterms:modified xsi:type="dcterms:W3CDTF">2019-07-09T17:01:41Z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