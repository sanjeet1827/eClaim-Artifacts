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eet2126\Desktop\Assessment for Assc Architect\Artifacts\"/>
    </mc:Choice>
  </mc:AlternateContent>
  <xr:revisionPtr revIDLastSave="0" documentId="13_ncr:1_{20C59E0D-AE19-48DF-B572-7CADE99C4D50}" xr6:coauthVersionLast="43" xr6:coauthVersionMax="43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45" windowWidth="29040" windowHeight="15840" tabRatio="0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Estimation!$465:$465</definedName>
    <definedName name="AS_DEV_EFFORT">Estimation!$P$355</definedName>
    <definedName name="AS_DURATION_EFFORT">Estimation!$P$356</definedName>
    <definedName name="AS_MANUAL_DURATION_EFFORT">Estimation!$U$357</definedName>
    <definedName name="AUTOMATED_END_DATE">Estimation!$P$331</definedName>
    <definedName name="BUFFER_TYPES_LIST">Lists!$B$45:$B$48</definedName>
    <definedName name="BUFFERS_BY_TYPE">Estimation!$N$390:$O$392</definedName>
    <definedName name="CHOSEN_CURRENCY">Estimation!$O$349</definedName>
    <definedName name="CLIENT_NAME">Estimation!$O$342</definedName>
    <definedName name="COMPACT_WBS">Estimation!$L$10:$T$292</definedName>
    <definedName name="COPY_TYPE">Estimation!$R$9</definedName>
    <definedName name="CURRENCIES_LIST">Lists!$B$27:$B$29</definedName>
    <definedName name="CUSTOM_PERCENT">Estimation!$T$5</definedName>
    <definedName name="DESIGN_COST">Estimation!$W$317</definedName>
    <definedName name="DESIGN_EFFORT">Estimation!$O$317</definedName>
    <definedName name="DESIGN_RANGE">Estimation!$L$59:$AC$89</definedName>
    <definedName name="DESIGN_TA_COUNT">Estimation!$R$327</definedName>
    <definedName name="DESIGN_TA_PERCENT">Estimation!$R$317</definedName>
    <definedName name="DEV_COST">Estimation!$W$318</definedName>
    <definedName name="DEV_DEV_COUNT">Estimation!$T$328</definedName>
    <definedName name="DEV_DEV_PERCENT">Estimation!$T$318</definedName>
    <definedName name="DEV_EFFORT">Estimation!$O$318</definedName>
    <definedName name="DEV_RANGE">Estimation!$L$90:$AC$219</definedName>
    <definedName name="DURATION">Estimation!$P$332</definedName>
    <definedName name="EXTRA_FOR_H">Estimation!$O$377</definedName>
    <definedName name="EXTRAS_ARRAY">Estimation!$N$382:$O$387</definedName>
    <definedName name="EXTRAS_LIST">Estimation!$N$382:$N$387</definedName>
    <definedName name="FBS">Estimation!$L$294</definedName>
    <definedName name="FBS_FORMAT">Estimation!$S$299</definedName>
    <definedName name="FBS_INSERT_AT">Estimation!$M$305:$P$305</definedName>
    <definedName name="FBS_LINK">Estimation!$T$299</definedName>
    <definedName name="FBS_RANGE">Estimation!$M$300:$P$306</definedName>
    <definedName name="FULL_WBS">Estimation!$L$10:$AC$292</definedName>
    <definedName name="INCLUDE_OPTIONALS_LIST">Lists!$B$58:$B$59</definedName>
    <definedName name="IS_KEY_OPP">Estimation!$O$347</definedName>
    <definedName name="LESS_FOR_L">Estimation!$O$378</definedName>
    <definedName name="MANUAL_DURATION">Estimation!$P$333</definedName>
    <definedName name="MANUAL_END_DATE">Schedule!$L$1</definedName>
    <definedName name="MAX_EFFORT_PERCENT">Estimation!$P$352</definedName>
    <definedName name="MIN_EFFORT_PERCENT">Estimation!$O$352</definedName>
    <definedName name="MODULE_RANGE">Estimation!$469:$469</definedName>
    <definedName name="NOT_IN_COMPACT">Estimation!$O:$W</definedName>
    <definedName name="OTHER_COST">Estimation!$W$321</definedName>
    <definedName name="OTHER_EFFORT">Estimation!$O$321</definedName>
    <definedName name="OTHER_TL_COUNT">Estimation!$S$331</definedName>
    <definedName name="OTHER_TL_PERCENT">Estimation!$S$321</definedName>
    <definedName name="OTHERS_RANGE">Estimation!$L$285:$AC$291</definedName>
    <definedName name="PLATFORM">Estimation!$O$344</definedName>
    <definedName name="PLATFORMS_LIST">Lists!$B$38:$B$42</definedName>
    <definedName name="_xlnm.Print_Area" localSheetId="1">Estimation!$A$1:$AC$338</definedName>
    <definedName name="PROJECT_NAME">Estimation!$O$343</definedName>
    <definedName name="PROJECT_TYPE">Estimation!$O$345</definedName>
    <definedName name="PROJECT_TYPES_LIST">Lists!$B$32:$B$35</definedName>
    <definedName name="QA_COST">Estimation!$W$319</definedName>
    <definedName name="QA_EFFORT">Estimation!$O$319</definedName>
    <definedName name="QA_RANGE">Estimation!$L$220:$AC$254</definedName>
    <definedName name="REGIONS_LIST">Lists!$B$19:$B$24</definedName>
    <definedName name="REQ_BA_COUNT">Estimation!$Q$326</definedName>
    <definedName name="REQ_BA_PERCENT">Estimation!$Q$316</definedName>
    <definedName name="REQ_COST">Estimation!$W$316</definedName>
    <definedName name="REQ_EFFORT">Estimation!$O$316</definedName>
    <definedName name="REQ_RANGE">Estimation!$L$12:$AC$58</definedName>
    <definedName name="RFP_NAME">Estimation!$O$346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Estimation!$P$382:$P$383</definedName>
    <definedName name="SECTION_RANGE">Estimation!$461:$467</definedName>
    <definedName name="START_DATE">Estimation!$O$326</definedName>
    <definedName name="TASK_RANGE">Estimation!$463:$466</definedName>
    <definedName name="TEMPLATE_NAME">Estimation!$G$3</definedName>
    <definedName name="TEMPLATE_SECTION">Estimation!$460:$470</definedName>
    <definedName name="TEMPLATE_VER">Estimation!$K$3</definedName>
    <definedName name="TESTING_QA_COUNT">Estimation!$U$329</definedName>
    <definedName name="TESTING_QA_PERCENT">Estimation!$U$319</definedName>
    <definedName name="TOTAL_COST">Estimation!$W$322</definedName>
    <definedName name="TOTAL_EFFORT">Estimation!$O$322</definedName>
    <definedName name="Total_FRs">Estimation!$Q$23</definedName>
    <definedName name="Total_Screens">Estimation!$P$56</definedName>
    <definedName name="Total_Test_Cases">Estimation!$P$232</definedName>
    <definedName name="Total_Use_Cases">Estimation!$P$41</definedName>
    <definedName name="TOTAL_WEEKS">Estimation!$P$322</definedName>
    <definedName name="UAT_COST">Estimation!$W$320</definedName>
    <definedName name="UAT_DEV_COUNT">Estimation!$T$330</definedName>
    <definedName name="UAT_DEV_PERCENT">Estimation!$T$320</definedName>
    <definedName name="UAT_EFFORT">Estimation!$O$320</definedName>
    <definedName name="UAT_RANGE">Estimation!$L$255:$AC$284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275" i="2" l="1"/>
  <c r="AA275" i="2" s="1"/>
  <c r="S275" i="2" s="1"/>
  <c r="AD273" i="2"/>
  <c r="Y208" i="2"/>
  <c r="AA208" i="2" s="1"/>
  <c r="S208" i="2" s="1"/>
  <c r="AD206" i="2"/>
  <c r="Y87" i="2"/>
  <c r="AA87" i="2" s="1"/>
  <c r="S87" i="2" s="1"/>
  <c r="AD87" i="2" s="1"/>
  <c r="Y86" i="2"/>
  <c r="AA86" i="2" s="1"/>
  <c r="S86" i="2" s="1"/>
  <c r="AD86" i="2" s="1"/>
  <c r="Y69" i="2"/>
  <c r="AA69" i="2" s="1"/>
  <c r="S69" i="2" s="1"/>
  <c r="AD69" i="2" s="1"/>
  <c r="Y204" i="2"/>
  <c r="AA204" i="2" s="1"/>
  <c r="S204" i="2" s="1"/>
  <c r="AD202" i="2"/>
  <c r="Y190" i="2"/>
  <c r="AA190" i="2" s="1"/>
  <c r="S190" i="2" s="1"/>
  <c r="AD190" i="2" s="1"/>
  <c r="Y200" i="2"/>
  <c r="AA200" i="2" s="1"/>
  <c r="S200" i="2" s="1"/>
  <c r="AD198" i="2"/>
  <c r="Y196" i="2"/>
  <c r="AA196" i="2" s="1"/>
  <c r="S196" i="2" s="1"/>
  <c r="AD196" i="2" s="1"/>
  <c r="Y195" i="2"/>
  <c r="AA195" i="2" s="1"/>
  <c r="S195" i="2" s="1"/>
  <c r="AD195" i="2" s="1"/>
  <c r="Y194" i="2"/>
  <c r="AA194" i="2" s="1"/>
  <c r="S194" i="2" s="1"/>
  <c r="AD192" i="2"/>
  <c r="Y189" i="2"/>
  <c r="AA189" i="2" s="1"/>
  <c r="S189" i="2" s="1"/>
  <c r="AD187" i="2"/>
  <c r="Y185" i="2"/>
  <c r="AA185" i="2" s="1"/>
  <c r="S185" i="2" s="1"/>
  <c r="AD183" i="2"/>
  <c r="Y181" i="2"/>
  <c r="AA181" i="2" s="1"/>
  <c r="S181" i="2" s="1"/>
  <c r="AD179" i="2"/>
  <c r="Y177" i="2"/>
  <c r="AA177" i="2" s="1"/>
  <c r="S177" i="2" s="1"/>
  <c r="AD175" i="2"/>
  <c r="Y172" i="2"/>
  <c r="AA172" i="2" s="1"/>
  <c r="S172" i="2" s="1"/>
  <c r="AD172" i="2" s="1"/>
  <c r="Y173" i="2"/>
  <c r="AA173" i="2" s="1"/>
  <c r="S173" i="2" s="1"/>
  <c r="AD173" i="2" s="1"/>
  <c r="Y171" i="2"/>
  <c r="AA171" i="2" s="1"/>
  <c r="S171" i="2" s="1"/>
  <c r="AD169" i="2"/>
  <c r="Y167" i="2"/>
  <c r="AA167" i="2" s="1"/>
  <c r="S167" i="2" s="1"/>
  <c r="AD165" i="2"/>
  <c r="Y163" i="2"/>
  <c r="AA163" i="2" s="1"/>
  <c r="S163" i="2" s="1"/>
  <c r="AD161" i="2"/>
  <c r="Y159" i="2"/>
  <c r="AA159" i="2" s="1"/>
  <c r="S159" i="2" s="1"/>
  <c r="AD159" i="2" s="1"/>
  <c r="Y158" i="2"/>
  <c r="AA158" i="2" s="1"/>
  <c r="S158" i="2" s="1"/>
  <c r="AD156" i="2"/>
  <c r="Y154" i="2"/>
  <c r="AA154" i="2" s="1"/>
  <c r="S154" i="2" s="1"/>
  <c r="AD154" i="2" s="1"/>
  <c r="Y153" i="2"/>
  <c r="AA153" i="2" s="1"/>
  <c r="S153" i="2" s="1"/>
  <c r="AD153" i="2" s="1"/>
  <c r="Y152" i="2"/>
  <c r="AA152" i="2" s="1"/>
  <c r="S152" i="2" s="1"/>
  <c r="AD150" i="2"/>
  <c r="Y148" i="2"/>
  <c r="AA148" i="2" s="1"/>
  <c r="S148" i="2" s="1"/>
  <c r="AD146" i="2"/>
  <c r="Y144" i="2"/>
  <c r="AA144" i="2" s="1"/>
  <c r="S144" i="2" s="1"/>
  <c r="AD142" i="2"/>
  <c r="Y140" i="2"/>
  <c r="AA140" i="2" s="1"/>
  <c r="S140" i="2" s="1"/>
  <c r="AD140" i="2" s="1"/>
  <c r="Y139" i="2"/>
  <c r="AA139" i="2" s="1"/>
  <c r="S139" i="2" s="1"/>
  <c r="AD137" i="2"/>
  <c r="Y135" i="2"/>
  <c r="AA135" i="2" s="1"/>
  <c r="S135" i="2" s="1"/>
  <c r="AD133" i="2"/>
  <c r="Y131" i="2"/>
  <c r="AA131" i="2" s="1"/>
  <c r="S131" i="2" s="1"/>
  <c r="AD129" i="2"/>
  <c r="Y127" i="2"/>
  <c r="AA127" i="2" s="1"/>
  <c r="S127" i="2" s="1"/>
  <c r="AD127" i="2" s="1"/>
  <c r="Y126" i="2"/>
  <c r="AA126" i="2" s="1"/>
  <c r="S126" i="2" s="1"/>
  <c r="AD124" i="2"/>
  <c r="Y122" i="2"/>
  <c r="AA122" i="2" s="1"/>
  <c r="S122" i="2" s="1"/>
  <c r="AD122" i="2" s="1"/>
  <c r="Y121" i="2"/>
  <c r="AA121" i="2" s="1"/>
  <c r="S121" i="2" s="1"/>
  <c r="AD119" i="2"/>
  <c r="Y270" i="2"/>
  <c r="AA270" i="2" s="1"/>
  <c r="S270" i="2" s="1"/>
  <c r="AD270" i="2" s="1"/>
  <c r="Y265" i="2"/>
  <c r="AA265" i="2" s="1"/>
  <c r="S265" i="2" s="1"/>
  <c r="AD265" i="2" s="1"/>
  <c r="Y259" i="2"/>
  <c r="AA259" i="2" s="1"/>
  <c r="S259" i="2" s="1"/>
  <c r="AD259" i="2" s="1"/>
  <c r="AD275" i="2" l="1"/>
  <c r="T273" i="2"/>
  <c r="AD208" i="2"/>
  <c r="T206" i="2"/>
  <c r="AD204" i="2"/>
  <c r="T202" i="2"/>
  <c r="AD200" i="2"/>
  <c r="T198" i="2"/>
  <c r="AD194" i="2"/>
  <c r="T192" i="2"/>
  <c r="AD189" i="2"/>
  <c r="T187" i="2"/>
  <c r="AD185" i="2"/>
  <c r="T183" i="2"/>
  <c r="AD181" i="2"/>
  <c r="T179" i="2"/>
  <c r="AD177" i="2"/>
  <c r="T175" i="2"/>
  <c r="AD171" i="2"/>
  <c r="T169" i="2"/>
  <c r="AD167" i="2"/>
  <c r="T165" i="2"/>
  <c r="AD163" i="2"/>
  <c r="T161" i="2"/>
  <c r="AD158" i="2"/>
  <c r="T156" i="2"/>
  <c r="AD152" i="2"/>
  <c r="T150" i="2"/>
  <c r="AD148" i="2"/>
  <c r="T146" i="2"/>
  <c r="T142" i="2"/>
  <c r="AD144" i="2"/>
  <c r="AD139" i="2"/>
  <c r="T137" i="2"/>
  <c r="AD135" i="2"/>
  <c r="T133" i="2"/>
  <c r="AD131" i="2"/>
  <c r="T129" i="2"/>
  <c r="AD126" i="2"/>
  <c r="T124" i="2"/>
  <c r="T119" i="2"/>
  <c r="AD121" i="2"/>
  <c r="Y216" i="2" l="1"/>
  <c r="AA216" i="2" s="1"/>
  <c r="S216" i="2" s="1"/>
  <c r="AD216" i="2" s="1"/>
  <c r="Y217" i="2"/>
  <c r="AA217" i="2" s="1"/>
  <c r="S217" i="2" s="1"/>
  <c r="AD217" i="2" s="1"/>
  <c r="Y215" i="2"/>
  <c r="AA215" i="2" s="1"/>
  <c r="S215" i="2" s="1"/>
  <c r="AD215" i="2" s="1"/>
  <c r="Y117" i="2" l="1"/>
  <c r="AA117" i="2" s="1"/>
  <c r="S117" i="2" s="1"/>
  <c r="AD115" i="2"/>
  <c r="Y113" i="2"/>
  <c r="AA113" i="2" s="1"/>
  <c r="S113" i="2" s="1"/>
  <c r="AD113" i="2" s="1"/>
  <c r="Y112" i="2"/>
  <c r="AA112" i="2" s="1"/>
  <c r="S112" i="2" s="1"/>
  <c r="AD112" i="2" s="1"/>
  <c r="AD117" i="2" l="1"/>
  <c r="T115" i="2"/>
  <c r="Y76" i="2"/>
  <c r="AA76" i="2" s="1"/>
  <c r="S76" i="2" s="1"/>
  <c r="AD76" i="2" s="1"/>
  <c r="Y252" i="2" l="1"/>
  <c r="AA252" i="2" s="1"/>
  <c r="S252" i="2" s="1"/>
  <c r="AD252" i="2" s="1"/>
  <c r="R250" i="2" l="1"/>
  <c r="X245" i="2"/>
  <c r="X244" i="2"/>
  <c r="AD228" i="2" l="1"/>
  <c r="AD222" i="2"/>
  <c r="Y225" i="2"/>
  <c r="AA225" i="2" s="1"/>
  <c r="S225" i="2" s="1"/>
  <c r="AD223" i="2"/>
  <c r="Y234" i="2"/>
  <c r="AA234" i="2" s="1"/>
  <c r="S234" i="2" s="1"/>
  <c r="AD234" i="2" s="1"/>
  <c r="Y231" i="2"/>
  <c r="AA231" i="2" s="1"/>
  <c r="S231" i="2" s="1"/>
  <c r="AD229" i="2"/>
  <c r="Y214" i="2"/>
  <c r="AA214" i="2" s="1"/>
  <c r="S214" i="2" s="1"/>
  <c r="AD214" i="2" s="1"/>
  <c r="AD210" i="2"/>
  <c r="Y213" i="2"/>
  <c r="AA213" i="2" s="1"/>
  <c r="S213" i="2" s="1"/>
  <c r="AD211" i="2"/>
  <c r="Y54" i="2"/>
  <c r="AA54" i="2" s="1"/>
  <c r="S54" i="2" s="1"/>
  <c r="AD54" i="2" s="1"/>
  <c r="Y56" i="2"/>
  <c r="AA56" i="2" s="1"/>
  <c r="S56" i="2" s="1"/>
  <c r="AD56" i="2" s="1"/>
  <c r="Y47" i="2"/>
  <c r="AA47" i="2" s="1"/>
  <c r="S47" i="2" s="1"/>
  <c r="AD47" i="2" s="1"/>
  <c r="Y48" i="2"/>
  <c r="AA48" i="2" s="1"/>
  <c r="S48" i="2" s="1"/>
  <c r="AD48" i="2" s="1"/>
  <c r="Y49" i="2"/>
  <c r="AA49" i="2" s="1"/>
  <c r="S49" i="2" s="1"/>
  <c r="AD49" i="2" s="1"/>
  <c r="Y42" i="2"/>
  <c r="AA42" i="2" s="1"/>
  <c r="S42" i="2" s="1"/>
  <c r="AD42" i="2" s="1"/>
  <c r="Y43" i="2"/>
  <c r="AA43" i="2" s="1"/>
  <c r="S43" i="2" s="1"/>
  <c r="AD43" i="2" s="1"/>
  <c r="Y36" i="2"/>
  <c r="AA36" i="2" s="1"/>
  <c r="S36" i="2" s="1"/>
  <c r="AD36" i="2" s="1"/>
  <c r="Y37" i="2"/>
  <c r="AA37" i="2" s="1"/>
  <c r="S37" i="2" s="1"/>
  <c r="AD37" i="2" s="1"/>
  <c r="Y29" i="2"/>
  <c r="AA29" i="2" s="1"/>
  <c r="S29" i="2" s="1"/>
  <c r="AD29" i="2" s="1"/>
  <c r="Y30" i="2"/>
  <c r="AA30" i="2" s="1"/>
  <c r="S30" i="2" s="1"/>
  <c r="AD30" i="2" s="1"/>
  <c r="Y31" i="2"/>
  <c r="AA31" i="2" s="1"/>
  <c r="S31" i="2" s="1"/>
  <c r="AD31" i="2" s="1"/>
  <c r="Y22" i="2"/>
  <c r="AA22" i="2" s="1"/>
  <c r="S22" i="2" s="1"/>
  <c r="AD22" i="2" s="1"/>
  <c r="Y53" i="2"/>
  <c r="AA53" i="2" s="1"/>
  <c r="S53" i="2" s="1"/>
  <c r="AD51" i="2"/>
  <c r="AD45" i="2"/>
  <c r="AD39" i="2"/>
  <c r="Y35" i="2"/>
  <c r="AA35" i="2" s="1"/>
  <c r="S35" i="2" s="1"/>
  <c r="AD33" i="2"/>
  <c r="Y28" i="2"/>
  <c r="AA28" i="2" s="1"/>
  <c r="S28" i="2" s="1"/>
  <c r="AD26" i="2"/>
  <c r="Y55" i="2" l="1"/>
  <c r="AA55" i="2" s="1"/>
  <c r="S55" i="2" s="1"/>
  <c r="AD55" i="2" s="1"/>
  <c r="Y226" i="2"/>
  <c r="AA226" i="2" s="1"/>
  <c r="S226" i="2" s="1"/>
  <c r="AD226" i="2" s="1"/>
  <c r="AD225" i="2"/>
  <c r="AD231" i="2"/>
  <c r="T211" i="2"/>
  <c r="AD213" i="2"/>
  <c r="Y41" i="2"/>
  <c r="AA41" i="2" s="1"/>
  <c r="S41" i="2" s="1"/>
  <c r="T39" i="2" s="1"/>
  <c r="AD53" i="2"/>
  <c r="T45" i="2"/>
  <c r="T33" i="2"/>
  <c r="AD35" i="2"/>
  <c r="T26" i="2"/>
  <c r="AD28" i="2"/>
  <c r="T51" i="2" l="1"/>
  <c r="Y232" i="2"/>
  <c r="AA232" i="2" s="1"/>
  <c r="S232" i="2" s="1"/>
  <c r="AD232" i="2" s="1"/>
  <c r="T223" i="2"/>
  <c r="Y233" i="2"/>
  <c r="AA233" i="2" s="1"/>
  <c r="S233" i="2" s="1"/>
  <c r="AD233" i="2" s="1"/>
  <c r="AD41" i="2"/>
  <c r="S210" i="2"/>
  <c r="T229" i="2" l="1"/>
  <c r="R314" i="2" l="1"/>
  <c r="S314" i="2"/>
  <c r="T314" i="2"/>
  <c r="U314" i="2"/>
  <c r="V314" i="2"/>
  <c r="Q314" i="2"/>
  <c r="S469" i="2"/>
  <c r="AD287" i="2" l="1"/>
  <c r="Y18" i="2" l="1"/>
  <c r="AA18" i="2" s="1"/>
  <c r="S18" i="2" s="1"/>
  <c r="AD18" i="2" s="1"/>
  <c r="Y280" i="2" l="1"/>
  <c r="AA280" i="2" s="1"/>
  <c r="S280" i="2" s="1"/>
  <c r="AD280" i="2" s="1"/>
  <c r="Y281" i="2"/>
  <c r="AA281" i="2" s="1"/>
  <c r="S281" i="2" s="1"/>
  <c r="AD281" i="2" s="1"/>
  <c r="Y282" i="2"/>
  <c r="AA282" i="2" s="1"/>
  <c r="S282" i="2" s="1"/>
  <c r="AD282" i="2" s="1"/>
  <c r="Y279" i="2"/>
  <c r="AA279" i="2" s="1"/>
  <c r="S279" i="2" s="1"/>
  <c r="AD277" i="2"/>
  <c r="Y271" i="2"/>
  <c r="AA271" i="2" s="1"/>
  <c r="S271" i="2" s="1"/>
  <c r="AD268" i="2"/>
  <c r="Y266" i="2"/>
  <c r="AA266" i="2" s="1"/>
  <c r="S266" i="2" s="1"/>
  <c r="AD263" i="2"/>
  <c r="Y261" i="2"/>
  <c r="AA261" i="2" s="1"/>
  <c r="S261" i="2" s="1"/>
  <c r="AD261" i="2" s="1"/>
  <c r="Y260" i="2"/>
  <c r="AA260" i="2" s="1"/>
  <c r="S260" i="2" s="1"/>
  <c r="AD257" i="2"/>
  <c r="Y251" i="2"/>
  <c r="AA251" i="2" s="1"/>
  <c r="S251" i="2" s="1"/>
  <c r="AD251" i="2" s="1"/>
  <c r="Y250" i="2"/>
  <c r="AA250" i="2" s="1"/>
  <c r="S250" i="2" s="1"/>
  <c r="AD248" i="2"/>
  <c r="Y245" i="2"/>
  <c r="AA245" i="2" s="1"/>
  <c r="S245" i="2" s="1"/>
  <c r="AD245" i="2" s="1"/>
  <c r="Y246" i="2"/>
  <c r="AA246" i="2" s="1"/>
  <c r="S246" i="2" s="1"/>
  <c r="AD246" i="2" s="1"/>
  <c r="Y244" i="2"/>
  <c r="AA244" i="2" s="1"/>
  <c r="S244" i="2" s="1"/>
  <c r="AD244" i="2" s="1"/>
  <c r="Y243" i="2"/>
  <c r="AA243" i="2" s="1"/>
  <c r="S243" i="2" s="1"/>
  <c r="AD241" i="2"/>
  <c r="Y239" i="2"/>
  <c r="AA239" i="2" s="1"/>
  <c r="S239" i="2" s="1"/>
  <c r="AD239" i="2" s="1"/>
  <c r="Y238" i="2"/>
  <c r="AA238" i="2" s="1"/>
  <c r="S238" i="2" s="1"/>
  <c r="AD236" i="2"/>
  <c r="Y111" i="2"/>
  <c r="AA111" i="2" s="1"/>
  <c r="S111" i="2" s="1"/>
  <c r="AD111" i="2" s="1"/>
  <c r="Y102" i="2"/>
  <c r="AA102" i="2" s="1"/>
  <c r="S102" i="2" s="1"/>
  <c r="AD102" i="2" s="1"/>
  <c r="Y103" i="2"/>
  <c r="AA103" i="2" s="1"/>
  <c r="S103" i="2" s="1"/>
  <c r="AD103" i="2" s="1"/>
  <c r="Y104" i="2"/>
  <c r="AA104" i="2" s="1"/>
  <c r="S104" i="2" s="1"/>
  <c r="AD104" i="2" s="1"/>
  <c r="Y105" i="2"/>
  <c r="AA105" i="2" s="1"/>
  <c r="S105" i="2" s="1"/>
  <c r="AD105" i="2" s="1"/>
  <c r="Y95" i="2"/>
  <c r="AA95" i="2" s="1"/>
  <c r="S95" i="2" s="1"/>
  <c r="AD95" i="2" s="1"/>
  <c r="Y96" i="2"/>
  <c r="AA96" i="2" s="1"/>
  <c r="S96" i="2" s="1"/>
  <c r="AD96" i="2" s="1"/>
  <c r="Y97" i="2"/>
  <c r="AA97" i="2" s="1"/>
  <c r="S97" i="2" s="1"/>
  <c r="AD97" i="2" s="1"/>
  <c r="Y82" i="2"/>
  <c r="AA82" i="2" s="1"/>
  <c r="S82" i="2" s="1"/>
  <c r="AD82" i="2" s="1"/>
  <c r="Y83" i="2"/>
  <c r="AA83" i="2" s="1"/>
  <c r="S83" i="2" s="1"/>
  <c r="AD83" i="2" s="1"/>
  <c r="Y84" i="2"/>
  <c r="AA84" i="2" s="1"/>
  <c r="S84" i="2" s="1"/>
  <c r="AD84" i="2" s="1"/>
  <c r="Y85" i="2"/>
  <c r="AA85" i="2" s="1"/>
  <c r="S85" i="2" s="1"/>
  <c r="AD85" i="2" s="1"/>
  <c r="Y77" i="2"/>
  <c r="AA77" i="2" s="1"/>
  <c r="S77" i="2" s="1"/>
  <c r="AD77" i="2" s="1"/>
  <c r="Y75" i="2"/>
  <c r="AA75" i="2" s="1"/>
  <c r="S75" i="2" s="1"/>
  <c r="AD75" i="2" s="1"/>
  <c r="Y74" i="2"/>
  <c r="AA74" i="2" s="1"/>
  <c r="S74" i="2" s="1"/>
  <c r="AD74" i="2" s="1"/>
  <c r="Y64" i="2"/>
  <c r="AA64" i="2" s="1"/>
  <c r="S64" i="2" s="1"/>
  <c r="AD64" i="2" s="1"/>
  <c r="Y81" i="2"/>
  <c r="AA81" i="2" s="1"/>
  <c r="S81" i="2" s="1"/>
  <c r="AD79" i="2"/>
  <c r="Y73" i="2"/>
  <c r="AA73" i="2" s="1"/>
  <c r="S73" i="2" s="1"/>
  <c r="AD71" i="2"/>
  <c r="Y68" i="2"/>
  <c r="AA68" i="2" s="1"/>
  <c r="S68" i="2" s="1"/>
  <c r="AD66" i="2"/>
  <c r="Y24" i="2"/>
  <c r="AA24" i="2" s="1"/>
  <c r="S24" i="2" s="1"/>
  <c r="AD24" i="2" s="1"/>
  <c r="Y23" i="2"/>
  <c r="AA23" i="2" s="1"/>
  <c r="S23" i="2" s="1"/>
  <c r="AD20" i="2"/>
  <c r="AD279" i="2" l="1"/>
  <c r="T277" i="2"/>
  <c r="AD271" i="2"/>
  <c r="AD266" i="2"/>
  <c r="AD260" i="2"/>
  <c r="T257" i="2"/>
  <c r="AD250" i="2"/>
  <c r="T248" i="2"/>
  <c r="AD243" i="2"/>
  <c r="T241" i="2"/>
  <c r="AD238" i="2"/>
  <c r="T236" i="2"/>
  <c r="AD81" i="2"/>
  <c r="T79" i="2"/>
  <c r="AD73" i="2"/>
  <c r="T71" i="2"/>
  <c r="AD68" i="2"/>
  <c r="T66" i="2"/>
  <c r="AD23" i="2"/>
  <c r="T20" i="2"/>
  <c r="S228" i="2"/>
  <c r="S222" i="2"/>
  <c r="AD107" i="2" l="1"/>
  <c r="Y101" i="2"/>
  <c r="AA101" i="2" s="1"/>
  <c r="S101" i="2" s="1"/>
  <c r="AD99" i="2"/>
  <c r="Y110" i="2"/>
  <c r="AA110" i="2" s="1"/>
  <c r="S110" i="2" s="1"/>
  <c r="AD108" i="2"/>
  <c r="Y94" i="2"/>
  <c r="AA94" i="2" s="1"/>
  <c r="S94" i="2" s="1"/>
  <c r="AD92" i="2"/>
  <c r="AD101" i="2" l="1"/>
  <c r="T99" i="2"/>
  <c r="AD110" i="2"/>
  <c r="T108" i="2"/>
  <c r="T92" i="2"/>
  <c r="AD94" i="2"/>
  <c r="S107" i="2"/>
  <c r="Y63" i="2" l="1"/>
  <c r="AA63" i="2" s="1"/>
  <c r="S63" i="2" s="1"/>
  <c r="AD61" i="2"/>
  <c r="Y17" i="2"/>
  <c r="AA17" i="2" s="1"/>
  <c r="S17" i="2" s="1"/>
  <c r="AD17" i="2" s="1"/>
  <c r="Y16" i="2"/>
  <c r="AA16" i="2" s="1"/>
  <c r="S16" i="2" s="1"/>
  <c r="AD14" i="2"/>
  <c r="L14" i="2"/>
  <c r="AD63" i="2" l="1"/>
  <c r="T61" i="2"/>
  <c r="L15" i="2"/>
  <c r="AD16" i="2"/>
  <c r="T14" i="2"/>
  <c r="L20" i="2"/>
  <c r="L21" i="2" l="1"/>
  <c r="M22" i="2" s="1"/>
  <c r="M16" i="2"/>
  <c r="M17" i="2" s="1"/>
  <c r="M18" i="2" s="1"/>
  <c r="B321" i="2"/>
  <c r="B320" i="2"/>
  <c r="B319" i="2"/>
  <c r="B318" i="2"/>
  <c r="B317" i="2"/>
  <c r="B316" i="2"/>
  <c r="AD469" i="2"/>
  <c r="AD463" i="2"/>
  <c r="L26" i="2"/>
  <c r="L27" i="2" l="1"/>
  <c r="M23" i="2"/>
  <c r="P299" i="2"/>
  <c r="L33" i="2"/>
  <c r="L34" i="2" l="1"/>
  <c r="M28" i="2"/>
  <c r="M29" i="2" s="1"/>
  <c r="M24" i="2"/>
  <c r="B2" i="6"/>
  <c r="B2" i="8"/>
  <c r="AB339" i="2"/>
  <c r="L39" i="2"/>
  <c r="M30" i="2" l="1"/>
  <c r="M31" i="2" s="1"/>
  <c r="L40" i="2"/>
  <c r="M35" i="2"/>
  <c r="Y465" i="2"/>
  <c r="L45" i="2"/>
  <c r="M36" i="2" l="1"/>
  <c r="M37" i="2" s="1"/>
  <c r="L46" i="2"/>
  <c r="M41" i="2"/>
  <c r="C55" i="4"/>
  <c r="C54" i="4"/>
  <c r="C52" i="4"/>
  <c r="C51" i="4"/>
  <c r="L51" i="2"/>
  <c r="M42" i="2" l="1"/>
  <c r="M43" i="2" s="1"/>
  <c r="L52" i="2"/>
  <c r="M47" i="2"/>
  <c r="T333" i="2"/>
  <c r="P333" i="2"/>
  <c r="M48" i="2" l="1"/>
  <c r="M49" i="2" s="1"/>
  <c r="M53" i="2"/>
  <c r="AA465" i="2"/>
  <c r="S465" i="2" s="1"/>
  <c r="C1" i="5"/>
  <c r="N331" i="2"/>
  <c r="B11" i="5" s="1"/>
  <c r="M331" i="2"/>
  <c r="N330" i="2"/>
  <c r="B10" i="5" s="1"/>
  <c r="M330" i="2"/>
  <c r="N329" i="2"/>
  <c r="B9" i="5" s="1"/>
  <c r="M329" i="2"/>
  <c r="N328" i="2"/>
  <c r="B8" i="5" s="1"/>
  <c r="M328" i="2"/>
  <c r="N327" i="2"/>
  <c r="B7" i="5" s="1"/>
  <c r="M327" i="2"/>
  <c r="N326" i="2"/>
  <c r="B6" i="5" s="1"/>
  <c r="M326" i="2"/>
  <c r="N321" i="2"/>
  <c r="N320" i="2"/>
  <c r="N319" i="2"/>
  <c r="N318" i="2"/>
  <c r="N317" i="2"/>
  <c r="N316" i="2"/>
  <c r="M321" i="2"/>
  <c r="M320" i="2"/>
  <c r="M319" i="2"/>
  <c r="M318" i="2"/>
  <c r="M317" i="2"/>
  <c r="M316" i="2"/>
  <c r="L61" i="2"/>
  <c r="M54" i="2" l="1"/>
  <c r="M55" i="2" s="1"/>
  <c r="M56" i="2" s="1"/>
  <c r="L62" i="2"/>
  <c r="T463" i="2"/>
  <c r="AD465" i="2"/>
  <c r="L66" i="2"/>
  <c r="L67" i="2" l="1"/>
  <c r="M63" i="2"/>
  <c r="M64" i="2" s="1"/>
  <c r="AD461" i="2"/>
  <c r="L71" i="2"/>
  <c r="L72" i="2" l="1"/>
  <c r="M68" i="2"/>
  <c r="M69" i="2" s="1"/>
  <c r="G3" i="5"/>
  <c r="K3" i="5" s="1"/>
  <c r="O3" i="5" s="1"/>
  <c r="S3" i="5" s="1"/>
  <c r="W3" i="5" s="1"/>
  <c r="AA3" i="5" s="1"/>
  <c r="AE3" i="5" s="1"/>
  <c r="AI3" i="5" s="1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L79" i="2"/>
  <c r="L80" i="2" l="1"/>
  <c r="M73" i="2"/>
  <c r="M74" i="2" s="1"/>
  <c r="M75" i="2" s="1"/>
  <c r="N392" i="2"/>
  <c r="N391" i="2"/>
  <c r="N390" i="2"/>
  <c r="W314" i="2"/>
  <c r="B314" i="2" s="1"/>
  <c r="M76" i="2" l="1"/>
  <c r="M77" i="2" s="1"/>
  <c r="M81" i="2"/>
  <c r="M82" i="2" s="1"/>
  <c r="M83" i="2" s="1"/>
  <c r="M84" i="2" s="1"/>
  <c r="M85" i="2" s="1"/>
  <c r="M86" i="2" s="1"/>
  <c r="M87" i="2" s="1"/>
  <c r="M3" i="2"/>
  <c r="L92" i="2"/>
  <c r="L93" i="2" l="1"/>
  <c r="N3" i="2"/>
  <c r="M94" i="2" l="1"/>
  <c r="M95" i="2" s="1"/>
  <c r="M96" i="2" s="1"/>
  <c r="M97" i="2" s="1"/>
  <c r="S59" i="2"/>
  <c r="O317" i="2" s="1"/>
  <c r="P317" i="2" s="1"/>
  <c r="S12" i="2"/>
  <c r="O316" i="2" s="1"/>
  <c r="L99" i="2"/>
  <c r="L100" i="2" l="1"/>
  <c r="W317" i="2"/>
  <c r="P316" i="2"/>
  <c r="P326" i="2" s="1"/>
  <c r="O327" i="2" s="1"/>
  <c r="W316" i="2"/>
  <c r="M101" i="2" l="1"/>
  <c r="P327" i="2"/>
  <c r="O328" i="2" s="1"/>
  <c r="L108" i="2"/>
  <c r="M102" i="2" l="1"/>
  <c r="M103" i="2" s="1"/>
  <c r="M104" i="2" s="1"/>
  <c r="M105" i="2" s="1"/>
  <c r="L109" i="2"/>
  <c r="S461" i="2"/>
  <c r="L115" i="2"/>
  <c r="L116" i="2" l="1"/>
  <c r="M110" i="2"/>
  <c r="M111" i="2" s="1"/>
  <c r="M112" i="2" s="1"/>
  <c r="M113" i="2" s="1"/>
  <c r="S90" i="2"/>
  <c r="O318" i="2" s="1"/>
  <c r="L119" i="2"/>
  <c r="L120" i="2" l="1"/>
  <c r="M117" i="2"/>
  <c r="T268" i="2"/>
  <c r="P318" i="2"/>
  <c r="P328" i="2" s="1"/>
  <c r="O329" i="2" s="1"/>
  <c r="W318" i="2"/>
  <c r="L124" i="2"/>
  <c r="L125" i="2" l="1"/>
  <c r="M121" i="2"/>
  <c r="M122" i="2" s="1"/>
  <c r="S220" i="2"/>
  <c r="O319" i="2" s="1"/>
  <c r="T263" i="2"/>
  <c r="S255" i="2" s="1"/>
  <c r="O320" i="2" s="1"/>
  <c r="M126" i="2" l="1"/>
  <c r="M127" i="2" s="1"/>
  <c r="X289" i="2"/>
  <c r="Y289" i="2" s="1"/>
  <c r="AA289" i="2" s="1"/>
  <c r="S289" i="2" s="1"/>
  <c r="W319" i="2"/>
  <c r="P319" i="2"/>
  <c r="P329" i="2" s="1"/>
  <c r="O330" i="2" s="1"/>
  <c r="P320" i="2"/>
  <c r="W320" i="2"/>
  <c r="L129" i="2"/>
  <c r="L130" i="2" l="1"/>
  <c r="M131" i="2" s="1"/>
  <c r="AD289" i="2"/>
  <c r="T3" i="2" s="1"/>
  <c r="T287" i="2"/>
  <c r="S285" i="2" s="1"/>
  <c r="O321" i="2" s="1"/>
  <c r="P330" i="2"/>
  <c r="O331" i="2" s="1"/>
  <c r="L133" i="2"/>
  <c r="L134" i="2" l="1"/>
  <c r="M135" i="2" s="1"/>
  <c r="O322" i="2"/>
  <c r="W321" i="2"/>
  <c r="W322" i="2" s="1"/>
  <c r="P307" i="2" s="1"/>
  <c r="P321" i="2"/>
  <c r="P322" i="2" s="1"/>
  <c r="L137" i="2"/>
  <c r="L138" i="2" l="1"/>
  <c r="M139" i="2" s="1"/>
  <c r="M140" i="2" s="1"/>
  <c r="N5" i="2"/>
  <c r="P331" i="2"/>
  <c r="T332" i="2" s="1"/>
  <c r="O307" i="2"/>
  <c r="N351" i="2"/>
  <c r="S292" i="2"/>
  <c r="L142" i="2"/>
  <c r="L143" i="2" l="1"/>
  <c r="M144" i="2" s="1"/>
  <c r="P332" i="2"/>
  <c r="N6" i="2" s="1"/>
  <c r="L146" i="2"/>
  <c r="L147" i="2" l="1"/>
  <c r="M148" i="2" s="1"/>
  <c r="L150" i="2"/>
  <c r="L151" i="2" l="1"/>
  <c r="M152" i="2" s="1"/>
  <c r="M153" i="2" s="1"/>
  <c r="M154" i="2" s="1"/>
  <c r="L156" i="2"/>
  <c r="L157" i="2" l="1"/>
  <c r="L161" i="2"/>
  <c r="M158" i="2" l="1"/>
  <c r="M159" i="2" s="1"/>
  <c r="L162" i="2"/>
  <c r="M163" i="2" s="1"/>
  <c r="L165" i="2"/>
  <c r="L166" i="2" l="1"/>
  <c r="M167" i="2" s="1"/>
  <c r="L169" i="2"/>
  <c r="L170" i="2" l="1"/>
  <c r="M171" i="2" s="1"/>
  <c r="L175" i="2"/>
  <c r="L176" i="2" l="1"/>
  <c r="M177" i="2" s="1"/>
  <c r="M172" i="2"/>
  <c r="M173" i="2" s="1"/>
  <c r="L179" i="2"/>
  <c r="L180" i="2" l="1"/>
  <c r="L183" i="2"/>
  <c r="M181" i="2" l="1"/>
  <c r="L184" i="2"/>
  <c r="M185" i="2" s="1"/>
  <c r="L187" i="2"/>
  <c r="L188" i="2" l="1"/>
  <c r="M189" i="2" s="1"/>
  <c r="M190" i="2" s="1"/>
  <c r="L192" i="2"/>
  <c r="L193" i="2" l="1"/>
  <c r="M194" i="2" s="1"/>
  <c r="M195" i="2" s="1"/>
  <c r="M196" i="2" s="1"/>
  <c r="L198" i="2"/>
  <c r="L199" i="2" l="1"/>
  <c r="M200" i="2" s="1"/>
  <c r="L202" i="2"/>
  <c r="L203" i="2" l="1"/>
  <c r="L206" i="2"/>
  <c r="L207" i="2" l="1"/>
  <c r="M204" i="2"/>
  <c r="L211" i="2"/>
  <c r="L223" i="2"/>
  <c r="L212" i="2" l="1"/>
  <c r="M208" i="2"/>
  <c r="L224" i="2"/>
  <c r="M213" i="2"/>
  <c r="M214" i="2" s="1"/>
  <c r="M215" i="2" s="1"/>
  <c r="M216" i="2" s="1"/>
  <c r="M217" i="2" s="1"/>
  <c r="L229" i="2"/>
  <c r="L230" i="2" l="1"/>
  <c r="M225" i="2"/>
  <c r="M226" i="2" s="1"/>
  <c r="L236" i="2"/>
  <c r="L463" i="2"/>
  <c r="L464" i="2" l="1"/>
  <c r="M465" i="2" s="1"/>
  <c r="L237" i="2"/>
  <c r="M231" i="2"/>
  <c r="M232" i="2" s="1"/>
  <c r="M233" i="2" s="1"/>
  <c r="M234" i="2" s="1"/>
  <c r="M238" i="2" l="1"/>
  <c r="M239" i="2" s="1"/>
  <c r="L241" i="2"/>
  <c r="L242" i="2" l="1"/>
  <c r="M243" i="2" s="1"/>
  <c r="M244" i="2" s="1"/>
  <c r="M245" i="2" s="1"/>
  <c r="M246" i="2" s="1"/>
  <c r="L248" i="2"/>
  <c r="L249" i="2" l="1"/>
  <c r="M250" i="2"/>
  <c r="M251" i="2" s="1"/>
  <c r="M252" i="2" s="1"/>
  <c r="L257" i="2"/>
  <c r="L258" i="2" l="1"/>
  <c r="L263" i="2"/>
  <c r="L264" i="2" l="1"/>
  <c r="M259" i="2"/>
  <c r="M260" i="2" s="1"/>
  <c r="M261" i="2" s="1"/>
  <c r="L268" i="2"/>
  <c r="L269" i="2" l="1"/>
  <c r="M265" i="2"/>
  <c r="M266" i="2" s="1"/>
  <c r="L273" i="2"/>
  <c r="L287" i="2"/>
  <c r="L274" i="2" l="1"/>
  <c r="L288" i="2"/>
  <c r="M289" i="2" s="1"/>
  <c r="M270" i="2"/>
  <c r="M271" i="2" s="1"/>
  <c r="L277" i="2"/>
  <c r="L278" i="2" l="1"/>
  <c r="M279" i="2" s="1"/>
  <c r="M280" i="2" s="1"/>
  <c r="M281" i="2" s="1"/>
  <c r="M282" i="2" s="1"/>
  <c r="M27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tc={7CCDC33E-4A20-4C04-9208-3ABAB03F06DB}</author>
    <author>tc={A26F4214-8AFF-4C7D-875A-54FC233A4694}</author>
  </authors>
  <commentList>
    <comment ref="O23" authorId="0" shapeId="0" xr:uid="{7CCDC33E-4A20-4C04-9208-3ABAB03F06DB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clarify</t>
      </text>
    </comment>
    <comment ref="X47" authorId="1" shapeId="0" xr:uid="{A26F4214-8AFF-4C7D-875A-54FC233A4694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clarify</t>
      </text>
    </comment>
  </commentList>
</comments>
</file>

<file path=xl/sharedStrings.xml><?xml version="1.0" encoding="utf-8"?>
<sst xmlns="http://schemas.openxmlformats.org/spreadsheetml/2006/main" count="1642" uniqueCount="668">
  <si>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</si>
  <si>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</si>
  <si>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</si>
  <si>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</si>
  <si>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</si>
  <si>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</si>
  <si>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</si>
  <si>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</si>
  <si>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</si>
  <si>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</si>
  <si>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</si>
  <si>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</si>
  <si>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</si>
  <si>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</si>
  <si>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</si>
  <si>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</si>
  <si>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</si>
  <si>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</si>
  <si>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</si>
  <si>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</si>
  <si>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</si>
  <si>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</si>
  <si>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</si>
  <si>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</si>
  <si>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</si>
  <si>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</si>
  <si>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</si>
  <si>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</si>
  <si>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</si>
  <si>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</si>
  <si>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</si>
  <si>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</si>
  <si>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</si>
  <si>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</si>
  <si>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</si>
  <si>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</si>
  <si>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</si>
  <si>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</si>
  <si>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</si>
  <si>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</si>
  <si>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</si>
  <si>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</si>
  <si>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</si>
  <si>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</si>
  <si>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</si>
  <si>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</si>
  <si>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</si>
  <si>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</si>
  <si>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</si>
  <si>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</si>
  <si>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</si>
  <si>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</si>
  <si>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</si>
  <si>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</si>
  <si>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</si>
  <si>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</si>
  <si>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</si>
  <si>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</si>
  <si>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</si>
  <si>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</si>
  <si>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</si>
  <si>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</si>
  <si>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</si>
  <si>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</si>
  <si>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</si>
  <si>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</si>
  <si>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</si>
  <si>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</si>
  <si>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</si>
  <si>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</si>
  <si>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</si>
  <si>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</si>
  <si>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</si>
  <si>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</si>
  <si>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</si>
  <si>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</si>
  <si>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</si>
  <si>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</si>
  <si>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</si>
  <si>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</si>
  <si>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</si>
  <si>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</si>
  <si>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</si>
  <si>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</si>
  <si>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</si>
  <si>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</si>
  <si>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</si>
  <si>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</si>
  <si>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</si>
  <si>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</si>
  <si>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</si>
  <si>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</si>
  <si>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</si>
  <si>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</si>
  <si>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</si>
  <si>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</si>
  <si>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</si>
  <si>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</si>
  <si>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</si>
  <si>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</si>
  <si>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</si>
  <si>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</si>
  <si>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</si>
  <si>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</si>
  <si>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</si>
  <si>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</si>
  <si>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</si>
  <si>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</si>
  <si>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</si>
  <si>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</si>
  <si>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</si>
  <si>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</si>
  <si>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</si>
  <si>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</si>
  <si>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</si>
  <si>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</si>
  <si>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</si>
  <si>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</si>
  <si>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</si>
  <si>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</si>
  <si>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</si>
  <si>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</si>
  <si>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</si>
  <si>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</si>
  <si>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</si>
  <si>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</si>
  <si>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</si>
  <si>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</si>
  <si>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</si>
  <si>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</si>
  <si>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</si>
  <si>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</si>
  <si>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</si>
  <si>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</si>
  <si>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</si>
  <si>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</si>
  <si>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</si>
  <si>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</si>
  <si>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</si>
  <si>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</si>
  <si>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</si>
  <si>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</si>
  <si>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</si>
  <si>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</si>
  <si>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</si>
  <si>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</si>
  <si>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</si>
  <si>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</si>
  <si>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</si>
  <si>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</si>
  <si>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</si>
  <si>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</si>
  <si>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</si>
  <si>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</si>
  <si>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</si>
  <si>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</si>
  <si>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</si>
  <si>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</si>
  <si>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</si>
  <si>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</si>
  <si>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</si>
  <si>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</si>
  <si>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</si>
  <si>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</si>
  <si>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</si>
  <si>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</si>
  <si>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</si>
  <si>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</si>
  <si>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</si>
  <si>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</si>
  <si>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</si>
  <si>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</si>
  <si>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</si>
  <si>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</si>
  <si>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</si>
  <si>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</si>
  <si>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</si>
  <si>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</si>
  <si>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</si>
  <si>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</si>
  <si>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</si>
  <si>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</si>
  <si>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</si>
  <si>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</si>
  <si>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</si>
  <si>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</si>
  <si>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</si>
  <si>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</si>
  <si>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</si>
  <si>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</si>
  <si>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</si>
  <si>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</si>
  <si>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</si>
  <si>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</si>
  <si>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</si>
  <si>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</si>
  <si>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</si>
  <si>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</si>
  <si>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</si>
  <si>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</si>
  <si>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</si>
  <si>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</si>
  <si>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</si>
  <si>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</si>
  <si>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</si>
  <si>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</si>
  <si>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</si>
  <si>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</si>
  <si>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</si>
  <si>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</si>
  <si>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</si>
  <si>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</si>
  <si>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</si>
  <si>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</si>
  <si>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</si>
  <si>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</si>
  <si>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</si>
  <si>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</si>
  <si>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</si>
  <si>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</si>
  <si>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</si>
  <si>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</si>
  <si>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</si>
  <si>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</si>
  <si>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</si>
  <si>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</si>
  <si>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</si>
  <si>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</si>
  <si>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</si>
  <si>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</si>
  <si>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</si>
  <si>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</si>
  <si>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</si>
  <si>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</si>
  <si>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</si>
  <si>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</si>
  <si>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</si>
  <si>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</si>
  <si>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</si>
  <si>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</si>
  <si>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</si>
  <si>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</si>
  <si>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</si>
  <si>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</si>
  <si>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</si>
  <si>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</si>
  <si>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</si>
  <si>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</si>
  <si>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</si>
  <si>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</si>
  <si>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</si>
  <si>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</si>
  <si>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</si>
  <si>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</si>
  <si>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</si>
  <si>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</si>
  <si>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</si>
  <si>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</si>
  <si>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</si>
  <si>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</si>
  <si>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</si>
  <si>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</si>
  <si>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</si>
  <si>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</si>
  <si>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</si>
  <si>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</si>
  <si>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</si>
  <si>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</si>
  <si>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</si>
  <si>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</si>
  <si>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</si>
  <si>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</si>
  <si>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</si>
  <si>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</si>
  <si>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</si>
  <si>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</si>
  <si>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</si>
  <si>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</si>
  <si>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</si>
  <si>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</si>
  <si>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</si>
  <si>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</si>
  <si>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</si>
  <si>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</si>
  <si>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</si>
  <si>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</si>
  <si>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</si>
  <si>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</si>
  <si>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</si>
  <si>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</si>
  <si>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</si>
  <si>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</si>
  <si>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</si>
  <si>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</si>
  <si>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</si>
  <si>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</si>
  <si>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</si>
  <si>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</si>
  <si>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</si>
  <si>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</si>
  <si>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</si>
  <si>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</si>
  <si>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</si>
  <si>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</si>
  <si>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</si>
  <si>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</si>
  <si>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</si>
  <si>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</si>
  <si>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</si>
  <si>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</si>
  <si>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</si>
  <si>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</si>
  <si>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</si>
  <si>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</si>
  <si>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</si>
  <si>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</si>
  <si>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</si>
  <si>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</si>
  <si>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</si>
  <si>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</si>
  <si>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</si>
  <si>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</si>
  <si>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</si>
  <si>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</si>
  <si>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</si>
  <si>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</si>
  <si>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</si>
  <si>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</si>
  <si>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</si>
  <si>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</si>
  <si>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</si>
  <si>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</si>
  <si>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</si>
  <si>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</si>
  <si>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</si>
  <si>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</si>
  <si>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</si>
  <si>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</si>
  <si>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</si>
  <si>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</si>
  <si>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</si>
  <si>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</si>
  <si>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</si>
  <si>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</si>
  <si>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</si>
  <si>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</si>
  <si>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</si>
  <si>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</si>
  <si>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</si>
  <si>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</si>
  <si>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</si>
  <si>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</si>
  <si>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</si>
  <si>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</si>
  <si>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</si>
  <si>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</si>
  <si>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</si>
  <si>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</si>
  <si>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</si>
  <si>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</si>
  <si>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</si>
  <si>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</si>
  <si>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</si>
  <si>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</si>
  <si>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</si>
  <si>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</si>
  <si>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</si>
  <si>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</si>
  <si>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</si>
  <si>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</si>
  <si>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</si>
  <si>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</si>
  <si>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</si>
  <si>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</si>
  <si>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</si>
  <si>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</si>
  <si>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</si>
  <si>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</si>
  <si>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</si>
  <si>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</si>
  <si>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</si>
  <si>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</si>
  <si>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</si>
  <si>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</si>
  <si>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</si>
  <si>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</si>
  <si>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</si>
  <si>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</si>
  <si>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</si>
  <si>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</si>
  <si>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</si>
  <si>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</si>
  <si>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</si>
  <si>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</si>
  <si>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</si>
  <si>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</si>
  <si>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</si>
  <si>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</si>
  <si>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</si>
  <si>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</si>
  <si>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</si>
  <si>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</si>
  <si>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</si>
  <si>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</si>
  <si>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</si>
  <si>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</si>
  <si>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</si>
  <si>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</si>
  <si>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</si>
  <si>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</si>
  <si>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</si>
  <si>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</si>
  <si>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</si>
  <si>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</si>
  <si>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</si>
  <si>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</si>
  <si>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</si>
  <si>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</si>
  <si>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</si>
  <si>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</si>
  <si>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</si>
  <si>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</si>
  <si>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</si>
  <si>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</si>
  <si>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</si>
  <si>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</si>
  <si>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</si>
  <si>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</si>
  <si>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</si>
  <si>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</si>
  <si>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</si>
  <si>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</si>
  <si>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</si>
  <si>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</si>
  <si>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</si>
  <si>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</si>
  <si>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</si>
  <si>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</si>
  <si>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</si>
  <si>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</si>
  <si>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</si>
  <si>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</si>
  <si>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</si>
  <si>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</si>
  <si>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Out of scope / Assumptions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</si>
  <si>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</si>
  <si>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</si>
  <si>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</si>
  <si>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Development environment and team ramp-up</t>
  </si>
  <si>
    <t>Shared/core tasks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</si>
  <si>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</si>
  <si>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</si>
  <si>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</si>
  <si>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</si>
  <si>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</si>
  <si>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</si>
  <si>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Requirement analysis</t>
  </si>
  <si>
    <t>Analysis for new business requirements</t>
  </si>
  <si>
    <t>Business process re-engineering
&gt;&gt; Analysis to optimize existing business processes and workflows.</t>
  </si>
  <si>
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</si>
  <si>
    <t>Usability Analysis
&gt;&gt; Analysis for information flow architecture and usability considerations</t>
  </si>
  <si>
    <t>Review and Sign-off
&gt;&gt; Client review iterations and sign-off on SRS and Mock-ups</t>
  </si>
  <si>
    <t>POCs</t>
  </si>
  <si>
    <t>Application framework construction</t>
  </si>
  <si>
    <t>Functional test cases preparation and review</t>
  </si>
  <si>
    <t>Analysis of existing application(s) design</t>
  </si>
  <si>
    <t>Analysis of existing database(s)</t>
  </si>
  <si>
    <t xml:space="preserve">High Level Analysis and design document preparation
</t>
  </si>
  <si>
    <t xml:space="preserve">Low level analysis and design document preparation
</t>
  </si>
  <si>
    <t>Review and Sign-off
&gt;&gt; Client review iterations and sign-off on design documents</t>
  </si>
  <si>
    <t>Design Analysis and Documentation</t>
  </si>
  <si>
    <t>Integration adaptor framework</t>
  </si>
  <si>
    <t>Testing strategy and planning</t>
  </si>
  <si>
    <t>Test cases preparation (Manual)
&gt;&gt; For system and integration testing</t>
  </si>
  <si>
    <t>Test cases preparation (Automated)
&gt;&gt; Automated test scripts</t>
  </si>
  <si>
    <t>Review and Sign-off
&gt;&gt; Client review iterations and sign-off on test cases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</si>
  <si>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</si>
  <si>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</si>
  <si>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</si>
  <si>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SRS knowledge transfer to team members</t>
  </si>
  <si>
    <t>Design knowledge transfer to team members</t>
  </si>
  <si>
    <t>Application framework knowledge transfer to team members</t>
  </si>
  <si>
    <t>Development environment setup</t>
  </si>
  <si>
    <t>Screen: Master Page
&gt;&gt; Main menu, navigation logic and menu authorization logic</t>
  </si>
  <si>
    <t>Screen: Login (authentication process)</t>
  </si>
  <si>
    <t>Functionality: Authorization engine</t>
  </si>
  <si>
    <t>Functionality: Notification engine</t>
  </si>
  <si>
    <t>Functionality: Global search box</t>
  </si>
  <si>
    <t>Functional test cases execution</t>
  </si>
  <si>
    <t>Testing environment setup</t>
  </si>
  <si>
    <t>Test case execution
&gt;&gt; Testing, logs and reports</t>
  </si>
  <si>
    <t>Performance testing</t>
  </si>
  <si>
    <t>Performance testing environment setup</t>
  </si>
  <si>
    <t>Scripts preparation</t>
  </si>
  <si>
    <t>Scripts execution</t>
  </si>
  <si>
    <t>Reports preparation</t>
  </si>
  <si>
    <t>Environments</t>
  </si>
  <si>
    <t>Other Testing</t>
  </si>
  <si>
    <t>Multi-browser testing</t>
  </si>
  <si>
    <t>System Stabilization</t>
  </si>
  <si>
    <t>Staging releases (partial)</t>
  </si>
  <si>
    <t>Interim demos</t>
  </si>
  <si>
    <t>Interim staging releases
&gt;&gt; Preparation of release notes, installer, builds, etc.</t>
  </si>
  <si>
    <t>UAT Release (Full)</t>
  </si>
  <si>
    <t>UAT release
&gt;&gt; Preparation of release notes, installer, builds, etc.
&gt;&gt; UNIT: Total No. of Resources x N UAT cycle</t>
  </si>
  <si>
    <t>Releases</t>
  </si>
  <si>
    <t>Demos</t>
  </si>
  <si>
    <t>Production Release (Full)</t>
  </si>
  <si>
    <t>Final production release
&gt;&gt; Preparation of release notes, installer, builds, etc.</t>
  </si>
  <si>
    <t>Documentation and training</t>
  </si>
  <si>
    <t>Deployment document</t>
  </si>
  <si>
    <t>Training Plan and artifacts</t>
  </si>
  <si>
    <t>User manual</t>
  </si>
  <si>
    <t>Train the trainer sessions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</si>
  <si>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</si>
  <si>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</si>
  <si>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</si>
  <si>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</si>
  <si>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</si>
  <si>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Resources
Weeks</t>
  </si>
  <si>
    <t>PM Effort</t>
  </si>
  <si>
    <t>Project management effort</t>
  </si>
  <si>
    <t>Percentage</t>
  </si>
  <si>
    <t>AG Estimation Template -  Version</t>
  </si>
  <si>
    <t>Mohit Bhardwaj</t>
  </si>
  <si>
    <t>Create User Profiles, User Journeys</t>
  </si>
  <si>
    <t xml:space="preserve">Business process understanding and verification
&gt;&gt; </t>
  </si>
  <si>
    <t>Audit</t>
  </si>
  <si>
    <t>Requirement Documentation and Review</t>
  </si>
  <si>
    <t>Information Architecture</t>
  </si>
  <si>
    <t>Prototyping Visual designs</t>
  </si>
  <si>
    <t xml:space="preserve">Understand Stakeholder Requirements, Data Analysis
&gt;&gt; Stakeholders Interviews (Business, Technology, Design)
&gt;&gt; Document interview findings, data analysis
&gt;&gt; Client Presentation (Stakeholder Interviews, Analysis)
</t>
  </si>
  <si>
    <t>Project Plan and Kick off
&gt;&gt; Team Introductions, Revise Project Schedule, Set Expectations</t>
  </si>
  <si>
    <t>Client Presentation, review and Sign-off
&gt;&gt; Client review iterations and sign-off user profiles, personas &amp; journeys</t>
  </si>
  <si>
    <t>Iterations</t>
  </si>
  <si>
    <t>Expert Review</t>
  </si>
  <si>
    <t xml:space="preserve">Client Presentation, review and Sign-off
&gt;&gt; Review &amp; Analysis </t>
  </si>
  <si>
    <t>Create Site Map &amp; Content Inventory</t>
  </si>
  <si>
    <t>R2: Detailed Wireframes + Interaction Tables (15-20)</t>
  </si>
  <si>
    <t>Review and Sign-off
&gt;&gt; Client review iterations and sign-off on Final Wireframes</t>
  </si>
  <si>
    <t>Create Preliminary Visual Design Compositions (3-4 templates)</t>
  </si>
  <si>
    <t>Create Click through mockups</t>
  </si>
  <si>
    <t>Final Revisions</t>
  </si>
  <si>
    <t>This effort should be calculated by summing up all tasks/groups other than System Stabilization.</t>
  </si>
  <si>
    <t>Team Ramp up</t>
  </si>
  <si>
    <t>Requirement Analysis and Planning</t>
  </si>
  <si>
    <t>Requirement Study and Analysis</t>
  </si>
  <si>
    <t>Test Plan document
&gt;&gt; (Creation of test plan)</t>
  </si>
  <si>
    <t>Total Use Cases</t>
  </si>
  <si>
    <t>Test Preparation</t>
  </si>
  <si>
    <t>Name: Total Test Cases
# : Total Use case's
xN : Test case Per Use case</t>
  </si>
  <si>
    <t>Percentage of Test Cases</t>
  </si>
  <si>
    <t>How much percentage of test cases you are intended to execute</t>
  </si>
  <si>
    <t>15% test cases considered for Performance testing</t>
  </si>
  <si>
    <t>2.0.4</t>
  </si>
  <si>
    <t>Usability Testing</t>
  </si>
  <si>
    <t>Screens</t>
  </si>
  <si>
    <t>% of the Use cases</t>
  </si>
  <si>
    <t>Considered 2% of overall use cases.</t>
  </si>
  <si>
    <t xml:space="preserve">Analysis of existing system </t>
  </si>
  <si>
    <t>3 member and 3 cycle required</t>
  </si>
  <si>
    <t>4 member and 5 cycle required</t>
  </si>
  <si>
    <t>13 member required, 10 from developing company and 3 from client</t>
  </si>
  <si>
    <t>4 member from developing company required</t>
  </si>
  <si>
    <t>3 member and 2 cycle required</t>
  </si>
  <si>
    <t>Prepare Guide and questionaire and Interview Users 
&gt;&gt; 10-12) Users</t>
  </si>
  <si>
    <t>Create Profiles, Personas and  User Journeys</t>
  </si>
  <si>
    <t>Execute questionaire</t>
  </si>
  <si>
    <t xml:space="preserve">Competitor Analysis
&gt;&gt; Identify competitor
&gt;&gt; Gather information about product
&gt;&gt; Create comparison matrix </t>
  </si>
  <si>
    <t>6 member and 2 cycle required</t>
  </si>
  <si>
    <t xml:space="preserve">4 member and 2 cycle required </t>
  </si>
  <si>
    <t xml:space="preserve">2 member and 3 cycle required </t>
  </si>
  <si>
    <t>2 member and 3 cycle required</t>
  </si>
  <si>
    <t>2 member and 3 cycle</t>
  </si>
  <si>
    <t>POC: 
&gt;&gt; Database sharding
&gt;&gt; AKS scaling
&gt;&gt; Hardware scaling</t>
  </si>
  <si>
    <t>Database design and analysis document preparation
&gt;&gt; class relationship
&gt;&gt; relationship constraints
&gt;&gt; fields identifications etc</t>
  </si>
  <si>
    <t xml:space="preserve">DAR 
</t>
  </si>
  <si>
    <t>Multi-layered architecture:
&gt;&gt; DAL, ORM, BLL
&gt;&gt; 
&gt;&gt; Communication design across layers through interfaces and DTOs</t>
  </si>
  <si>
    <t>X-cutting layers
&gt;&gt; Logging, Exception handling, caching, notification, etc.
&gt;&gt; Integration with Kfka server
&gt;&gt; write job to mongo db as consumer</t>
  </si>
  <si>
    <t>Security
&gt;&gt; Authentication, authorization framework
&gt;&gt; token generation
&gt;&gt; filters
&gt;&gt; profiling
&gt;&gt; revoking
&gt;&gt; token expiration configuration</t>
  </si>
  <si>
    <t>UI Navigation framework
&gt;&gt; Nodejs and npm installation
&gt;&gt; Angular cli
&gt;&gt; Shared modules
&gt;&gt; configurations
&gt;&gt; mocking framework etc</t>
  </si>
  <si>
    <t>3 micro app</t>
  </si>
  <si>
    <t>Team member X no of cycle</t>
  </si>
  <si>
    <t xml:space="preserve">Based on Total Use Cases
</t>
  </si>
  <si>
    <t>No of preseation</t>
  </si>
  <si>
    <t>3 micro applications</t>
  </si>
  <si>
    <t>Customer login</t>
  </si>
  <si>
    <t>Screen: Login
&gt;&gt; User credential</t>
  </si>
  <si>
    <t>Task: Verify user credetial
&gt;&gt; Verifying credetial</t>
  </si>
  <si>
    <t>Task: Display failure message
&gt;&gt; Display messhe in case login fails</t>
  </si>
  <si>
    <t>Task: Validate token
&gt;&gt; Validating token
&gt;&gt; Revoke in case expired
&gt;&gt; Throw 401 error</t>
  </si>
  <si>
    <t>Performance testing enviroment setup</t>
  </si>
  <si>
    <t>Script writing</t>
  </si>
  <si>
    <t>Script execution</t>
  </si>
  <si>
    <t>Report generation</t>
  </si>
  <si>
    <t>Enviroment</t>
  </si>
  <si>
    <t>Test cases</t>
  </si>
  <si>
    <t>Issue fixing</t>
  </si>
  <si>
    <t>No of report</t>
  </si>
  <si>
    <t>Reports like loading time browser wise
rendering time browser wise
query execution
With and without cache</t>
  </si>
  <si>
    <t xml:space="preserve">Test cases only around critical area </t>
  </si>
  <si>
    <t>DEV and FAT</t>
  </si>
  <si>
    <t>Team members</t>
  </si>
  <si>
    <t>Considering 1 person</t>
  </si>
  <si>
    <t>considering 1 person</t>
  </si>
  <si>
    <t>FAT, UAT, Prod Mirror and Prod</t>
  </si>
  <si>
    <t>Mobile testing</t>
  </si>
  <si>
    <t xml:space="preserve">&gt;&gt; Azure provisioning
&gt;&gt; Kafka Setup
&gt;&gt; Kibana Setup
&gt;&gt; Radis Setup
&gt;&gt; Kubernetes Setup
</t>
  </si>
  <si>
    <t>Promotions</t>
  </si>
  <si>
    <t xml:space="preserve">Task : Promotions on customer portal
&gt;&gt; load promotions on portal
&gt;&gt; display latest in a section
</t>
  </si>
  <si>
    <t>Incident reporting</t>
  </si>
  <si>
    <t>Task : Incident report
&gt;&gt; Enter incident data
&gt;&gt; Upload images</t>
  </si>
  <si>
    <t xml:space="preserve">Task Claim initiation
&gt;&gt; Enter claim daya
&gt;&gt; Upload supportive documents
</t>
  </si>
  <si>
    <t>Policy document and status</t>
  </si>
  <si>
    <t xml:space="preserve">Task Status check
&gt;&gt; Loan claim status
</t>
  </si>
  <si>
    <t>Task Reports
&gt;&gt; Report screen and filetrs
&gt;&gt; Paginations
&gt;&gt; Downoad report</t>
  </si>
  <si>
    <t>Contact company</t>
  </si>
  <si>
    <t>Task Appointment
&gt;&gt; Open contact form and set an appointment</t>
  </si>
  <si>
    <t>Customer profile</t>
  </si>
  <si>
    <t xml:space="preserve">Task Update profile data
&gt;&gt; Opean screen to load and update data
</t>
  </si>
  <si>
    <t>Customer payment</t>
  </si>
  <si>
    <t xml:space="preserve">Task Payment
&gt;&gt; Confirm amount 
&gt;&gt; Proceed to payment
</t>
  </si>
  <si>
    <t>Task Billing reports
&gt;&gt; View reports of billing and invoice</t>
  </si>
  <si>
    <t>User login</t>
  </si>
  <si>
    <t>Partner login</t>
  </si>
  <si>
    <t>Task Login Screen
&gt;&gt; Open login screen
&gt;&gt; validate credential
&gt;&gt; Display message in case failure</t>
  </si>
  <si>
    <t>Work order</t>
  </si>
  <si>
    <t>Task work order
&gt;&gt; create work order
&gt;&gt; Upload document
&gt;&gt; Verify incident data</t>
  </si>
  <si>
    <t xml:space="preserve">Update work order </t>
  </si>
  <si>
    <t xml:space="preserve">Task Update status
&gt;&gt; Update work order status
&gt;&gt; Upload image
</t>
  </si>
  <si>
    <t xml:space="preserve">Task Query
&gt;&gt; Ask query to company
</t>
  </si>
  <si>
    <t xml:space="preserve">Task Billing
&gt;&gt; Generate bill
&gt;&gt; Send to customer and company
</t>
  </si>
  <si>
    <t>Partner reports</t>
  </si>
  <si>
    <t>Task Viewing report
&gt;&gt; Load data of report
&gt;&gt; Apply filters
&gt;&gt; Pagination</t>
  </si>
  <si>
    <t xml:space="preserve">Task Report download
&gt;&gt; Download report in excel and pdf format
</t>
  </si>
  <si>
    <t>Task Login by window user
&gt;&gt; Validate window identity
&gt;&gt; Attach a token
&gt;&gt; Revoke token in case expired</t>
  </si>
  <si>
    <t>Policy</t>
  </si>
  <si>
    <t xml:space="preserve">Task View policy and history
&gt;&gt; Open customer policy and history
</t>
  </si>
  <si>
    <t>Claims</t>
  </si>
  <si>
    <t>Task Update data
&gt;&gt; Update customer claim data
&gt;&gt; Adjust amount
&gt;&gt; Upload documents</t>
  </si>
  <si>
    <t xml:space="preserve">Task Approval sending
&gt;&gt; Send for approval
</t>
  </si>
  <si>
    <t xml:space="preserve">Task policy data
&gt;&gt; View customer policy data and history 
</t>
  </si>
  <si>
    <t xml:space="preserve">Task Open customer account
&gt;&gt; Open customer account
</t>
  </si>
  <si>
    <t>Partner account</t>
  </si>
  <si>
    <t>Customer account</t>
  </si>
  <si>
    <t xml:space="preserve">Task Open partner account
&gt;&gt; Open partner account
</t>
  </si>
  <si>
    <t>Survey</t>
  </si>
  <si>
    <t>Task Surveying
&gt;&gt; Inspect vehical
&gt;&gt; Upload images</t>
  </si>
  <si>
    <t>Reports</t>
  </si>
  <si>
    <t>Task Create/view report
&gt;&gt; View reports
&gt;&gt; Download
&gt;&gt; Pagination</t>
  </si>
  <si>
    <t>Approval and Rejection</t>
  </si>
  <si>
    <t xml:space="preserve">Task Approve
&gt;&gt; Adjust further and approve 
</t>
  </si>
  <si>
    <t xml:space="preserve">Task Reject
&gt;&gt; Reject amount
&gt;&gt; Give reason in comment </t>
  </si>
  <si>
    <t>Task Reject whole amount
&gt;&gt; Reject requested claim and raise a notification</t>
  </si>
  <si>
    <t>Payment by user</t>
  </si>
  <si>
    <t>Task Payment to partne
&gt;&gt; View invoice
&gt;&gt; View policy and T&amp;C
&gt;&gt; Pay dues</t>
  </si>
  <si>
    <t>Task Transaction reports
&gt;&gt; View transaction reports
&gt;&gt; View failed transaction detail
&gt;&gt; Print transaction report</t>
  </si>
  <si>
    <t>Messages</t>
  </si>
  <si>
    <t>Task Respond to query
&gt;&gt; Respond to customer query
&gt;&gt; Respond to partner query</t>
  </si>
  <si>
    <t>Complex business may involve</t>
  </si>
  <si>
    <t>Complex business logic may involve</t>
  </si>
  <si>
    <t>POC
&gt;&gt;Hybrid application using Angula and Ionic for mobile device
&gt;&gt; Phonegap simulater testing for mobile device</t>
  </si>
  <si>
    <t>Integration of Ionic and Angular
&gt;&gt; Intgrate angular framework with ionic</t>
  </si>
  <si>
    <t>Task Styling framework
&gt;&gt; Get bootstrap
&gt;&gt; Inherit from bootstrap
&gt;&gt; Write and change application syle</t>
  </si>
  <si>
    <t>Hybrid app will be sufficient hence VC++ not required</t>
  </si>
  <si>
    <t xml:space="preserve">Task Integrate and test
&gt;&gt; Integrate each screen with ionic
&gt;&gt; Test in phonegap simulator
</t>
  </si>
  <si>
    <t>Register app on IOS and Play store</t>
  </si>
  <si>
    <t>Task Register App
&gt;&gt; Register app on IOS App store
&gt;&gt; Register app on Android Play store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</si>
</sst>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45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top" wrapText="1"/>
    </xf>
    <xf numFmtId="0" fontId="2" fillId="3" borderId="1" xfId="0" applyFont="1" applyFill="1" applyBorder="1" applyAlignment="1" applyProtection="1">
      <alignment horizontal="center" vertical="top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0" xfId="0" applyFont="1" applyFill="1" applyAlignment="1" applyProtection="1">
      <alignment horizontal="center" vertical="top"/>
    </xf>
    <xf numFmtId="0" fontId="0" fillId="6" borderId="0" xfId="0" applyFill="1" applyBorder="1" applyAlignment="1" applyProtection="1">
      <alignment vertical="top"/>
    </xf>
    <xf numFmtId="0" fontId="0" fillId="6" borderId="0" xfId="0" applyFill="1" applyAlignment="1" applyProtection="1">
      <alignment vertical="top"/>
    </xf>
    <xf numFmtId="0" fontId="0" fillId="6" borderId="0" xfId="0" applyFill="1" applyAlignment="1" applyProtection="1">
      <alignment vertical="top" wrapText="1"/>
    </xf>
    <xf numFmtId="0" fontId="3" fillId="6" borderId="0" xfId="0" applyFont="1" applyFill="1" applyAlignment="1" applyProtection="1">
      <alignment vertical="top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Border="1" applyAlignment="1" applyProtection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 applyProtection="1">
      <alignment vertical="center"/>
    </xf>
    <xf numFmtId="1" fontId="4" fillId="6" borderId="0" xfId="0" applyNumberFormat="1" applyFont="1" applyFill="1" applyBorder="1" applyAlignment="1" applyProtection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 applyProtection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top"/>
    </xf>
    <xf numFmtId="0" fontId="9" fillId="4" borderId="0" xfId="0" applyFont="1" applyFill="1" applyAlignment="1" applyProtection="1">
      <alignment vertical="top"/>
    </xf>
    <xf numFmtId="2" fontId="0" fillId="4" borderId="0" xfId="0" applyNumberFormat="1" applyFill="1" applyAlignment="1" applyProtection="1">
      <alignment vertical="top"/>
    </xf>
    <xf numFmtId="0" fontId="0" fillId="4" borderId="0" xfId="0" applyFill="1" applyAlignment="1" applyProtection="1">
      <alignment vertical="top" wrapText="1"/>
    </xf>
    <xf numFmtId="0" fontId="0" fillId="2" borderId="0" xfId="0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2" fontId="7" fillId="2" borderId="0" xfId="0" applyNumberFormat="1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 wrapText="1"/>
    </xf>
    <xf numFmtId="0" fontId="0" fillId="6" borderId="4" xfId="0" applyFill="1" applyBorder="1" applyAlignment="1" applyProtection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 applyProtection="1">
      <alignment vertical="top"/>
    </xf>
    <xf numFmtId="0" fontId="0" fillId="8" borderId="0" xfId="0" applyFill="1" applyAlignment="1" applyProtection="1">
      <alignment vertical="top" wrapText="1"/>
    </xf>
    <xf numFmtId="0" fontId="2" fillId="8" borderId="0" xfId="0" applyFont="1" applyFill="1" applyBorder="1" applyAlignment="1" applyProtection="1">
      <alignment vertical="top"/>
    </xf>
    <xf numFmtId="9" fontId="14" fillId="8" borderId="2" xfId="0" applyNumberFormat="1" applyFont="1" applyFill="1" applyBorder="1" applyAlignment="1" applyProtection="1">
      <alignment vertical="top"/>
    </xf>
    <xf numFmtId="0" fontId="0" fillId="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 applyProtection="1">
      <alignment horizontal="center" vertical="top"/>
    </xf>
    <xf numFmtId="0" fontId="2" fillId="8" borderId="17" xfId="0" applyFont="1" applyFill="1" applyBorder="1" applyAlignment="1" applyProtection="1">
      <alignment horizontal="center" vertical="top"/>
    </xf>
    <xf numFmtId="0" fontId="0" fillId="8" borderId="1" xfId="0" applyFill="1" applyBorder="1" applyAlignment="1" applyProtection="1">
      <alignment vertical="top"/>
    </xf>
    <xf numFmtId="0" fontId="2" fillId="3" borderId="17" xfId="0" applyFont="1" applyFill="1" applyBorder="1" applyAlignment="1" applyProtection="1">
      <alignment horizontal="center" vertical="top"/>
    </xf>
    <xf numFmtId="0" fontId="2" fillId="3" borderId="19" xfId="0" applyFont="1" applyFill="1" applyBorder="1" applyAlignment="1" applyProtection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Border="1" applyAlignment="1" applyProtection="1">
      <alignment vertical="center"/>
      <protection locked="0"/>
    </xf>
    <xf numFmtId="0" fontId="5" fillId="10" borderId="0" xfId="0" applyFont="1" applyFill="1" applyBorder="1" applyAlignment="1" applyProtection="1">
      <alignment vertical="center" wrapText="1"/>
      <protection locked="0"/>
    </xf>
    <xf numFmtId="0" fontId="5" fillId="10" borderId="0" xfId="0" applyFont="1" applyFill="1" applyBorder="1" applyAlignment="1" applyProtection="1">
      <alignment vertical="center" wrapText="1"/>
    </xf>
    <xf numFmtId="0" fontId="5" fillId="10" borderId="0" xfId="0" applyFont="1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top"/>
    </xf>
    <xf numFmtId="0" fontId="0" fillId="6" borderId="0" xfId="0" applyFill="1" applyBorder="1" applyAlignment="1" applyProtection="1">
      <alignment vertical="top" wrapText="1"/>
    </xf>
    <xf numFmtId="0" fontId="0" fillId="10" borderId="0" xfId="0" applyFill="1" applyBorder="1" applyAlignment="1" applyProtection="1">
      <alignment vertical="top"/>
    </xf>
    <xf numFmtId="0" fontId="0" fillId="10" borderId="0" xfId="0" applyFill="1" applyBorder="1" applyAlignment="1" applyProtection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 applyProtection="1">
      <alignment vertical="top"/>
    </xf>
    <xf numFmtId="1" fontId="18" fillId="4" borderId="0" xfId="0" applyNumberFormat="1" applyFont="1" applyFill="1" applyAlignment="1" applyProtection="1">
      <alignment vertical="top"/>
    </xf>
    <xf numFmtId="0" fontId="9" fillId="4" borderId="0" xfId="0" applyFont="1" applyFill="1" applyAlignment="1" applyProtection="1">
      <alignment vertical="top"/>
      <protection locked="0"/>
    </xf>
    <xf numFmtId="0" fontId="0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Border="1" applyAlignment="1" applyProtection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 applyProtection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ont="1" applyFill="1" applyAlignment="1" applyProtection="1">
      <alignment vertical="top" wrapText="1"/>
    </xf>
    <xf numFmtId="0" fontId="15" fillId="7" borderId="0" xfId="0" applyFont="1" applyFill="1" applyBorder="1" applyAlignment="1" applyProtection="1">
      <alignment horizontal="center" vertical="top"/>
    </xf>
    <xf numFmtId="0" fontId="15" fillId="7" borderId="0" xfId="0" applyFont="1" applyFill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top"/>
    </xf>
    <xf numFmtId="0" fontId="27" fillId="7" borderId="0" xfId="0" applyFont="1" applyFill="1" applyAlignment="1" applyProtection="1">
      <alignment horizontal="center" vertical="center"/>
    </xf>
    <xf numFmtId="0" fontId="27" fillId="7" borderId="0" xfId="0" applyFont="1" applyFill="1" applyBorder="1" applyAlignment="1" applyProtection="1">
      <alignment horizontal="center" vertical="center"/>
    </xf>
    <xf numFmtId="0" fontId="28" fillId="7" borderId="0" xfId="0" applyFont="1" applyFill="1" applyBorder="1" applyAlignment="1" applyProtection="1">
      <alignment horizontal="center" vertical="center"/>
    </xf>
    <xf numFmtId="0" fontId="29" fillId="7" borderId="0" xfId="0" applyFont="1" applyFill="1" applyAlignment="1" applyProtection="1">
      <alignment horizontal="center" vertical="center"/>
    </xf>
    <xf numFmtId="0" fontId="29" fillId="7" borderId="0" xfId="0" applyFont="1" applyFill="1" applyBorder="1" applyAlignment="1" applyProtection="1">
      <alignment horizontal="center" vertical="top"/>
    </xf>
    <xf numFmtId="0" fontId="28" fillId="7" borderId="0" xfId="0" applyFont="1" applyFill="1" applyBorder="1" applyAlignment="1" applyProtection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 applyProtection="1">
      <alignment vertical="center"/>
    </xf>
    <xf numFmtId="2" fontId="7" fillId="13" borderId="0" xfId="0" applyNumberFormat="1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Border="1" applyAlignment="1" applyProtection="1">
      <alignment horizontal="center" vertical="top" textRotation="90"/>
    </xf>
    <xf numFmtId="0" fontId="31" fillId="11" borderId="0" xfId="0" applyFont="1" applyFill="1" applyAlignment="1" applyProtection="1">
      <alignment horizontal="center" vertical="top" textRotation="90"/>
    </xf>
    <xf numFmtId="0" fontId="0" fillId="14" borderId="0" xfId="0" applyFill="1" applyAlignment="1" applyProtection="1">
      <alignment vertical="top"/>
    </xf>
    <xf numFmtId="0" fontId="12" fillId="14" borderId="0" xfId="0" applyFont="1" applyFill="1" applyAlignment="1" applyProtection="1">
      <alignment vertical="top"/>
    </xf>
    <xf numFmtId="0" fontId="24" fillId="14" borderId="0" xfId="0" applyFont="1" applyFill="1" applyBorder="1" applyAlignment="1" applyProtection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0" fontId="0" fillId="4" borderId="0" xfId="0" applyFill="1" applyBorder="1" applyAlignment="1" applyProtection="1">
      <alignment vertical="top" wrapText="1"/>
      <protection locked="0"/>
    </xf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 wrapText="1"/>
    </xf>
    <xf numFmtId="166" fontId="0" fillId="4" borderId="13" xfId="0" applyNumberFormat="1" applyFill="1" applyBorder="1" applyAlignment="1" applyProtection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 applyProtection="1">
      <alignment horizontal="right" vertical="top" wrapText="1"/>
    </xf>
    <xf numFmtId="0" fontId="2" fillId="4" borderId="22" xfId="0" applyFont="1" applyFill="1" applyBorder="1" applyAlignment="1" applyProtection="1">
      <alignment horizontal="right" vertical="top"/>
    </xf>
    <xf numFmtId="15" fontId="0" fillId="4" borderId="10" xfId="0" applyNumberFormat="1" applyFill="1" applyBorder="1" applyAlignment="1" applyProtection="1">
      <alignment vertical="top" wrapText="1"/>
    </xf>
    <xf numFmtId="15" fontId="0" fillId="4" borderId="13" xfId="0" applyNumberFormat="1" applyFill="1" applyBorder="1" applyAlignment="1" applyProtection="1">
      <alignment vertical="top" wrapText="1"/>
    </xf>
    <xf numFmtId="15" fontId="0" fillId="4" borderId="18" xfId="0" applyNumberFormat="1" applyFill="1" applyBorder="1" applyAlignment="1" applyProtection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Border="1" applyAlignment="1" applyProtection="1">
      <alignment horizontal="right" vertical="top"/>
    </xf>
    <xf numFmtId="0" fontId="18" fillId="4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top"/>
    </xf>
    <xf numFmtId="0" fontId="36" fillId="19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center"/>
    </xf>
    <xf numFmtId="15" fontId="2" fillId="4" borderId="12" xfId="0" applyNumberFormat="1" applyFont="1" applyFill="1" applyBorder="1" applyAlignment="1" applyProtection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Border="1" applyAlignment="1" applyProtection="1">
      <alignment vertical="top"/>
    </xf>
    <xf numFmtId="0" fontId="37" fillId="19" borderId="0" xfId="0" applyFont="1" applyFill="1" applyBorder="1" applyAlignment="1" applyProtection="1">
      <alignment vertical="top"/>
    </xf>
    <xf numFmtId="1" fontId="38" fillId="19" borderId="0" xfId="0" applyNumberFormat="1" applyFont="1" applyFill="1" applyBorder="1" applyAlignment="1" applyProtection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Border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vertical="top"/>
    </xf>
    <xf numFmtId="0" fontId="0" fillId="4" borderId="0" xfId="0" applyFill="1" applyAlignment="1" applyProtection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 applyProtection="1">
      <alignment vertical="top"/>
    </xf>
    <xf numFmtId="0" fontId="42" fillId="4" borderId="0" xfId="0" applyFont="1" applyFill="1" applyAlignment="1" applyProtection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vertical="center"/>
    </xf>
    <xf numFmtId="0" fontId="0" fillId="23" borderId="0" xfId="0" applyFill="1" applyAlignment="1" applyProtection="1">
      <alignment vertical="top"/>
    </xf>
    <xf numFmtId="0" fontId="12" fillId="23" borderId="0" xfId="0" applyFont="1" applyFill="1" applyAlignment="1" applyProtection="1">
      <alignment vertical="top"/>
    </xf>
    <xf numFmtId="0" fontId="13" fillId="15" borderId="0" xfId="0" applyFont="1" applyFill="1" applyAlignment="1" applyProtection="1">
      <alignment vertical="center"/>
    </xf>
    <xf numFmtId="0" fontId="50" fillId="14" borderId="4" xfId="0" applyFont="1" applyFill="1" applyBorder="1" applyAlignment="1" applyProtection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 applyProtection="1">
      <alignment horizontal="left" vertical="top" indent="1"/>
    </xf>
    <xf numFmtId="0" fontId="0" fillId="5" borderId="0" xfId="0" applyFill="1" applyProtection="1">
      <protection locked="0"/>
    </xf>
    <xf numFmtId="0" fontId="0" fillId="5" borderId="0" xfId="0" applyFont="1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Border="1" applyAlignment="1">
      <alignment horizontal="right"/>
    </xf>
    <xf numFmtId="0" fontId="0" fillId="4" borderId="0" xfId="0" applyFont="1" applyFill="1" applyBorder="1" applyAlignment="1">
      <alignment horizontal="right"/>
    </xf>
    <xf numFmtId="0" fontId="21" fillId="4" borderId="0" xfId="0" applyFont="1" applyFill="1" applyAlignment="1" applyProtection="1">
      <alignment horizontal="left" vertical="top"/>
    </xf>
    <xf numFmtId="0" fontId="42" fillId="4" borderId="0" xfId="0" applyFont="1" applyFill="1" applyAlignment="1" applyProtection="1">
      <alignment horizontal="right" vertical="top"/>
    </xf>
    <xf numFmtId="0" fontId="42" fillId="4" borderId="0" xfId="0" applyFont="1" applyFill="1" applyAlignment="1" applyProtection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Border="1" applyProtection="1">
      <protection locked="0"/>
    </xf>
    <xf numFmtId="0" fontId="51" fillId="4" borderId="0" xfId="0" applyFont="1" applyFill="1" applyBorder="1" applyAlignment="1">
      <alignment horizontal="right"/>
    </xf>
    <xf numFmtId="0" fontId="0" fillId="9" borderId="1" xfId="0" applyFill="1" applyBorder="1" applyAlignment="1" applyProtection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 applyProtection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vertical="center" wrapText="1"/>
    </xf>
    <xf numFmtId="1" fontId="55" fillId="2" borderId="0" xfId="0" applyNumberFormat="1" applyFont="1" applyFill="1" applyAlignment="1" applyProtection="1">
      <alignment vertical="center"/>
    </xf>
    <xf numFmtId="0" fontId="55" fillId="2" borderId="0" xfId="0" applyFont="1" applyFill="1" applyAlignment="1" applyProtection="1">
      <alignment horizontal="left"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 applyProtection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8" borderId="0" xfId="0" applyFont="1" applyFill="1" applyBorder="1" applyAlignment="1" applyProtection="1">
      <alignment horizontal="center" vertical="top"/>
    </xf>
    <xf numFmtId="0" fontId="2" fillId="8" borderId="19" xfId="0" applyFont="1" applyFill="1" applyBorder="1" applyAlignment="1" applyProtection="1">
      <alignment horizontal="center" vertical="top"/>
    </xf>
    <xf numFmtId="0" fontId="0" fillId="13" borderId="0" xfId="0" applyFill="1" applyAlignment="1" applyProtection="1">
      <alignment vertical="center"/>
    </xf>
    <xf numFmtId="0" fontId="44" fillId="4" borderId="0" xfId="0" applyFont="1" applyFill="1" applyAlignment="1" applyProtection="1">
      <alignment wrapText="1"/>
    </xf>
    <xf numFmtId="0" fontId="0" fillId="5" borderId="0" xfId="0" applyFill="1" applyAlignment="1" applyProtection="1">
      <alignment vertical="top"/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Border="1" applyAlignment="1" applyProtection="1">
      <alignment horizontal="center" vertical="top" wrapText="1"/>
    </xf>
    <xf numFmtId="0" fontId="2" fillId="3" borderId="0" xfId="0" applyFont="1" applyFill="1" applyBorder="1" applyAlignment="1" applyProtection="1">
      <alignment horizontal="center" vertical="top" wrapText="1"/>
    </xf>
    <xf numFmtId="0" fontId="50" fillId="14" borderId="9" xfId="0" applyFont="1" applyFill="1" applyBorder="1" applyAlignment="1" applyProtection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13" fillId="15" borderId="0" xfId="0" applyFont="1" applyFill="1" applyBorder="1" applyAlignment="1" applyProtection="1">
      <alignment vertical="center"/>
    </xf>
    <xf numFmtId="0" fontId="48" fillId="14" borderId="0" xfId="0" applyFont="1" applyFill="1" applyBorder="1" applyAlignment="1" applyProtection="1">
      <alignment horizontal="right" vertical="center"/>
    </xf>
    <xf numFmtId="0" fontId="0" fillId="14" borderId="4" xfId="0" applyFill="1" applyBorder="1" applyAlignment="1" applyProtection="1">
      <alignment vertical="top"/>
    </xf>
    <xf numFmtId="0" fontId="25" fillId="14" borderId="4" xfId="0" applyFont="1" applyFill="1" applyBorder="1" applyAlignment="1" applyProtection="1">
      <alignment vertical="center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Border="1" applyAlignment="1" applyProtection="1">
      <alignment horizontal="center" vertical="top"/>
    </xf>
    <xf numFmtId="0" fontId="2" fillId="24" borderId="0" xfId="0" applyFont="1" applyFill="1" applyAlignment="1" applyProtection="1">
      <alignment vertical="top" wrapText="1"/>
    </xf>
    <xf numFmtId="0" fontId="0" fillId="24" borderId="0" xfId="0" applyFill="1" applyAlignment="1" applyProtection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 applyProtection="1">
      <alignment horizontal="right" vertical="top"/>
    </xf>
    <xf numFmtId="0" fontId="2" fillId="24" borderId="0" xfId="0" applyFont="1" applyFill="1" applyAlignment="1" applyProtection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 applyProtection="1">
      <alignment horizontal="right" vertical="center"/>
    </xf>
    <xf numFmtId="0" fontId="25" fillId="14" borderId="0" xfId="0" applyFont="1" applyFill="1" applyAlignment="1" applyProtection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 applyProtection="1">
      <alignment horizontal="right" vertical="top"/>
    </xf>
    <xf numFmtId="0" fontId="0" fillId="8" borderId="0" xfId="0" applyFill="1" applyAlignment="1" applyProtection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/>
      <protection locked="0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0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0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right" vertical="top"/>
    </xf>
    <xf numFmtId="0" fontId="8" fillId="13" borderId="0" xfId="0" applyFont="1" applyFill="1" applyAlignment="1" applyProtection="1">
      <alignment vertical="center" wrapText="1"/>
    </xf>
    <xf numFmtId="0" fontId="33" fillId="9" borderId="0" xfId="0" applyFont="1" applyFill="1" applyAlignment="1" applyProtection="1">
      <alignment vertical="top"/>
    </xf>
    <xf numFmtId="0" fontId="25" fillId="14" borderId="15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/>
    </xf>
    <xf numFmtId="0" fontId="25" fillId="14" borderId="14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 wrapText="1"/>
    </xf>
    <xf numFmtId="0" fontId="10" fillId="14" borderId="0" xfId="0" applyFont="1" applyFill="1" applyBorder="1" applyAlignment="1" applyProtection="1">
      <alignment horizontal="right"/>
    </xf>
    <xf numFmtId="0" fontId="2" fillId="8" borderId="2" xfId="0" applyFont="1" applyFill="1" applyBorder="1" applyAlignment="1" applyProtection="1">
      <alignment vertical="top"/>
    </xf>
    <xf numFmtId="0" fontId="33" fillId="9" borderId="0" xfId="0" applyFont="1" applyFill="1" applyAlignment="1" applyProtection="1">
      <alignment horizontal="right" vertical="top"/>
    </xf>
    <xf numFmtId="9" fontId="14" fillId="8" borderId="1" xfId="0" applyNumberFormat="1" applyFont="1" applyFill="1" applyBorder="1" applyAlignment="1" applyProtection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 applyProtection="1">
      <alignment vertical="center"/>
    </xf>
    <xf numFmtId="0" fontId="64" fillId="4" borderId="0" xfId="0" applyFont="1" applyFill="1" applyBorder="1" applyAlignment="1" applyProtection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 applyProtection="1">
      <alignment vertical="top"/>
    </xf>
    <xf numFmtId="0" fontId="43" fillId="4" borderId="0" xfId="0" applyFont="1" applyFill="1" applyAlignment="1" applyProtection="1">
      <alignment horizontal="right" vertical="top"/>
    </xf>
    <xf numFmtId="0" fontId="11" fillId="14" borderId="0" xfId="0" applyFont="1" applyFill="1" applyBorder="1" applyAlignment="1" applyProtection="1">
      <alignment horizontal="right" vertical="center"/>
    </xf>
    <xf numFmtId="0" fontId="79" fillId="14" borderId="4" xfId="0" applyFont="1" applyFill="1" applyBorder="1" applyAlignment="1" applyProtection="1">
      <alignment horizontal="right" vertical="center"/>
    </xf>
    <xf numFmtId="0" fontId="78" fillId="14" borderId="0" xfId="0" applyFont="1" applyFill="1" applyAlignment="1" applyProtection="1">
      <alignment vertical="center"/>
    </xf>
    <xf numFmtId="0" fontId="2" fillId="26" borderId="0" xfId="0" applyFont="1" applyFill="1" applyAlignment="1" applyProtection="1">
      <alignment vertical="top"/>
    </xf>
    <xf numFmtId="0" fontId="2" fillId="26" borderId="0" xfId="0" applyFont="1" applyFill="1" applyAlignment="1" applyProtection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 applyProtection="1">
      <alignment horizontal="left" vertical="top"/>
    </xf>
    <xf numFmtId="0" fontId="0" fillId="23" borderId="0" xfId="0" applyFill="1" applyAlignment="1" applyProtection="1">
      <alignment horizontal="left" vertical="top"/>
    </xf>
    <xf numFmtId="0" fontId="16" fillId="14" borderId="0" xfId="0" applyFont="1" applyFill="1" applyAlignment="1" applyProtection="1">
      <alignment horizontal="left"/>
    </xf>
    <xf numFmtId="0" fontId="0" fillId="14" borderId="0" xfId="0" applyFill="1" applyAlignment="1" applyProtection="1">
      <alignment horizontal="left" vertical="top"/>
    </xf>
    <xf numFmtId="0" fontId="46" fillId="14" borderId="0" xfId="0" applyFont="1" applyFill="1" applyAlignment="1" applyProtection="1">
      <alignment horizontal="left" vertical="center"/>
    </xf>
    <xf numFmtId="0" fontId="3" fillId="6" borderId="0" xfId="0" applyFont="1" applyFill="1" applyAlignment="1" applyProtection="1">
      <alignment horizontal="left" vertical="top"/>
    </xf>
    <xf numFmtId="0" fontId="0" fillId="9" borderId="0" xfId="0" applyFill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top"/>
    </xf>
    <xf numFmtId="0" fontId="2" fillId="3" borderId="0" xfId="0" applyFont="1" applyFill="1" applyAlignment="1" applyProtection="1">
      <alignment horizontal="left" vertical="top" wrapText="1"/>
    </xf>
    <xf numFmtId="0" fontId="6" fillId="10" borderId="0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/>
    </xf>
    <xf numFmtId="0" fontId="0" fillId="6" borderId="4" xfId="0" applyFill="1" applyBorder="1" applyAlignment="1" applyProtection="1">
      <alignment horizontal="left" vertical="top"/>
    </xf>
    <xf numFmtId="0" fontId="0" fillId="6" borderId="0" xfId="0" applyFill="1" applyBorder="1" applyAlignment="1" applyProtection="1">
      <alignment horizontal="left" vertical="top"/>
    </xf>
    <xf numFmtId="0" fontId="0" fillId="10" borderId="0" xfId="0" applyFill="1" applyBorder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center"/>
    </xf>
    <xf numFmtId="0" fontId="2" fillId="24" borderId="0" xfId="0" applyFont="1" applyFill="1" applyAlignment="1" applyProtection="1">
      <alignment horizontal="left" vertical="top"/>
    </xf>
    <xf numFmtId="0" fontId="2" fillId="26" borderId="0" xfId="0" applyFont="1" applyFill="1" applyAlignment="1" applyProtection="1">
      <alignment horizontal="left" vertical="top"/>
    </xf>
    <xf numFmtId="0" fontId="0" fillId="24" borderId="0" xfId="0" applyFill="1" applyAlignment="1" applyProtection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  <protection locked="0"/>
    </xf>
    <xf numFmtId="165" fontId="6" fillId="10" borderId="0" xfId="1" applyNumberFormat="1" applyFont="1" applyFill="1" applyBorder="1" applyAlignment="1" applyProtection="1">
      <alignment horizontal="right" vertical="center"/>
    </xf>
    <xf numFmtId="165" fontId="7" fillId="13" borderId="0" xfId="1" applyNumberFormat="1" applyFont="1" applyFill="1" applyAlignment="1" applyProtection="1">
      <alignment horizontal="left" vertical="center" inden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15" fontId="38" fillId="19" borderId="0" xfId="0" applyNumberFormat="1" applyFont="1" applyFill="1" applyBorder="1" applyAlignment="1" applyProtection="1">
      <alignment horizontal="left" vertical="center" wrapText="1"/>
    </xf>
    <xf numFmtId="0" fontId="4" fillId="14" borderId="0" xfId="0" applyFont="1" applyFill="1" applyAlignment="1" applyProtection="1">
      <alignment horizontal="right" wrapText="1"/>
    </xf>
    <xf numFmtId="0" fontId="2" fillId="8" borderId="5" xfId="0" applyFont="1" applyFill="1" applyBorder="1" applyAlignment="1" applyProtection="1">
      <alignment horizontal="center" vertical="top"/>
    </xf>
    <xf numFmtId="0" fontId="2" fillId="8" borderId="7" xfId="0" applyFont="1" applyFill="1" applyBorder="1" applyAlignment="1" applyProtection="1">
      <alignment horizontal="center" vertical="top"/>
    </xf>
    <xf numFmtId="0" fontId="2" fillId="8" borderId="6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35" fillId="4" borderId="0" xfId="0" applyFont="1" applyFill="1" applyBorder="1" applyAlignment="1" applyProtection="1">
      <alignment horizontal="center" vertical="center"/>
    </xf>
    <xf numFmtId="0" fontId="35" fillId="4" borderId="4" xfId="0" applyFont="1" applyFill="1" applyBorder="1" applyAlignment="1" applyProtection="1">
      <alignment horizontal="center" vertical="center"/>
    </xf>
    <xf numFmtId="0" fontId="64" fillId="4" borderId="4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right" vertical="top" wrapText="1"/>
    </xf>
    <xf numFmtId="0" fontId="44" fillId="4" borderId="0" xfId="0" applyFont="1" applyFill="1" applyAlignment="1" applyProtection="1">
      <alignment horizontal="left" vertical="top" wrapText="1"/>
    </xf>
    <xf numFmtId="0" fontId="7" fillId="13" borderId="0" xfId="0" applyFont="1" applyFill="1" applyAlignment="1" applyProtection="1">
      <alignment horizontal="left" vertical="center"/>
      <protection locked="0"/>
    </xf>
    <xf numFmtId="0" fontId="52" fillId="2" borderId="0" xfId="0" applyFont="1" applyFill="1" applyBorder="1" applyAlignment="1" applyProtection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 applyProtection="1">
      <alignment horizontal="center" vertical="top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 applyProtection="1">
      <alignment horizontal="center" vertical="center" wrapText="1"/>
    </xf>
    <xf numFmtId="15" fontId="0" fillId="14" borderId="0" xfId="0" applyNumberFormat="1" applyFill="1" applyAlignment="1" applyProtection="1">
      <alignment horizontal="left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0" fillId="4" borderId="0" xfId="0" applyFill="1" applyAlignment="1" applyProtection="1">
      <alignment horizontal="left" vertical="top" wrapText="1"/>
    </xf>
    <xf numFmtId="0" fontId="35" fillId="4" borderId="16" xfId="0" applyFont="1" applyFill="1" applyBorder="1" applyAlignment="1" applyProtection="1">
      <alignment horizontal="center" vertical="center"/>
    </xf>
    <xf numFmtId="0" fontId="35" fillId="4" borderId="8" xfId="0" applyFont="1" applyFill="1" applyBorder="1" applyAlignment="1" applyProtection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 applyProtection="1">
      <alignment horizontal="center" vertical="top"/>
    </xf>
    <xf numFmtId="0" fontId="65" fillId="4" borderId="0" xfId="0" applyFont="1" applyFill="1" applyBorder="1" applyAlignment="1" applyProtection="1">
      <alignment horizontal="left" vertical="top" wrapText="1"/>
      <protection locked="0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2" xfId="0" applyFont="1" applyFill="1" applyBorder="1" applyAlignment="1" applyProtection="1">
      <alignment horizontal="center" vertical="top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5" fontId="0" fillId="0" borderId="0" xfId="0" applyNumberFormat="1" applyFill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6" fillId="0" borderId="0" xfId="0" applyFont="1" applyAlignment="1">
      <alignment horizontal="left" vertical="center"/>
    </xf>
    <xf numFmtId="0" fontId="67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479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Estimation!$L$316:$L$321</c:f>
            </c:strRef>
          </c:cat>
          <c:val>
            <c:numRef>
              <c:f>Estimation!$O$316:$O$321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29652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314</xdr:row>
      <xdr:rowOff>100852</xdr:rowOff>
    </xdr:from>
    <xdr:to>
      <xdr:col>26</xdr:col>
      <xdr:colOff>515471</xdr:colOff>
      <xdr:row>322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</xdr:row>
          <xdr:rowOff>12700</xdr:rowOff>
        </xdr:from>
        <xdr:to>
          <xdr:col>13</xdr:col>
          <xdr:colOff>76200</xdr:colOff>
          <xdr:row>9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819150</xdr:colOff>
          <xdr:row>9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2292350</xdr:colOff>
          <xdr:row>9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6350</xdr:colOff>
          <xdr:row>9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221780</xdr:colOff>
      <xdr:row>5</xdr:row>
      <xdr:rowOff>80428</xdr:rowOff>
    </xdr:from>
    <xdr:ext cx="48262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9958354">
          <a:off x="3812705" y="1423453"/>
          <a:ext cx="4826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 a m p l 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96000" y="3133726"/>
          <a:ext cx="1112520" cy="130683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34590" y="19128105"/>
          <a:ext cx="381000" cy="35433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528685" y="20956905"/>
          <a:ext cx="373380" cy="35433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12155" y="22237065"/>
          <a:ext cx="381000" cy="35433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3885" y="24604980"/>
          <a:ext cx="373380" cy="35433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83455" y="26220420"/>
          <a:ext cx="381000" cy="34671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7730" y="28531185"/>
          <a:ext cx="381000" cy="34671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62650" y="17878425"/>
          <a:ext cx="5859075" cy="271236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02505" y="26317575"/>
          <a:ext cx="6706699" cy="121142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jeet Chauhan" id="{7A866C20-73AD-4A7D-ABD4-7FF91D8E3CCD}" userId="S::sanjeet.chauhan@nagarro.com::d330eb14-ede1-4f5d-a9c5-298bbfdb6ce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3" dT="2019-07-09T21:53:09.88" personId="{7A866C20-73AD-4A7D-ABD4-7FF91D8E3CCD}" id="{7CCDC33E-4A20-4C04-9208-3ABAB03F06DB}">
    <text>Need to clarify</text>
  </threadedComment>
  <threadedComment ref="X47" dT="2019-07-09T17:00:56.67" personId="{7A866C20-73AD-4A7D-ABD4-7FF91D8E3CCD}" id="{A26F4214-8AFF-4C7D-875A-54FC233A4694}">
    <text>Need to clarify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2695312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63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63">
        <f>CUSTOM_PERCENT*-1</f>
        <v>-0.25</v>
      </c>
    </row>
    <row r="53" spans="2:3" hidden="1" outlineLevel="1" x14ac:dyDescent="0.35">
      <c r="B53" s="2" t="s">
        <v>55</v>
      </c>
      <c r="C53" s="163">
        <v>0</v>
      </c>
    </row>
    <row r="54" spans="2:3" hidden="1" outlineLevel="1" x14ac:dyDescent="0.35">
      <c r="B54" s="2" t="s">
        <v>127</v>
      </c>
      <c r="C54" s="163">
        <f>CUSTOM_PERCENT</f>
        <v>0.25</v>
      </c>
    </row>
    <row r="55" spans="2:3" hidden="1" outlineLevel="1" x14ac:dyDescent="0.35">
      <c r="B55" s="2" t="s">
        <v>53</v>
      </c>
      <c r="C55" s="163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471"/>
  <sheetViews>
    <sheetView showGridLines="0" tabSelected="1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X283" sqref="X283"/>
    </sheetView>
  </sheetViews>
  <sheetFormatPr defaultColWidth="9.1796875" defaultRowHeight="14.5" outlineLevelRow="2" outlineLevelCol="1" x14ac:dyDescent="0.35"/>
  <cols>
    <col min="1" max="1" width="1" style="93" customWidth="1"/>
    <col min="2" max="2" width="1" style="10" customWidth="1"/>
    <col min="3" max="5" width="1" style="80" customWidth="1"/>
    <col min="6" max="6" width="3" style="80" customWidth="1" collapsed="1"/>
    <col min="7" max="7" width="8.54296875" style="19" hidden="1" customWidth="1" outlineLevel="1"/>
    <col min="8" max="8" width="8.453125" style="19" hidden="1" customWidth="1" outlineLevel="1"/>
    <col min="9" max="9" width="7.1796875" style="19" hidden="1" customWidth="1" outlineLevel="1"/>
    <col min="10" max="10" width="7.7265625" style="19" hidden="1" customWidth="1" outlineLevel="1"/>
    <col min="11" max="11" width="37.453125" style="19" hidden="1" customWidth="1" outlineLevel="1"/>
    <col min="12" max="12" width="3.81640625" style="19" customWidth="1"/>
    <col min="13" max="13" width="5.7265625" style="293" customWidth="1"/>
    <col min="14" max="14" width="42.7265625" style="27" customWidth="1"/>
    <col min="15" max="15" width="13.1796875" style="27" customWidth="1"/>
    <col min="16" max="16" width="17.1796875" style="19" customWidth="1"/>
    <col min="17" max="17" width="7" style="19" customWidth="1"/>
    <col min="18" max="18" width="6.453125" style="19" customWidth="1"/>
    <col min="19" max="19" width="12" style="19" customWidth="1"/>
    <col min="20" max="20" width="10.7265625" style="19" customWidth="1"/>
    <col min="21" max="21" width="6.81640625" style="19" customWidth="1" outlineLevel="1"/>
    <col min="22" max="22" width="6.1796875" style="19" customWidth="1" outlineLevel="1"/>
    <col min="23" max="23" width="6" style="19" customWidth="1" outlineLevel="1"/>
    <col min="24" max="24" width="11.7265625" style="19" customWidth="1" outlineLevel="1"/>
    <col min="25" max="25" width="11" style="19" customWidth="1" outlineLevel="1"/>
    <col min="26" max="26" width="6.54296875" style="19" customWidth="1" outlineLevel="1"/>
    <col min="27" max="27" width="11" style="19" customWidth="1" outlineLevel="1"/>
    <col min="28" max="28" width="35.7265625" style="27" customWidth="1"/>
    <col min="29" max="29" width="1.453125" style="12" customWidth="1"/>
    <col min="30" max="30" width="19" style="12" customWidth="1"/>
    <col min="31" max="16384" width="9.1796875" style="19"/>
  </cols>
  <sheetData>
    <row r="1" spans="1:30" s="11" customFormat="1" ht="4.5" customHeight="1" x14ac:dyDescent="0.35">
      <c r="A1" s="93"/>
      <c r="B1" s="10"/>
      <c r="C1" s="78"/>
      <c r="D1" s="78"/>
      <c r="E1" s="78"/>
      <c r="F1" s="78"/>
      <c r="M1" s="275"/>
      <c r="N1" s="12"/>
      <c r="O1" s="12"/>
      <c r="AB1" s="12"/>
      <c r="AC1" s="12"/>
      <c r="AD1" s="12"/>
    </row>
    <row r="2" spans="1:30" s="11" customFormat="1" ht="4.5" customHeight="1" x14ac:dyDescent="0.35">
      <c r="A2" s="94"/>
      <c r="B2" s="10"/>
      <c r="C2" s="317" t="s">
        <v>151</v>
      </c>
      <c r="D2" s="317"/>
      <c r="E2" s="317"/>
      <c r="F2" s="317"/>
      <c r="G2" s="147"/>
      <c r="H2" s="147"/>
      <c r="I2" s="147"/>
      <c r="J2" s="147"/>
      <c r="K2" s="147"/>
      <c r="L2" s="147"/>
      <c r="M2" s="276"/>
      <c r="N2" s="148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2"/>
    </row>
    <row r="3" spans="1:30" s="11" customFormat="1" ht="23.25" customHeight="1" x14ac:dyDescent="0.6">
      <c r="A3" s="94"/>
      <c r="B3" s="10"/>
      <c r="C3" s="317"/>
      <c r="D3" s="317"/>
      <c r="E3" s="317"/>
      <c r="F3" s="317"/>
      <c r="G3" s="322" t="s">
        <v>523</v>
      </c>
      <c r="H3" s="322"/>
      <c r="I3" s="322"/>
      <c r="J3" s="322"/>
      <c r="K3" s="297" t="s">
        <v>554</v>
      </c>
      <c r="L3" s="95"/>
      <c r="M3" s="277">
        <f>IF(IS_KEY_OPP="Yes", 2, IF(IS_KEY_OPP="No", 0, 1))</f>
        <v>1</v>
      </c>
      <c r="N3" s="149" t="str">
        <f>CLIENT_NAME&amp;" - "&amp;PROJECT_NAME&amp;" ("&amp;PLATFORM&amp;" "&amp;PROJECT_TYPE&amp;" Project)"&amp;IF(RFP_NAME&lt;&gt;"", " - "&amp;RFP_NAME, "")</f>
        <v>Client Name - Project Name (- - Project) - RFP Name</v>
      </c>
      <c r="O3" s="149"/>
      <c r="P3" s="149"/>
      <c r="Q3" s="149"/>
      <c r="R3" s="149"/>
      <c r="S3" s="197"/>
      <c r="T3" s="264" t="str">
        <f>IF(COUNTIF(AD9:AD292, "Error:*") = 0, "", COUNTIF(AD9:AD292, "Error:*") &amp; " errors")</f>
        <v/>
      </c>
      <c r="U3" s="196"/>
      <c r="V3" s="196"/>
      <c r="W3" s="196"/>
      <c r="X3" s="210" t="s">
        <v>186</v>
      </c>
      <c r="Y3" s="212" t="s">
        <v>190</v>
      </c>
      <c r="Z3" s="214"/>
      <c r="AA3" s="213"/>
      <c r="AB3" s="266"/>
      <c r="AC3" s="95"/>
      <c r="AD3" s="12"/>
    </row>
    <row r="4" spans="1:30" s="11" customFormat="1" ht="4.5" customHeight="1" x14ac:dyDescent="0.35">
      <c r="A4" s="94"/>
      <c r="B4" s="10"/>
      <c r="C4" s="317"/>
      <c r="D4" s="317"/>
      <c r="E4" s="317"/>
      <c r="F4" s="317"/>
      <c r="G4" s="95"/>
      <c r="H4" s="95"/>
      <c r="I4" s="95"/>
      <c r="J4" s="95"/>
      <c r="K4" s="95"/>
      <c r="L4" s="95"/>
      <c r="M4" s="278"/>
      <c r="N4" s="96"/>
      <c r="O4" s="95"/>
      <c r="P4" s="246"/>
      <c r="Q4" s="198"/>
      <c r="R4" s="95"/>
      <c r="S4" s="199"/>
      <c r="T4" s="265"/>
      <c r="U4" s="196"/>
      <c r="V4" s="196"/>
      <c r="W4" s="196"/>
      <c r="X4" s="211"/>
      <c r="Y4" s="212"/>
      <c r="Z4" s="214"/>
      <c r="AA4" s="214"/>
      <c r="AB4" s="95"/>
      <c r="AC4" s="95"/>
      <c r="AD4" s="12"/>
    </row>
    <row r="5" spans="1:30" s="11" customFormat="1" ht="20.25" customHeight="1" x14ac:dyDescent="0.35">
      <c r="A5" s="94"/>
      <c r="B5" s="10"/>
      <c r="C5" s="317"/>
      <c r="D5" s="317"/>
      <c r="E5" s="317"/>
      <c r="F5" s="317"/>
      <c r="G5" s="95"/>
      <c r="H5" s="218"/>
      <c r="I5" s="218" t="s">
        <v>275</v>
      </c>
      <c r="J5" s="323">
        <v>42565</v>
      </c>
      <c r="K5" s="323"/>
      <c r="L5" s="95"/>
      <c r="M5" s="278"/>
      <c r="N5" s="98" t="str">
        <f>IF(TOTAL_EFFORT&lt;=0, "", CHOSEN_CURRENCY&amp;" "&amp;TEXT(CEILING(($W$322/1000),1),"##,##,###")&amp;" K  ●  "&amp;TEXT(TOTAL_EFFORT,"##,##,###")&amp;" PDs ("&amp;TEXT(TOTAL_WEEKS,"##,###"&amp;" Wk)"))</f>
        <v>- 240 K  ●  1,070 PDs (214 Wk)</v>
      </c>
      <c r="O5" s="248"/>
      <c r="P5" s="247"/>
      <c r="Q5" s="254"/>
      <c r="R5" s="193" t="s">
        <v>88</v>
      </c>
      <c r="S5" s="194" t="s">
        <v>55</v>
      </c>
      <c r="T5" s="195">
        <v>0.25</v>
      </c>
      <c r="U5" s="196"/>
      <c r="V5" s="196"/>
      <c r="W5" s="196"/>
      <c r="X5" s="210" t="s">
        <v>187</v>
      </c>
      <c r="Y5" s="212" t="s">
        <v>191</v>
      </c>
      <c r="Z5" s="213"/>
      <c r="AA5" s="213"/>
      <c r="AB5" s="304" t="s">
        <v>110</v>
      </c>
      <c r="AC5" s="97"/>
      <c r="AD5" s="12"/>
    </row>
    <row r="6" spans="1:30" s="11" customFormat="1" ht="20.25" customHeight="1" x14ac:dyDescent="0.35">
      <c r="A6" s="94"/>
      <c r="B6" s="10"/>
      <c r="C6" s="317"/>
      <c r="D6" s="317"/>
      <c r="E6" s="317"/>
      <c r="F6" s="317"/>
      <c r="G6" s="95"/>
      <c r="H6" s="218"/>
      <c r="I6" s="218" t="s">
        <v>276</v>
      </c>
      <c r="J6" s="95" t="s">
        <v>524</v>
      </c>
      <c r="K6" s="95"/>
      <c r="L6" s="95"/>
      <c r="M6" s="279"/>
      <c r="N6" s="143" t="str">
        <f>IF(TOTAL_EFFORT&lt;=0, "", "Auto: "&amp;DURATION&amp;" Wk  ("&amp;CEILING(DURATION/4,0.5)&amp;" M)"&amp;", Manual: "&amp;MANUAL_DURATION&amp;" Wk ("&amp;CEILING(MANUAL_DURATION/4,0.5)&amp;" M)")</f>
        <v>Auto: 97.8 Wk  (24.5 M), Manual: -143 Wk (-35.5 M)</v>
      </c>
      <c r="O6" s="249"/>
      <c r="P6" s="247"/>
      <c r="Q6" s="245"/>
      <c r="R6" s="150" t="s">
        <v>62</v>
      </c>
      <c r="S6" s="179" t="s">
        <v>63</v>
      </c>
      <c r="T6" s="180"/>
      <c r="U6" s="196"/>
      <c r="V6" s="196"/>
      <c r="W6" s="196"/>
      <c r="X6" s="210" t="s">
        <v>188</v>
      </c>
      <c r="Y6" s="212" t="s">
        <v>189</v>
      </c>
      <c r="Z6" s="213"/>
      <c r="AA6" s="213"/>
      <c r="AB6" s="304"/>
      <c r="AC6" s="97"/>
      <c r="AD6" s="12"/>
    </row>
    <row r="7" spans="1:30" s="11" customFormat="1" ht="4.5" customHeight="1" x14ac:dyDescent="0.35">
      <c r="A7" s="94"/>
      <c r="B7" s="10"/>
      <c r="C7" s="317"/>
      <c r="D7" s="317"/>
      <c r="E7" s="317"/>
      <c r="F7" s="317"/>
      <c r="G7" s="95"/>
      <c r="H7" s="95"/>
      <c r="I7" s="95"/>
      <c r="J7" s="95"/>
      <c r="K7" s="95"/>
      <c r="L7" s="95"/>
      <c r="M7" s="278"/>
      <c r="N7" s="96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12"/>
    </row>
    <row r="8" spans="1:30" s="11" customFormat="1" ht="1.5" customHeight="1" x14ac:dyDescent="0.35">
      <c r="A8" s="93"/>
      <c r="B8" s="10"/>
      <c r="C8" s="317"/>
      <c r="D8" s="317"/>
      <c r="E8" s="317"/>
      <c r="F8" s="317"/>
      <c r="G8" s="13"/>
      <c r="H8" s="13"/>
      <c r="I8" s="13"/>
      <c r="J8" s="13"/>
      <c r="K8" s="13"/>
      <c r="L8" s="13"/>
      <c r="M8" s="280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2"/>
      <c r="AC8" s="12"/>
      <c r="AD8" s="12"/>
    </row>
    <row r="9" spans="1:30" s="11" customFormat="1" ht="15" customHeight="1" x14ac:dyDescent="0.35">
      <c r="A9" s="93"/>
      <c r="B9" s="10"/>
      <c r="C9" s="317"/>
      <c r="D9" s="317"/>
      <c r="E9" s="317"/>
      <c r="F9" s="317"/>
      <c r="G9" s="319" t="s">
        <v>131</v>
      </c>
      <c r="H9" s="319"/>
      <c r="I9" s="319"/>
      <c r="J9" s="319"/>
      <c r="K9" s="166"/>
      <c r="L9" s="154"/>
      <c r="M9" s="281"/>
      <c r="N9" s="43"/>
      <c r="O9" s="43"/>
      <c r="P9" s="43"/>
      <c r="Q9" s="244"/>
      <c r="R9" s="251" t="s">
        <v>147</v>
      </c>
      <c r="S9" s="208" t="s">
        <v>145</v>
      </c>
      <c r="T9" s="208" t="s">
        <v>146</v>
      </c>
      <c r="U9" s="244"/>
      <c r="V9" s="244"/>
      <c r="W9" s="244"/>
      <c r="X9" s="43"/>
      <c r="Y9" s="43"/>
      <c r="Z9" s="43"/>
      <c r="AA9" s="43"/>
      <c r="AB9" s="153" t="s">
        <v>175</v>
      </c>
      <c r="AC9" s="43"/>
      <c r="AD9" s="12"/>
    </row>
    <row r="10" spans="1:30" s="11" customFormat="1" ht="13.5" customHeight="1" x14ac:dyDescent="0.35">
      <c r="A10" s="93" t="s">
        <v>148</v>
      </c>
      <c r="B10" s="10"/>
      <c r="C10" s="318" t="s">
        <v>109</v>
      </c>
      <c r="D10" s="318"/>
      <c r="E10" s="318"/>
      <c r="F10" s="318"/>
      <c r="G10" s="48" t="s">
        <v>81</v>
      </c>
      <c r="H10" s="49" t="s">
        <v>80</v>
      </c>
      <c r="I10" s="183"/>
      <c r="J10" s="184"/>
      <c r="K10" s="50"/>
      <c r="L10" s="138"/>
      <c r="M10" s="282"/>
      <c r="N10" s="40"/>
      <c r="O10" s="191"/>
      <c r="P10" s="305" t="s">
        <v>57</v>
      </c>
      <c r="Q10" s="306"/>
      <c r="R10" s="307"/>
      <c r="S10" s="41"/>
      <c r="T10" s="250"/>
      <c r="U10" s="305" t="s">
        <v>58</v>
      </c>
      <c r="V10" s="306"/>
      <c r="W10" s="307"/>
      <c r="X10" s="252" t="s">
        <v>89</v>
      </c>
      <c r="Y10" s="69"/>
      <c r="Z10" s="42"/>
      <c r="AA10" s="221"/>
      <c r="AB10" s="40"/>
      <c r="AC10" s="40"/>
      <c r="AD10" s="12"/>
    </row>
    <row r="11" spans="1:30" s="11" customFormat="1" ht="15" customHeight="1" x14ac:dyDescent="0.35">
      <c r="A11" s="93" t="s">
        <v>104</v>
      </c>
      <c r="B11" s="10"/>
      <c r="C11" s="318" t="s">
        <v>152</v>
      </c>
      <c r="D11" s="318"/>
      <c r="E11" s="318"/>
      <c r="F11" s="318"/>
      <c r="G11" s="9" t="s">
        <v>60</v>
      </c>
      <c r="H11" s="51" t="s">
        <v>2</v>
      </c>
      <c r="I11" s="177" t="s">
        <v>133</v>
      </c>
      <c r="J11" s="51" t="s">
        <v>1</v>
      </c>
      <c r="K11" s="7" t="s">
        <v>48</v>
      </c>
      <c r="L11" s="77"/>
      <c r="M11" s="283" t="s">
        <v>82</v>
      </c>
      <c r="N11" s="77"/>
      <c r="O11" s="192" t="s">
        <v>430</v>
      </c>
      <c r="P11" s="7" t="s">
        <v>3</v>
      </c>
      <c r="Q11" s="52" t="s">
        <v>153</v>
      </c>
      <c r="R11" s="51" t="s">
        <v>51</v>
      </c>
      <c r="S11" s="335" t="s">
        <v>59</v>
      </c>
      <c r="T11" s="336"/>
      <c r="U11" s="8" t="s">
        <v>46</v>
      </c>
      <c r="V11" s="8" t="s">
        <v>90</v>
      </c>
      <c r="W11" s="182" t="s">
        <v>47</v>
      </c>
      <c r="X11" s="51" t="s">
        <v>57</v>
      </c>
      <c r="Y11" s="7" t="s">
        <v>64</v>
      </c>
      <c r="Z11" s="51" t="s">
        <v>50</v>
      </c>
      <c r="AA11" s="51" t="s">
        <v>139</v>
      </c>
      <c r="AB11" s="190" t="s">
        <v>444</v>
      </c>
      <c r="AC11" s="6"/>
      <c r="AD11" s="12"/>
    </row>
    <row r="12" spans="1:30" s="17" customFormat="1" ht="18.5" collapsed="1" x14ac:dyDescent="0.35">
      <c r="A12" s="93" t="s">
        <v>98</v>
      </c>
      <c r="B12" s="14"/>
      <c r="C12" s="320" t="s">
        <v>150</v>
      </c>
      <c r="D12" s="321"/>
      <c r="E12" s="321"/>
      <c r="F12" s="201" t="s">
        <v>149</v>
      </c>
      <c r="G12" s="55"/>
      <c r="H12" s="55"/>
      <c r="I12" s="55"/>
      <c r="J12" s="55"/>
      <c r="K12" s="55"/>
      <c r="L12" s="55" t="s">
        <v>0</v>
      </c>
      <c r="M12" s="284" t="s">
        <v>49</v>
      </c>
      <c r="N12" s="215"/>
      <c r="O12" s="57"/>
      <c r="P12" s="58"/>
      <c r="Q12" s="58"/>
      <c r="R12" s="58"/>
      <c r="S12" s="299">
        <f>CEILING(SUMIF(J13:J58, "&lt;&gt;Yes", T13:T58),1)</f>
        <v>196</v>
      </c>
      <c r="T12" s="299"/>
      <c r="U12" s="58"/>
      <c r="V12" s="58"/>
      <c r="W12" s="58"/>
      <c r="X12" s="58"/>
      <c r="Y12" s="58"/>
      <c r="Z12" s="58"/>
      <c r="AA12" s="58"/>
      <c r="AB12" s="58"/>
      <c r="AC12" s="58"/>
      <c r="AD12" s="16"/>
    </row>
    <row r="13" spans="1:30" s="11" customFormat="1" ht="3" hidden="1" customHeight="1" outlineLevel="1" x14ac:dyDescent="0.35">
      <c r="A13" s="93" t="s">
        <v>99</v>
      </c>
      <c r="B13" s="18"/>
      <c r="C13" s="202"/>
      <c r="D13" s="202"/>
      <c r="E13" s="202"/>
      <c r="F13" s="202"/>
      <c r="G13" s="28"/>
      <c r="H13" s="28"/>
      <c r="I13" s="28"/>
      <c r="J13" s="28"/>
      <c r="K13" s="28"/>
      <c r="L13" s="29">
        <v>0</v>
      </c>
      <c r="M13" s="285"/>
      <c r="N13" s="28"/>
      <c r="O13" s="28"/>
      <c r="P13" s="28"/>
      <c r="Q13" s="28"/>
      <c r="R13" s="28"/>
      <c r="S13" s="28"/>
      <c r="T13" s="30"/>
      <c r="U13" s="28"/>
      <c r="V13" s="28"/>
      <c r="W13" s="28"/>
      <c r="X13" s="30"/>
      <c r="Y13" s="28"/>
      <c r="Z13" s="28"/>
      <c r="AA13" s="28"/>
      <c r="AB13" s="31"/>
      <c r="AC13" s="31"/>
      <c r="AD13" s="12"/>
    </row>
    <row r="14" spans="1:30" s="17" customFormat="1" ht="15.5" hidden="1" outlineLevel="1" collapsed="1" x14ac:dyDescent="0.35">
      <c r="A14" s="93" t="s">
        <v>100</v>
      </c>
      <c r="B14" s="21"/>
      <c r="C14" s="84"/>
      <c r="D14" s="84"/>
      <c r="E14" s="84"/>
      <c r="F14" s="83"/>
      <c r="G14" s="32"/>
      <c r="H14" s="32"/>
      <c r="I14" s="32"/>
      <c r="J14" s="32"/>
      <c r="K14" s="32"/>
      <c r="L14" s="20">
        <f ca="1">LOOKUP(1000,INDIRECT("L1:"&amp;CELL("address",INDIRECT("R[-1]C",FALSE))))+1</f>
        <v>1</v>
      </c>
      <c r="M14" s="298" t="s">
        <v>455</v>
      </c>
      <c r="N14" s="298"/>
      <c r="O14" s="5"/>
      <c r="P14" s="33"/>
      <c r="Q14" s="33"/>
      <c r="R14" s="33"/>
      <c r="S14" s="33"/>
      <c r="T14" s="167">
        <f>IF($S$6="Exclude", SUMIFS(S15:S19, J15:J19, "&lt;&gt;Yes", G15:G19, "&lt;&gt;Yes"), SUMIFS(S15:S19, J15:J19, "&lt;&gt;Yes"))</f>
        <v>21</v>
      </c>
      <c r="U14" s="33"/>
      <c r="V14" s="33"/>
      <c r="W14" s="33"/>
      <c r="X14" s="34"/>
      <c r="Y14" s="35"/>
      <c r="Z14" s="35"/>
      <c r="AA14" s="35"/>
      <c r="AB14" s="240"/>
      <c r="AC14" s="36"/>
      <c r="AD14" s="26" t="str">
        <f>IF(M14="", "Error: Task name cannot be empty.", "")</f>
        <v/>
      </c>
    </row>
    <row r="15" spans="1:30" s="15" customFormat="1" ht="1.5" hidden="1" customHeight="1" outlineLevel="2" x14ac:dyDescent="0.35">
      <c r="A15" s="93" t="s">
        <v>101</v>
      </c>
      <c r="B15" s="21"/>
      <c r="C15" s="84"/>
      <c r="D15" s="84"/>
      <c r="E15" s="84"/>
      <c r="F15" s="83"/>
      <c r="G15" s="32"/>
      <c r="H15" s="32"/>
      <c r="I15" s="32"/>
      <c r="J15" s="32"/>
      <c r="K15" s="32"/>
      <c r="L15" s="175">
        <f ca="1">L14</f>
        <v>1</v>
      </c>
      <c r="M15" s="176" t="s">
        <v>105</v>
      </c>
      <c r="N15" s="173"/>
      <c r="O15" s="174"/>
      <c r="P15" s="33"/>
      <c r="Q15" s="33"/>
      <c r="R15" s="33"/>
      <c r="S15" s="33"/>
      <c r="T15" s="167"/>
      <c r="U15" s="33"/>
      <c r="V15" s="33"/>
      <c r="W15" s="33"/>
      <c r="X15" s="34"/>
      <c r="Y15" s="35"/>
      <c r="Z15" s="35"/>
      <c r="AA15" s="35"/>
      <c r="AB15" s="36"/>
      <c r="AC15" s="36"/>
      <c r="AD15" s="26"/>
    </row>
    <row r="16" spans="1:30" ht="43.5" hidden="1" outlineLevel="2" x14ac:dyDescent="0.35">
      <c r="A16" s="93" t="s">
        <v>0</v>
      </c>
      <c r="B16" s="21"/>
      <c r="C16" s="85"/>
      <c r="D16" s="85"/>
      <c r="E16" s="85"/>
      <c r="F16" s="86"/>
      <c r="G16" s="22" t="s">
        <v>6</v>
      </c>
      <c r="H16" s="22" t="s">
        <v>23</v>
      </c>
      <c r="I16" s="23" t="s">
        <v>23</v>
      </c>
      <c r="J16" s="22" t="s">
        <v>23</v>
      </c>
      <c r="K16" s="38" t="s">
        <v>514</v>
      </c>
      <c r="L16" s="22"/>
      <c r="M16" s="286" t="str">
        <f ca="1">IFERROR(OFFSET(M16,-1,,1,1)+0.1,OFFSET(M16,-1,-1,1,1)&amp;".1")</f>
        <v>1.1</v>
      </c>
      <c r="N16" s="23" t="s">
        <v>559</v>
      </c>
      <c r="O16" s="23"/>
      <c r="P16" s="23" t="s">
        <v>582</v>
      </c>
      <c r="Q16" s="144">
        <v>3</v>
      </c>
      <c r="R16" s="137">
        <v>2.5</v>
      </c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>3</v>
      </c>
      <c r="T16" s="170"/>
      <c r="U16" s="24">
        <v>0</v>
      </c>
      <c r="V16" s="24">
        <v>1</v>
      </c>
      <c r="W16" s="24">
        <v>0</v>
      </c>
      <c r="X16" s="168">
        <v>0.4</v>
      </c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3</v>
      </c>
      <c r="Z16" s="25"/>
      <c r="AA16" s="169">
        <f>Y16+Y16*VLOOKUP(I16,EXTRAS_ARRAY,2,FALSE)</f>
        <v>3</v>
      </c>
      <c r="AB16" s="23" t="s">
        <v>560</v>
      </c>
      <c r="AC16" s="37"/>
      <c r="AD16" s="26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29" hidden="1" outlineLevel="2" x14ac:dyDescent="0.35">
      <c r="A17" s="93" t="s">
        <v>0</v>
      </c>
      <c r="B17" s="21"/>
      <c r="C17" s="85"/>
      <c r="D17" s="85"/>
      <c r="E17" s="85"/>
      <c r="F17" s="86"/>
      <c r="G17" s="22" t="s">
        <v>23</v>
      </c>
      <c r="H17" s="22" t="s">
        <v>23</v>
      </c>
      <c r="I17" s="23" t="s">
        <v>23</v>
      </c>
      <c r="J17" s="22" t="s">
        <v>23</v>
      </c>
      <c r="K17" s="38"/>
      <c r="L17" s="22"/>
      <c r="M17" s="286">
        <f ca="1">IFERROR(OFFSET(M17,-1,,1,1)+0.1,OFFSET(M17,-1,-1,1,1)&amp;".1")</f>
        <v>1.2000000000000002</v>
      </c>
      <c r="N17" s="23" t="s">
        <v>526</v>
      </c>
      <c r="O17" s="23"/>
      <c r="P17" s="23" t="s">
        <v>582</v>
      </c>
      <c r="Q17" s="144">
        <v>4</v>
      </c>
      <c r="R17" s="137">
        <v>2</v>
      </c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>5</v>
      </c>
      <c r="T17" s="170"/>
      <c r="U17" s="24">
        <v>0</v>
      </c>
      <c r="V17" s="24">
        <v>1</v>
      </c>
      <c r="W17" s="24">
        <v>0</v>
      </c>
      <c r="X17" s="168">
        <v>0.6</v>
      </c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5</v>
      </c>
      <c r="Z17" s="25"/>
      <c r="AA17" s="169">
        <f>Y17+Y17*VLOOKUP(I17,EXTRAS_ARRAY,2,FALSE)</f>
        <v>5</v>
      </c>
      <c r="AB17" s="23" t="s">
        <v>561</v>
      </c>
      <c r="AC17" s="37"/>
      <c r="AD17" s="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93" t="s">
        <v>0</v>
      </c>
      <c r="B18" s="21"/>
      <c r="C18" s="85"/>
      <c r="D18" s="85"/>
      <c r="E18" s="85"/>
      <c r="F18" s="86"/>
      <c r="G18" s="22" t="s">
        <v>23</v>
      </c>
      <c r="H18" s="22" t="s">
        <v>23</v>
      </c>
      <c r="I18" s="23" t="s">
        <v>23</v>
      </c>
      <c r="J18" s="22" t="s">
        <v>23</v>
      </c>
      <c r="K18" s="38"/>
      <c r="L18" s="22"/>
      <c r="M18" s="286">
        <f ca="1">IFERROR(OFFSET(M18,-1,,1,1)+0.1,OFFSET(M18,-1,-1,1,1)&amp;".1")</f>
        <v>1.3000000000000003</v>
      </c>
      <c r="N18" s="23" t="s">
        <v>531</v>
      </c>
      <c r="O18" s="23"/>
      <c r="P18" s="23" t="s">
        <v>583</v>
      </c>
      <c r="Q18" s="144">
        <v>50</v>
      </c>
      <c r="R18" s="137">
        <v>1</v>
      </c>
      <c r="S18" s="169">
        <f>CEILING((IF(J18="Yes", 0, IF(H18="-",AA18,AA18+AA18*VLOOKUP(H18,BUFFERS_BY_TYPE,2,FALSE)))) +
   (IF(J18="Yes", 0, IF(H18="-",AA18,AA18+AA18*VLOOKUP(H18,BUFFERS_BY_TYPE,2,FALSE))))*VLOOKUP($S$5, SALES_CALL_SCALE_ARRAY, 2,FALSE),0.25)</f>
        <v>13</v>
      </c>
      <c r="T18" s="170"/>
      <c r="U18" s="24">
        <v>0.2</v>
      </c>
      <c r="V18" s="24">
        <v>0.5</v>
      </c>
      <c r="W18" s="24">
        <v>0.3</v>
      </c>
      <c r="X18" s="168">
        <v>0.25</v>
      </c>
      <c r="Y18" s="169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13</v>
      </c>
      <c r="Z18" s="25"/>
      <c r="AA18" s="169">
        <f>Y18+Y18*VLOOKUP(I18,EXTRAS_ARRAY,2,FALSE)</f>
        <v>13</v>
      </c>
      <c r="AB18" s="23"/>
      <c r="AC18" s="37"/>
      <c r="AD18" s="26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11" customFormat="1" ht="7.5" hidden="1" customHeight="1" outlineLevel="2" x14ac:dyDescent="0.35">
      <c r="A19" s="93" t="s">
        <v>132</v>
      </c>
      <c r="B19" s="18"/>
      <c r="C19" s="78"/>
      <c r="D19" s="78"/>
      <c r="E19" s="78"/>
      <c r="F19" s="78"/>
      <c r="G19" s="10"/>
      <c r="H19" s="10"/>
      <c r="I19" s="10"/>
      <c r="J19" s="10"/>
      <c r="K19" s="10"/>
      <c r="L19" s="10"/>
      <c r="M19" s="287"/>
      <c r="N19" s="10"/>
      <c r="O19" s="10"/>
      <c r="P19" s="10"/>
      <c r="Q19" s="10"/>
      <c r="R19" s="10"/>
      <c r="S19" s="10"/>
      <c r="T19" s="18"/>
      <c r="U19" s="10"/>
      <c r="V19" s="10"/>
      <c r="W19" s="10"/>
      <c r="X19" s="18"/>
      <c r="Y19" s="10"/>
      <c r="Z19" s="10"/>
      <c r="AA19" s="10"/>
      <c r="AB19" s="60"/>
      <c r="AC19" s="60"/>
      <c r="AD19" s="12"/>
    </row>
    <row r="20" spans="1:30" s="17" customFormat="1" ht="15.5" hidden="1" outlineLevel="1" collapsed="1" x14ac:dyDescent="0.35">
      <c r="A20" s="93" t="s">
        <v>100</v>
      </c>
      <c r="B20" s="21"/>
      <c r="C20" s="84"/>
      <c r="D20" s="84"/>
      <c r="E20" s="84"/>
      <c r="F20" s="83"/>
      <c r="G20" s="32"/>
      <c r="H20" s="32"/>
      <c r="I20" s="32"/>
      <c r="J20" s="32"/>
      <c r="K20" s="32"/>
      <c r="L20" s="20">
        <f ca="1">LOOKUP(1000,INDIRECT("L1:"&amp;CELL("address",INDIRECT("R[-1]C",FALSE))))+1</f>
        <v>2</v>
      </c>
      <c r="M20" s="298" t="s">
        <v>456</v>
      </c>
      <c r="N20" s="298"/>
      <c r="O20" s="5"/>
      <c r="P20" s="33"/>
      <c r="Q20" s="33"/>
      <c r="R20" s="33"/>
      <c r="S20" s="33"/>
      <c r="T20" s="167">
        <f>IF($S$6="Exclude", SUMIFS(S21:S25, J21:J25, "&lt;&gt;Yes", G21:G25, "&lt;&gt;Yes"), SUMIFS(S21:S25, J21:J25, "&lt;&gt;Yes"))</f>
        <v>31.25</v>
      </c>
      <c r="U20" s="33"/>
      <c r="V20" s="33"/>
      <c r="W20" s="33"/>
      <c r="X20" s="34"/>
      <c r="Y20" s="35"/>
      <c r="Z20" s="35"/>
      <c r="AA20" s="35"/>
      <c r="AB20" s="240"/>
      <c r="AC20" s="36"/>
      <c r="AD20" s="26" t="str">
        <f>IF(M20="", "Error: Task name cannot be empty.", "")</f>
        <v/>
      </c>
    </row>
    <row r="21" spans="1:30" s="15" customFormat="1" ht="1.5" hidden="1" customHeight="1" outlineLevel="2" x14ac:dyDescent="0.35">
      <c r="A21" s="93" t="s">
        <v>101</v>
      </c>
      <c r="B21" s="21"/>
      <c r="C21" s="84"/>
      <c r="D21" s="84"/>
      <c r="E21" s="84"/>
      <c r="F21" s="83"/>
      <c r="G21" s="32"/>
      <c r="H21" s="32"/>
      <c r="I21" s="32"/>
      <c r="J21" s="32"/>
      <c r="K21" s="32"/>
      <c r="L21" s="175">
        <f ca="1">L20</f>
        <v>2</v>
      </c>
      <c r="M21" s="176" t="s">
        <v>105</v>
      </c>
      <c r="N21" s="173"/>
      <c r="O21" s="174"/>
      <c r="P21" s="33"/>
      <c r="Q21" s="33"/>
      <c r="R21" s="33"/>
      <c r="S21" s="33"/>
      <c r="T21" s="167"/>
      <c r="U21" s="33"/>
      <c r="V21" s="33"/>
      <c r="W21" s="33"/>
      <c r="X21" s="34"/>
      <c r="Y21" s="35"/>
      <c r="Z21" s="35"/>
      <c r="AA21" s="35"/>
      <c r="AB21" s="36"/>
      <c r="AC21" s="36"/>
      <c r="AD21" s="26"/>
    </row>
    <row r="22" spans="1:30" ht="43.5" hidden="1" outlineLevel="2" x14ac:dyDescent="0.35">
      <c r="A22" s="93" t="s">
        <v>0</v>
      </c>
      <c r="B22" s="21"/>
      <c r="C22" s="85"/>
      <c r="D22" s="85"/>
      <c r="E22" s="85"/>
      <c r="F22" s="86"/>
      <c r="G22" s="22" t="s">
        <v>23</v>
      </c>
      <c r="H22" s="22" t="s">
        <v>23</v>
      </c>
      <c r="I22" s="23" t="s">
        <v>23</v>
      </c>
      <c r="J22" s="22" t="s">
        <v>23</v>
      </c>
      <c r="K22" s="38"/>
      <c r="L22" s="22"/>
      <c r="M22" s="286" t="str">
        <f ca="1">IFERROR(OFFSET(M22,-1,,1,1)+0.1,OFFSET(M22,-1,-1,1,1)&amp;".1")</f>
        <v>2.1</v>
      </c>
      <c r="N22" s="23" t="s">
        <v>532</v>
      </c>
      <c r="O22" s="23"/>
      <c r="P22" s="23"/>
      <c r="Q22" s="144">
        <v>13</v>
      </c>
      <c r="R22" s="137">
        <v>1</v>
      </c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>2.75</v>
      </c>
      <c r="T22" s="170"/>
      <c r="U22" s="24">
        <v>0</v>
      </c>
      <c r="V22" s="24">
        <v>1</v>
      </c>
      <c r="W22" s="24">
        <v>0</v>
      </c>
      <c r="X22" s="168">
        <v>0.2</v>
      </c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2.75</v>
      </c>
      <c r="Z22" s="25"/>
      <c r="AA22" s="169">
        <f>Y22+Y22*VLOOKUP(I22,EXTRAS_ARRAY,2,FALSE)</f>
        <v>2.75</v>
      </c>
      <c r="AB22" s="23" t="s">
        <v>562</v>
      </c>
      <c r="AC22" s="37"/>
      <c r="AD22" s="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29" hidden="1" outlineLevel="2" x14ac:dyDescent="0.35">
      <c r="A23" s="93" t="s">
        <v>0</v>
      </c>
      <c r="B23" s="21"/>
      <c r="C23" s="85"/>
      <c r="D23" s="85"/>
      <c r="E23" s="85"/>
      <c r="F23" s="86"/>
      <c r="G23" s="22" t="s">
        <v>23</v>
      </c>
      <c r="H23" s="22" t="s">
        <v>23</v>
      </c>
      <c r="I23" s="23" t="s">
        <v>23</v>
      </c>
      <c r="J23" s="22" t="s">
        <v>23</v>
      </c>
      <c r="K23" s="38"/>
      <c r="L23" s="22"/>
      <c r="M23" s="286">
        <f ca="1">IFERROR(OFFSET(M23,-1,,1,1)+0.1,OFFSET(M23,-1,-1,1,1)&amp;".1")</f>
        <v>2.2000000000000002</v>
      </c>
      <c r="N23" s="23" t="s">
        <v>457</v>
      </c>
      <c r="O23" s="23" t="s">
        <v>516</v>
      </c>
      <c r="P23" s="23"/>
      <c r="Q23" s="144">
        <v>15</v>
      </c>
      <c r="R23" s="137"/>
      <c r="S23" s="169">
        <f>CEILING((IF(J23="Yes", 0, IF(H23="-",AA23,AA23+AA23*VLOOKUP(H23,BUFFERS_BY_TYPE,2,FALSE)))) +
   (IF(J23="Yes", 0, IF(H23="-",AA23,AA23+AA23*VLOOKUP(H23,BUFFERS_BY_TYPE,2,FALSE))))*VLOOKUP($S$5, SALES_CALL_SCALE_ARRAY, 2,FALSE),0.25)</f>
        <v>25.5</v>
      </c>
      <c r="T23" s="170"/>
      <c r="U23" s="24">
        <v>0</v>
      </c>
      <c r="V23" s="24">
        <v>1</v>
      </c>
      <c r="W23" s="24">
        <v>0</v>
      </c>
      <c r="X23" s="168">
        <v>1.7</v>
      </c>
      <c r="Y23" s="169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25.5</v>
      </c>
      <c r="Z23" s="25"/>
      <c r="AA23" s="169">
        <f>Y23+Y23*VLOOKUP(I23,EXTRAS_ARRAY,2,FALSE)</f>
        <v>25.5</v>
      </c>
      <c r="AB23" s="23" t="s">
        <v>563</v>
      </c>
      <c r="AC23" s="37"/>
      <c r="AD23" s="26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43.5" hidden="1" outlineLevel="2" x14ac:dyDescent="0.35">
      <c r="A24" s="93" t="s">
        <v>0</v>
      </c>
      <c r="B24" s="21"/>
      <c r="C24" s="85"/>
      <c r="D24" s="85"/>
      <c r="E24" s="85"/>
      <c r="F24" s="86"/>
      <c r="G24" s="22" t="s">
        <v>23</v>
      </c>
      <c r="H24" s="22" t="s">
        <v>23</v>
      </c>
      <c r="I24" s="23" t="s">
        <v>23</v>
      </c>
      <c r="J24" s="22" t="s">
        <v>23</v>
      </c>
      <c r="K24" s="38" t="s">
        <v>515</v>
      </c>
      <c r="L24" s="22"/>
      <c r="M24" s="286">
        <f ca="1">IFERROR(OFFSET(M24,-1,,1,1)+0.1,OFFSET(M24,-1,-1,1,1)&amp;".1")</f>
        <v>2.3000000000000003</v>
      </c>
      <c r="N24" s="23" t="s">
        <v>458</v>
      </c>
      <c r="O24" s="23"/>
      <c r="P24" s="23" t="s">
        <v>582</v>
      </c>
      <c r="Q24" s="144">
        <v>3</v>
      </c>
      <c r="R24" s="137">
        <v>2</v>
      </c>
      <c r="S24" s="169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70"/>
      <c r="U24" s="24">
        <v>0</v>
      </c>
      <c r="V24" s="24">
        <v>1</v>
      </c>
      <c r="W24" s="24">
        <v>0</v>
      </c>
      <c r="X24" s="168">
        <v>0.5</v>
      </c>
      <c r="Y24" s="169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5"/>
      <c r="AA24" s="169">
        <f>Y24+Y24*VLOOKUP(I24,EXTRAS_ARRAY,2,FALSE)</f>
        <v>3</v>
      </c>
      <c r="AB24" s="23" t="s">
        <v>564</v>
      </c>
      <c r="AC24" s="37"/>
      <c r="AD24" s="26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11" customFormat="1" ht="7.5" hidden="1" customHeight="1" outlineLevel="2" x14ac:dyDescent="0.35">
      <c r="A25" s="93" t="s">
        <v>132</v>
      </c>
      <c r="B25" s="18"/>
      <c r="C25" s="78"/>
      <c r="D25" s="78"/>
      <c r="E25" s="78"/>
      <c r="F25" s="78"/>
      <c r="G25" s="10"/>
      <c r="H25" s="10"/>
      <c r="I25" s="10"/>
      <c r="J25" s="10"/>
      <c r="K25" s="10"/>
      <c r="L25" s="10"/>
      <c r="M25" s="287"/>
      <c r="N25" s="10"/>
      <c r="O25" s="10"/>
      <c r="P25" s="10"/>
      <c r="Q25" s="10"/>
      <c r="R25" s="10"/>
      <c r="S25" s="10"/>
      <c r="T25" s="18"/>
      <c r="U25" s="10"/>
      <c r="V25" s="10"/>
      <c r="W25" s="10"/>
      <c r="X25" s="18"/>
      <c r="Y25" s="10"/>
      <c r="Z25" s="10"/>
      <c r="AA25" s="10"/>
      <c r="AB25" s="60"/>
      <c r="AC25" s="60"/>
      <c r="AD25" s="12"/>
    </row>
    <row r="26" spans="1:30" s="17" customFormat="1" ht="15.5" hidden="1" outlineLevel="1" collapsed="1" x14ac:dyDescent="0.35">
      <c r="A26" s="93" t="s">
        <v>100</v>
      </c>
      <c r="B26" s="21"/>
      <c r="C26" s="84"/>
      <c r="D26" s="84"/>
      <c r="E26" s="84"/>
      <c r="F26" s="83"/>
      <c r="G26" s="32"/>
      <c r="H26" s="32"/>
      <c r="I26" s="32"/>
      <c r="J26" s="32"/>
      <c r="K26" s="32"/>
      <c r="L26" s="20">
        <f ca="1">LOOKUP(1000,INDIRECT("L1:"&amp;CELL("address",INDIRECT("R[-1]C",FALSE))))+1</f>
        <v>3</v>
      </c>
      <c r="M26" s="298" t="s">
        <v>525</v>
      </c>
      <c r="N26" s="298"/>
      <c r="O26" s="5"/>
      <c r="P26" s="33"/>
      <c r="Q26" s="33"/>
      <c r="R26" s="33"/>
      <c r="S26" s="33"/>
      <c r="T26" s="167">
        <f>IF($S$6="Exclude", SUMIFS(S27:S32, J27:J32, "&lt;&gt;Yes", G27:G32, "&lt;&gt;Yes"), SUMIFS(S27:S32, J27:J32, "&lt;&gt;Yes"))</f>
        <v>19</v>
      </c>
      <c r="U26" s="33"/>
      <c r="V26" s="33"/>
      <c r="W26" s="33"/>
      <c r="X26" s="34"/>
      <c r="Y26" s="35"/>
      <c r="Z26" s="35"/>
      <c r="AA26" s="35"/>
      <c r="AB26" s="240"/>
      <c r="AC26" s="36"/>
      <c r="AD26" s="26" t="str">
        <f>IF(M26="", "Error: Task name cannot be empty.", "")</f>
        <v/>
      </c>
    </row>
    <row r="27" spans="1:30" s="15" customFormat="1" ht="1.5" hidden="1" customHeight="1" outlineLevel="2" x14ac:dyDescent="0.35">
      <c r="A27" s="93" t="s">
        <v>101</v>
      </c>
      <c r="B27" s="21"/>
      <c r="C27" s="84"/>
      <c r="D27" s="84"/>
      <c r="E27" s="84"/>
      <c r="F27" s="83"/>
      <c r="G27" s="32"/>
      <c r="H27" s="32"/>
      <c r="I27" s="32"/>
      <c r="J27" s="32"/>
      <c r="K27" s="32"/>
      <c r="L27" s="175">
        <f ca="1">L26</f>
        <v>3</v>
      </c>
      <c r="M27" s="176" t="s">
        <v>105</v>
      </c>
      <c r="N27" s="173"/>
      <c r="O27" s="174"/>
      <c r="P27" s="33"/>
      <c r="Q27" s="33"/>
      <c r="R27" s="33"/>
      <c r="S27" s="33"/>
      <c r="T27" s="167"/>
      <c r="U27" s="33"/>
      <c r="V27" s="33"/>
      <c r="W27" s="33"/>
      <c r="X27" s="34"/>
      <c r="Y27" s="35"/>
      <c r="Z27" s="35"/>
      <c r="AA27" s="35"/>
      <c r="AB27" s="36"/>
      <c r="AC27" s="36"/>
      <c r="AD27" s="26"/>
    </row>
    <row r="28" spans="1:30" ht="43.5" hidden="1" outlineLevel="2" x14ac:dyDescent="0.35">
      <c r="A28" s="93" t="s">
        <v>0</v>
      </c>
      <c r="B28" s="21"/>
      <c r="C28" s="85"/>
      <c r="D28" s="85"/>
      <c r="E28" s="85"/>
      <c r="F28" s="86"/>
      <c r="G28" s="22" t="s">
        <v>23</v>
      </c>
      <c r="H28" s="22" t="s">
        <v>23</v>
      </c>
      <c r="I28" s="23" t="s">
        <v>23</v>
      </c>
      <c r="J28" s="22" t="s">
        <v>23</v>
      </c>
      <c r="K28" s="38"/>
      <c r="L28" s="22"/>
      <c r="M28" s="286" t="str">
        <f ca="1">IFERROR(OFFSET(M28,-1,,1,1)+0.1,OFFSET(M28,-1,-1,1,1)&amp;".1")</f>
        <v>3.1</v>
      </c>
      <c r="N28" s="23" t="s">
        <v>565</v>
      </c>
      <c r="O28" s="23"/>
      <c r="P28" s="23"/>
      <c r="Q28" s="144"/>
      <c r="R28" s="137"/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70"/>
      <c r="U28" s="24">
        <v>0</v>
      </c>
      <c r="V28" s="24">
        <v>1</v>
      </c>
      <c r="W28" s="24">
        <v>0</v>
      </c>
      <c r="X28" s="168">
        <v>3</v>
      </c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5"/>
      <c r="AA28" s="169">
        <f>Y28+Y28*VLOOKUP(I28,EXTRAS_ARRAY,2,FALSE)</f>
        <v>3</v>
      </c>
      <c r="AB28" s="23"/>
      <c r="AC28" s="37"/>
      <c r="AD28" s="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15.5" hidden="1" outlineLevel="2" x14ac:dyDescent="0.35">
      <c r="A29" s="93" t="s">
        <v>0</v>
      </c>
      <c r="B29" s="21"/>
      <c r="C29" s="85"/>
      <c r="D29" s="85"/>
      <c r="E29" s="85"/>
      <c r="F29" s="86"/>
      <c r="G29" s="22" t="s">
        <v>23</v>
      </c>
      <c r="H29" s="22" t="s">
        <v>23</v>
      </c>
      <c r="I29" s="23" t="s">
        <v>23</v>
      </c>
      <c r="J29" s="22" t="s">
        <v>23</v>
      </c>
      <c r="K29" s="38"/>
      <c r="L29" s="22"/>
      <c r="M29" s="286">
        <f ca="1">IFERROR(OFFSET(M29,-1,,1,1)+0.1,OFFSET(M29,-1,-1,1,1)&amp;".1")</f>
        <v>3.2</v>
      </c>
      <c r="N29" s="23" t="s">
        <v>567</v>
      </c>
      <c r="O29" s="23" t="s">
        <v>534</v>
      </c>
      <c r="P29" s="23"/>
      <c r="Q29" s="144"/>
      <c r="R29" s="137">
        <v>2</v>
      </c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>5</v>
      </c>
      <c r="T29" s="170"/>
      <c r="U29" s="24">
        <v>0</v>
      </c>
      <c r="V29" s="24">
        <v>1</v>
      </c>
      <c r="W29" s="24">
        <v>0</v>
      </c>
      <c r="X29" s="168">
        <v>5</v>
      </c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5</v>
      </c>
      <c r="Z29" s="25"/>
      <c r="AA29" s="169">
        <f>Y29+Y29*VLOOKUP(I29,EXTRAS_ARRAY,2,FALSE)</f>
        <v>5</v>
      </c>
      <c r="AB29" s="23"/>
      <c r="AC29" s="37"/>
      <c r="AD29" s="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15.5" hidden="1" outlineLevel="2" x14ac:dyDescent="0.35">
      <c r="A30" s="93" t="s">
        <v>0</v>
      </c>
      <c r="B30" s="21"/>
      <c r="C30" s="85"/>
      <c r="D30" s="85"/>
      <c r="E30" s="85"/>
      <c r="F30" s="86"/>
      <c r="G30" s="22" t="s">
        <v>23</v>
      </c>
      <c r="H30" s="22" t="s">
        <v>23</v>
      </c>
      <c r="I30" s="23" t="s">
        <v>23</v>
      </c>
      <c r="J30" s="22" t="s">
        <v>23</v>
      </c>
      <c r="K30" s="38"/>
      <c r="L30" s="22"/>
      <c r="M30" s="286">
        <f ca="1">IFERROR(OFFSET(M30,-1,,1,1)+0.1,OFFSET(M30,-1,-1,1,1)&amp;".1")</f>
        <v>3.3000000000000003</v>
      </c>
      <c r="N30" s="23" t="s">
        <v>566</v>
      </c>
      <c r="O30" s="23" t="s">
        <v>534</v>
      </c>
      <c r="P30" s="23"/>
      <c r="Q30" s="144"/>
      <c r="R30" s="137">
        <v>3</v>
      </c>
      <c r="S30" s="169">
        <f>CEILING((IF(J30="Yes", 0, IF(H30="-",AA30,AA30+AA30*VLOOKUP(H30,BUFFERS_BY_TYPE,2,FALSE)))) +
   (IF(J30="Yes", 0, IF(H30="-",AA30,AA30+AA30*VLOOKUP(H30,BUFFERS_BY_TYPE,2,FALSE))))*VLOOKUP($S$5, SALES_CALL_SCALE_ARRAY, 2,FALSE),0.25)</f>
        <v>9</v>
      </c>
      <c r="T30" s="170"/>
      <c r="U30" s="24">
        <v>0</v>
      </c>
      <c r="V30" s="24">
        <v>1</v>
      </c>
      <c r="W30" s="24">
        <v>0</v>
      </c>
      <c r="X30" s="168">
        <v>9</v>
      </c>
      <c r="Y30" s="169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9</v>
      </c>
      <c r="Z30" s="25"/>
      <c r="AA30" s="169">
        <f>Y30+Y30*VLOOKUP(I30,EXTRAS_ARRAY,2,FALSE)</f>
        <v>9</v>
      </c>
      <c r="AB30" s="23"/>
      <c r="AC30" s="37"/>
      <c r="AD30" s="26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43.5" hidden="1" outlineLevel="2" x14ac:dyDescent="0.35">
      <c r="A31" s="93" t="s">
        <v>0</v>
      </c>
      <c r="B31" s="21"/>
      <c r="C31" s="85"/>
      <c r="D31" s="85"/>
      <c r="E31" s="85"/>
      <c r="F31" s="86"/>
      <c r="G31" s="22" t="s">
        <v>23</v>
      </c>
      <c r="H31" s="22" t="s">
        <v>23</v>
      </c>
      <c r="I31" s="23" t="s">
        <v>23</v>
      </c>
      <c r="J31" s="22" t="s">
        <v>23</v>
      </c>
      <c r="K31" s="38"/>
      <c r="L31" s="22"/>
      <c r="M31" s="286">
        <f ca="1">IFERROR(OFFSET(M31,-1,,1,1)+0.1,OFFSET(M31,-1,-1,1,1)&amp;".1")</f>
        <v>3.4000000000000004</v>
      </c>
      <c r="N31" s="23" t="s">
        <v>533</v>
      </c>
      <c r="O31" s="23"/>
      <c r="P31" s="23"/>
      <c r="Q31" s="144"/>
      <c r="R31" s="137">
        <v>2</v>
      </c>
      <c r="S31" s="169">
        <f>CEILING((IF(J31="Yes", 0, IF(H31="-",AA31,AA31+AA31*VLOOKUP(H31,BUFFERS_BY_TYPE,2,FALSE)))) +
   (IF(J31="Yes", 0, IF(H31="-",AA31,AA31+AA31*VLOOKUP(H31,BUFFERS_BY_TYPE,2,FALSE))))*VLOOKUP($S$5, SALES_CALL_SCALE_ARRAY, 2,FALSE),0.25)</f>
        <v>2</v>
      </c>
      <c r="T31" s="170"/>
      <c r="U31" s="24">
        <v>0</v>
      </c>
      <c r="V31" s="24">
        <v>1</v>
      </c>
      <c r="W31" s="24">
        <v>0</v>
      </c>
      <c r="X31" s="168">
        <v>2</v>
      </c>
      <c r="Y31" s="169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2</v>
      </c>
      <c r="Z31" s="25"/>
      <c r="AA31" s="169">
        <f>Y31+Y31*VLOOKUP(I31,EXTRAS_ARRAY,2,FALSE)</f>
        <v>2</v>
      </c>
      <c r="AB31" s="23"/>
      <c r="AC31" s="37"/>
      <c r="AD31" s="26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11" customFormat="1" ht="7.5" hidden="1" customHeight="1" outlineLevel="2" x14ac:dyDescent="0.35">
      <c r="A32" s="93" t="s">
        <v>132</v>
      </c>
      <c r="B32" s="18"/>
      <c r="C32" s="78"/>
      <c r="D32" s="78"/>
      <c r="E32" s="78"/>
      <c r="F32" s="78"/>
      <c r="G32" s="10"/>
      <c r="H32" s="10"/>
      <c r="I32" s="10"/>
      <c r="J32" s="10"/>
      <c r="K32" s="10"/>
      <c r="L32" s="10"/>
      <c r="M32" s="287"/>
      <c r="N32" s="10"/>
      <c r="O32" s="10"/>
      <c r="P32" s="10"/>
      <c r="Q32" s="10"/>
      <c r="R32" s="10"/>
      <c r="S32" s="10"/>
      <c r="T32" s="18"/>
      <c r="U32" s="10"/>
      <c r="V32" s="10"/>
      <c r="W32" s="10"/>
      <c r="X32" s="18"/>
      <c r="Y32" s="10"/>
      <c r="Z32" s="10"/>
      <c r="AA32" s="10"/>
      <c r="AB32" s="60"/>
      <c r="AC32" s="60"/>
      <c r="AD32" s="12"/>
    </row>
    <row r="33" spans="1:30" s="17" customFormat="1" ht="15.5" hidden="1" outlineLevel="1" collapsed="1" x14ac:dyDescent="0.35">
      <c r="A33" s="93" t="s">
        <v>100</v>
      </c>
      <c r="B33" s="21"/>
      <c r="C33" s="84"/>
      <c r="D33" s="84"/>
      <c r="E33" s="84"/>
      <c r="F33" s="83"/>
      <c r="G33" s="32"/>
      <c r="H33" s="32"/>
      <c r="I33" s="32"/>
      <c r="J33" s="32"/>
      <c r="K33" s="32"/>
      <c r="L33" s="20">
        <f ca="1">LOOKUP(1000,INDIRECT("L1:"&amp;CELL("address",INDIRECT("R[-1]C",FALSE))))+1</f>
        <v>4</v>
      </c>
      <c r="M33" s="298" t="s">
        <v>527</v>
      </c>
      <c r="N33" s="298"/>
      <c r="O33" s="5"/>
      <c r="P33" s="33"/>
      <c r="Q33" s="33"/>
      <c r="R33" s="33"/>
      <c r="S33" s="33"/>
      <c r="T33" s="167">
        <f>IF($S$6="Exclude", SUMIFS(S34:S38, J34:J38, "&lt;&gt;Yes", G34:G38, "&lt;&gt;Yes"), SUMIFS(S34:S38, J34:J38, "&lt;&gt;Yes"))</f>
        <v>12</v>
      </c>
      <c r="U33" s="33"/>
      <c r="V33" s="33"/>
      <c r="W33" s="33"/>
      <c r="X33" s="34"/>
      <c r="Y33" s="35"/>
      <c r="Z33" s="35"/>
      <c r="AA33" s="35"/>
      <c r="AB33" s="240"/>
      <c r="AC33" s="36"/>
      <c r="AD33" s="26" t="str">
        <f>IF(M33="", "Error: Task name cannot be empty.", "")</f>
        <v/>
      </c>
    </row>
    <row r="34" spans="1:30" s="15" customFormat="1" ht="1.5" hidden="1" customHeight="1" outlineLevel="2" x14ac:dyDescent="0.35">
      <c r="A34" s="93" t="s">
        <v>101</v>
      </c>
      <c r="B34" s="21"/>
      <c r="C34" s="84"/>
      <c r="D34" s="84"/>
      <c r="E34" s="84"/>
      <c r="F34" s="83"/>
      <c r="G34" s="32"/>
      <c r="H34" s="32"/>
      <c r="I34" s="32"/>
      <c r="J34" s="32"/>
      <c r="K34" s="32"/>
      <c r="L34" s="175">
        <f ca="1">L33</f>
        <v>4</v>
      </c>
      <c r="M34" s="176" t="s">
        <v>105</v>
      </c>
      <c r="N34" s="173"/>
      <c r="O34" s="174"/>
      <c r="P34" s="33"/>
      <c r="Q34" s="33"/>
      <c r="R34" s="33"/>
      <c r="S34" s="33"/>
      <c r="T34" s="167"/>
      <c r="U34" s="33"/>
      <c r="V34" s="33"/>
      <c r="W34" s="33"/>
      <c r="X34" s="34"/>
      <c r="Y34" s="35"/>
      <c r="Z34" s="35"/>
      <c r="AA34" s="35"/>
      <c r="AB34" s="36"/>
      <c r="AC34" s="36"/>
      <c r="AD34" s="26"/>
    </row>
    <row r="35" spans="1:30" ht="58" hidden="1" outlineLevel="2" x14ac:dyDescent="0.35">
      <c r="A35" s="93" t="s">
        <v>0</v>
      </c>
      <c r="B35" s="21"/>
      <c r="C35" s="85"/>
      <c r="D35" s="85"/>
      <c r="E35" s="85"/>
      <c r="F35" s="86"/>
      <c r="G35" s="22" t="s">
        <v>23</v>
      </c>
      <c r="H35" s="22" t="s">
        <v>23</v>
      </c>
      <c r="I35" s="23" t="s">
        <v>23</v>
      </c>
      <c r="J35" s="22" t="s">
        <v>23</v>
      </c>
      <c r="K35" s="38"/>
      <c r="L35" s="22"/>
      <c r="M35" s="286" t="str">
        <f ca="1">IFERROR(OFFSET(M35,-1,,1,1)+0.1,OFFSET(M35,-1,-1,1,1)&amp;".1")</f>
        <v>4.1</v>
      </c>
      <c r="N35" s="23" t="s">
        <v>568</v>
      </c>
      <c r="O35" s="23" t="s">
        <v>534</v>
      </c>
      <c r="P35" s="23"/>
      <c r="Q35" s="144"/>
      <c r="R35" s="137">
        <v>2</v>
      </c>
      <c r="S35" s="169">
        <f>CEILING((IF(J35="Yes", 0, IF(H35="-",AA35,AA35+AA35*VLOOKUP(H35,BUFFERS_BY_TYPE,2,FALSE)))) +
   (IF(J35="Yes", 0, IF(H35="-",AA35,AA35+AA35*VLOOKUP(H35,BUFFERS_BY_TYPE,2,FALSE))))*VLOOKUP($S$5, SALES_CALL_SCALE_ARRAY, 2,FALSE),0.25)</f>
        <v>7</v>
      </c>
      <c r="T35" s="170"/>
      <c r="U35" s="24">
        <v>0</v>
      </c>
      <c r="V35" s="24">
        <v>1</v>
      </c>
      <c r="W35" s="24">
        <v>0</v>
      </c>
      <c r="X35" s="168">
        <v>7</v>
      </c>
      <c r="Y35" s="169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7</v>
      </c>
      <c r="Z35" s="25"/>
      <c r="AA35" s="169">
        <f>Y35+Y35*VLOOKUP(I35,EXTRAS_ARRAY,2,FALSE)</f>
        <v>7</v>
      </c>
      <c r="AB35" s="23" t="s">
        <v>569</v>
      </c>
      <c r="AC35" s="37"/>
      <c r="AD35" s="26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15.5" hidden="1" outlineLevel="2" x14ac:dyDescent="0.35">
      <c r="A36" s="93" t="s">
        <v>0</v>
      </c>
      <c r="B36" s="21"/>
      <c r="C36" s="85"/>
      <c r="D36" s="85"/>
      <c r="E36" s="85"/>
      <c r="F36" s="86"/>
      <c r="G36" s="22" t="s">
        <v>23</v>
      </c>
      <c r="H36" s="22" t="s">
        <v>23</v>
      </c>
      <c r="I36" s="23" t="s">
        <v>23</v>
      </c>
      <c r="J36" s="22" t="s">
        <v>23</v>
      </c>
      <c r="K36" s="38"/>
      <c r="L36" s="22"/>
      <c r="M36" s="286">
        <f ca="1">IFERROR(OFFSET(M36,-1,,1,1)+0.1,OFFSET(M36,-1,-1,1,1)&amp;".1")</f>
        <v>4.1999999999999993</v>
      </c>
      <c r="N36" s="23" t="s">
        <v>535</v>
      </c>
      <c r="O36" s="23" t="s">
        <v>534</v>
      </c>
      <c r="P36" s="23"/>
      <c r="Q36" s="144"/>
      <c r="R36" s="137">
        <v>2</v>
      </c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>3</v>
      </c>
      <c r="T36" s="170"/>
      <c r="U36" s="24">
        <v>0</v>
      </c>
      <c r="V36" s="24">
        <v>1</v>
      </c>
      <c r="W36" s="24">
        <v>0</v>
      </c>
      <c r="X36" s="168">
        <v>3</v>
      </c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3</v>
      </c>
      <c r="Z36" s="25"/>
      <c r="AA36" s="169">
        <f>Y36+Y36*VLOOKUP(I36,EXTRAS_ARRAY,2,FALSE)</f>
        <v>3</v>
      </c>
      <c r="AB36" s="23" t="s">
        <v>569</v>
      </c>
      <c r="AC36" s="37"/>
      <c r="AD36" s="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29" hidden="1" outlineLevel="2" x14ac:dyDescent="0.35">
      <c r="A37" s="93" t="s">
        <v>0</v>
      </c>
      <c r="B37" s="21"/>
      <c r="C37" s="85"/>
      <c r="D37" s="85"/>
      <c r="E37" s="85"/>
      <c r="F37" s="86"/>
      <c r="G37" s="22" t="s">
        <v>23</v>
      </c>
      <c r="H37" s="22" t="s">
        <v>23</v>
      </c>
      <c r="I37" s="23" t="s">
        <v>23</v>
      </c>
      <c r="J37" s="22" t="s">
        <v>23</v>
      </c>
      <c r="K37" s="38"/>
      <c r="L37" s="22"/>
      <c r="M37" s="286">
        <f ca="1">IFERROR(OFFSET(M37,-1,,1,1)+0.1,OFFSET(M37,-1,-1,1,1)&amp;".1")</f>
        <v>4.2999999999999989</v>
      </c>
      <c r="N37" s="23" t="s">
        <v>536</v>
      </c>
      <c r="O37" s="23"/>
      <c r="P37" s="23" t="s">
        <v>584</v>
      </c>
      <c r="Q37" s="144"/>
      <c r="R37" s="137">
        <v>3</v>
      </c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>2</v>
      </c>
      <c r="T37" s="170"/>
      <c r="U37" s="24">
        <v>0</v>
      </c>
      <c r="V37" s="24">
        <v>1</v>
      </c>
      <c r="W37" s="24">
        <v>0</v>
      </c>
      <c r="X37" s="168">
        <v>2</v>
      </c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2</v>
      </c>
      <c r="Z37" s="25"/>
      <c r="AA37" s="169">
        <f>Y37+Y37*VLOOKUP(I37,EXTRAS_ARRAY,2,FALSE)</f>
        <v>2</v>
      </c>
      <c r="AB37" s="23"/>
      <c r="AC37" s="37"/>
      <c r="AD37" s="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s="11" customFormat="1" ht="7.5" hidden="1" customHeight="1" outlineLevel="2" x14ac:dyDescent="0.35">
      <c r="A38" s="93" t="s">
        <v>132</v>
      </c>
      <c r="B38" s="18"/>
      <c r="C38" s="78"/>
      <c r="D38" s="78"/>
      <c r="E38" s="78"/>
      <c r="F38" s="78"/>
      <c r="G38" s="10"/>
      <c r="H38" s="10"/>
      <c r="I38" s="10"/>
      <c r="J38" s="10"/>
      <c r="K38" s="10"/>
      <c r="L38" s="10"/>
      <c r="M38" s="287"/>
      <c r="N38" s="10"/>
      <c r="O38" s="10"/>
      <c r="P38" s="10"/>
      <c r="Q38" s="10"/>
      <c r="R38" s="10"/>
      <c r="S38" s="10"/>
      <c r="T38" s="18"/>
      <c r="U38" s="10"/>
      <c r="V38" s="10"/>
      <c r="W38" s="10"/>
      <c r="X38" s="18"/>
      <c r="Y38" s="10"/>
      <c r="Z38" s="10"/>
      <c r="AA38" s="10"/>
      <c r="AB38" s="60"/>
      <c r="AC38" s="60"/>
      <c r="AD38" s="12"/>
    </row>
    <row r="39" spans="1:30" s="17" customFormat="1" ht="15.5" hidden="1" outlineLevel="1" collapsed="1" x14ac:dyDescent="0.35">
      <c r="A39" s="93" t="s">
        <v>100</v>
      </c>
      <c r="B39" s="21"/>
      <c r="C39" s="84"/>
      <c r="D39" s="84"/>
      <c r="E39" s="84"/>
      <c r="F39" s="83"/>
      <c r="G39" s="32"/>
      <c r="H39" s="32"/>
      <c r="I39" s="32"/>
      <c r="J39" s="32"/>
      <c r="K39" s="32"/>
      <c r="L39" s="20">
        <f ca="1">LOOKUP(1000,INDIRECT("L1:"&amp;CELL("address",INDIRECT("R[-1]C",FALSE))))+1</f>
        <v>5</v>
      </c>
      <c r="M39" s="298" t="s">
        <v>528</v>
      </c>
      <c r="N39" s="298"/>
      <c r="O39" s="5"/>
      <c r="P39" s="33"/>
      <c r="Q39" s="33"/>
      <c r="R39" s="33"/>
      <c r="S39" s="33"/>
      <c r="T39" s="167">
        <f>IF($S$6="Exclude", SUMIFS(S40:S44, J40:J44, "&lt;&gt;Yes", G40:G44, "&lt;&gt;Yes"), SUMIFS(S40:S44, J40:J44, "&lt;&gt;Yes"))</f>
        <v>44.25</v>
      </c>
      <c r="U39" s="33"/>
      <c r="V39" s="33"/>
      <c r="W39" s="33"/>
      <c r="X39" s="34"/>
      <c r="Y39" s="35"/>
      <c r="Z39" s="35"/>
      <c r="AA39" s="35"/>
      <c r="AB39" s="240"/>
      <c r="AC39" s="36"/>
      <c r="AD39" s="26" t="str">
        <f>IF(M39="", "Error: Task name cannot be empty.", "")</f>
        <v/>
      </c>
    </row>
    <row r="40" spans="1:30" s="15" customFormat="1" ht="1.5" hidden="1" customHeight="1" outlineLevel="2" x14ac:dyDescent="0.35">
      <c r="A40" s="93" t="s">
        <v>101</v>
      </c>
      <c r="B40" s="21"/>
      <c r="C40" s="84"/>
      <c r="D40" s="84"/>
      <c r="E40" s="84"/>
      <c r="F40" s="83"/>
      <c r="G40" s="32"/>
      <c r="H40" s="32"/>
      <c r="I40" s="32"/>
      <c r="J40" s="32"/>
      <c r="K40" s="32"/>
      <c r="L40" s="175">
        <f ca="1">L39</f>
        <v>5</v>
      </c>
      <c r="M40" s="176" t="s">
        <v>105</v>
      </c>
      <c r="N40" s="173"/>
      <c r="O40" s="174"/>
      <c r="P40" s="33"/>
      <c r="Q40" s="33"/>
      <c r="R40" s="33"/>
      <c r="S40" s="33"/>
      <c r="T40" s="167"/>
      <c r="U40" s="33"/>
      <c r="V40" s="33"/>
      <c r="W40" s="33"/>
      <c r="X40" s="34"/>
      <c r="Y40" s="35"/>
      <c r="Z40" s="35"/>
      <c r="AA40" s="35"/>
      <c r="AB40" s="36"/>
      <c r="AC40" s="36"/>
      <c r="AD40" s="26"/>
    </row>
    <row r="41" spans="1:30" ht="116" hidden="1" outlineLevel="2" x14ac:dyDescent="0.35">
      <c r="A41" s="93" t="s">
        <v>0</v>
      </c>
      <c r="B41" s="21"/>
      <c r="C41" s="85"/>
      <c r="D41" s="85"/>
      <c r="E41" s="85"/>
      <c r="F41" s="86"/>
      <c r="G41" s="22" t="s">
        <v>23</v>
      </c>
      <c r="H41" s="22" t="s">
        <v>23</v>
      </c>
      <c r="I41" s="23" t="s">
        <v>23</v>
      </c>
      <c r="J41" s="22" t="s">
        <v>23</v>
      </c>
      <c r="K41" s="38"/>
      <c r="L41" s="22"/>
      <c r="M41" s="286" t="str">
        <f ca="1">IFERROR(OFFSET(M41,-1,,1,1)+0.1,OFFSET(M41,-1,-1,1,1)&amp;".1")</f>
        <v>5.1</v>
      </c>
      <c r="N41" s="23" t="s">
        <v>459</v>
      </c>
      <c r="O41" s="23" t="s">
        <v>517</v>
      </c>
      <c r="P41" s="23"/>
      <c r="Q41" s="144">
        <v>22</v>
      </c>
      <c r="R41" s="137">
        <v>50</v>
      </c>
      <c r="S41" s="169">
        <f>CEILING((IF(J41="Yes", 0, IF(H41="-",AA41,AA41+AA41*VLOOKUP(H41,BUFFERS_BY_TYPE,2,FALSE)))) +
   (IF(J41="Yes", 0, IF(H41="-",AA41,AA41+AA41*VLOOKUP(H41,BUFFERS_BY_TYPE,2,FALSE))))*VLOOKUP($S$5, SALES_CALL_SCALE_ARRAY, 2,FALSE),0.25)</f>
        <v>34</v>
      </c>
      <c r="T41" s="170"/>
      <c r="U41" s="24">
        <v>0.2</v>
      </c>
      <c r="V41" s="24">
        <v>0.5</v>
      </c>
      <c r="W41" s="24">
        <v>0.3</v>
      </c>
      <c r="X41" s="168">
        <v>0.03</v>
      </c>
      <c r="Y41" s="169">
        <f>CEILING((IF(P41=AS_DEV_EFFORT, DEV_EFFORT*Q41%,
                           IF(P41=AS_DURATION_EFFORT, (MANUAL_DURATION*5)*Q41%,
                                    (IF(Q41&lt;=1,X41,
                                          IF(SUM(U41:W41)=0,(Q41*X41),
                                               (((Q41*U41)*(X41+(X41*EXTRA_FOR_H)))+
                                               ((Q41*V41)*X41)+
                                               ((Q41*W41)*(X41-(X41*LESS_FOR_L)))
                                    )*IF(R41=0,1,R41))))))+Z41), 0.25)</f>
        <v>34</v>
      </c>
      <c r="Z41" s="25"/>
      <c r="AA41" s="169">
        <f>Y41+Y41*VLOOKUP(I41,EXTRAS_ARRAY,2,FALSE)</f>
        <v>34</v>
      </c>
      <c r="AB41" s="23" t="s">
        <v>570</v>
      </c>
      <c r="AC41" s="37"/>
      <c r="AD41" s="26" t="str">
        <f>IF(J41&lt;&gt;"Yes",
IF(S41&lt;=0,"Error: Effort value is not defined or is invalid.",
IF(AND(SUM(U41:W41)&gt;0,SUM(U41:W41)&lt;&gt;1),"Error: Complexity % distribution should sum to 100%.",
IF(AND(P41=AS_DEV_EFFORT,X41&lt;&gt;0),"Error: PDs should not be defined when defining as dev effort %.",
IF(AND(P41=AS_DURATION_EFFORT,X41&lt;&gt;0),"Error: PDs should not be defined when defining as duration effort %.","")))))</f>
        <v/>
      </c>
    </row>
    <row r="42" spans="1:30" ht="43.5" hidden="1" outlineLevel="2" x14ac:dyDescent="0.35">
      <c r="A42" s="93" t="s">
        <v>0</v>
      </c>
      <c r="B42" s="21"/>
      <c r="C42" s="85"/>
      <c r="D42" s="85"/>
      <c r="E42" s="85"/>
      <c r="F42" s="86"/>
      <c r="G42" s="22" t="s">
        <v>23</v>
      </c>
      <c r="H42" s="22" t="s">
        <v>23</v>
      </c>
      <c r="I42" s="23" t="s">
        <v>23</v>
      </c>
      <c r="J42" s="22" t="s">
        <v>23</v>
      </c>
      <c r="K42" s="38"/>
      <c r="L42" s="22"/>
      <c r="M42" s="286">
        <f ca="1">IFERROR(OFFSET(M42,-1,,1,1)+0.1,OFFSET(M42,-1,-1,1,1)&amp;".1")</f>
        <v>5.1999999999999993</v>
      </c>
      <c r="N42" s="23" t="s">
        <v>460</v>
      </c>
      <c r="O42" s="23"/>
      <c r="P42" s="23" t="s">
        <v>582</v>
      </c>
      <c r="Q42" s="144">
        <v>2</v>
      </c>
      <c r="R42" s="137">
        <v>3</v>
      </c>
      <c r="S42" s="169">
        <f>CEILING((IF(J42="Yes", 0, IF(H42="-",AA42,AA42+AA42*VLOOKUP(H42,BUFFERS_BY_TYPE,2,FALSE)))) +
   (IF(J42="Yes", 0, IF(H42="-",AA42,AA42+AA42*VLOOKUP(H42,BUFFERS_BY_TYPE,2,FALSE))))*VLOOKUP($S$5, SALES_CALL_SCALE_ARRAY, 2,FALSE),0.25)</f>
        <v>5.25</v>
      </c>
      <c r="T42" s="170"/>
      <c r="U42" s="24">
        <v>0.1</v>
      </c>
      <c r="V42" s="24">
        <v>0.2</v>
      </c>
      <c r="W42" s="24">
        <v>0.7</v>
      </c>
      <c r="X42" s="168">
        <v>1</v>
      </c>
      <c r="Y42" s="169">
        <f>CEILING((IF(P42=AS_DEV_EFFORT, DEV_EFFORT*Q42%,
                           IF(P42=AS_DURATION_EFFORT, (MANUAL_DURATION*5)*Q42%,
                                    (IF(Q42&lt;=1,X42,
                                          IF(SUM(U42:W42)=0,(Q42*X42),
                                               (((Q42*U42)*(X42+(X42*EXTRA_FOR_H)))+
                                               ((Q42*V42)*X42)+
                                               ((Q42*W42)*(X42-(X42*LESS_FOR_L)))
                                    )*IF(R42=0,1,R42))))))+Z42), 0.25)</f>
        <v>5.25</v>
      </c>
      <c r="Z42" s="25"/>
      <c r="AA42" s="169">
        <f>Y42+Y42*VLOOKUP(I42,EXTRAS_ARRAY,2,FALSE)</f>
        <v>5.25</v>
      </c>
      <c r="AB42" s="23" t="s">
        <v>571</v>
      </c>
      <c r="AC42" s="37"/>
      <c r="AD42" s="26" t="str">
        <f>IF(J42&lt;&gt;"Yes",
IF(S42&lt;=0,"Error: Effort value is not defined or is invalid.",
IF(AND(SUM(U42:W42)&gt;0,SUM(U42:W42)&lt;&gt;1),"Error: Complexity % distribution should sum to 100%.",
IF(AND(P42=AS_DEV_EFFORT,X42&lt;&gt;0),"Error: PDs should not be defined when defining as dev effort %.",
IF(AND(P42=AS_DURATION_EFFORT,X42&lt;&gt;0),"Error: PDs should not be defined when defining as duration effort %.","")))))</f>
        <v/>
      </c>
    </row>
    <row r="43" spans="1:30" ht="43.5" hidden="1" outlineLevel="2" x14ac:dyDescent="0.35">
      <c r="A43" s="93" t="s">
        <v>0</v>
      </c>
      <c r="B43" s="21"/>
      <c r="C43" s="85"/>
      <c r="D43" s="85"/>
      <c r="E43" s="85"/>
      <c r="F43" s="86"/>
      <c r="G43" s="22" t="s">
        <v>23</v>
      </c>
      <c r="H43" s="22" t="s">
        <v>23</v>
      </c>
      <c r="I43" s="23" t="s">
        <v>23</v>
      </c>
      <c r="J43" s="22" t="s">
        <v>23</v>
      </c>
      <c r="K43" s="38"/>
      <c r="L43" s="22"/>
      <c r="M43" s="286">
        <f ca="1">IFERROR(OFFSET(M43,-1,,1,1)+0.1,OFFSET(M43,-1,-1,1,1)&amp;".1")</f>
        <v>5.2999999999999989</v>
      </c>
      <c r="N43" s="23" t="s">
        <v>461</v>
      </c>
      <c r="O43" s="23"/>
      <c r="P43" s="23"/>
      <c r="Q43" s="144"/>
      <c r="R43" s="137"/>
      <c r="S43" s="169">
        <f>CEILING((IF(J43="Yes", 0, IF(H43="-",AA43,AA43+AA43*VLOOKUP(H43,BUFFERS_BY_TYPE,2,FALSE)))) +
   (IF(J43="Yes", 0, IF(H43="-",AA43,AA43+AA43*VLOOKUP(H43,BUFFERS_BY_TYPE,2,FALSE))))*VLOOKUP($S$5, SALES_CALL_SCALE_ARRAY, 2,FALSE),0.25)</f>
        <v>5</v>
      </c>
      <c r="T43" s="170"/>
      <c r="U43" s="24">
        <v>0</v>
      </c>
      <c r="V43" s="24">
        <v>1</v>
      </c>
      <c r="W43" s="24">
        <v>0</v>
      </c>
      <c r="X43" s="168">
        <v>5</v>
      </c>
      <c r="Y43" s="169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5</v>
      </c>
      <c r="Z43" s="25"/>
      <c r="AA43" s="169">
        <f>Y43+Y43*VLOOKUP(I43,EXTRAS_ARRAY,2,FALSE)</f>
        <v>5</v>
      </c>
      <c r="AB43" s="23"/>
      <c r="AC43" s="37"/>
      <c r="AD43" s="26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s="11" customFormat="1" ht="7.5" hidden="1" customHeight="1" outlineLevel="2" x14ac:dyDescent="0.35">
      <c r="A44" s="93" t="s">
        <v>132</v>
      </c>
      <c r="B44" s="18"/>
      <c r="C44" s="78"/>
      <c r="D44" s="78"/>
      <c r="E44" s="78"/>
      <c r="F44" s="78"/>
      <c r="G44" s="10"/>
      <c r="H44" s="10"/>
      <c r="I44" s="10"/>
      <c r="J44" s="10"/>
      <c r="K44" s="10"/>
      <c r="L44" s="10"/>
      <c r="M44" s="287"/>
      <c r="N44" s="10"/>
      <c r="O44" s="10"/>
      <c r="P44" s="10"/>
      <c r="Q44" s="10"/>
      <c r="R44" s="10"/>
      <c r="S44" s="10"/>
      <c r="T44" s="18"/>
      <c r="U44" s="10"/>
      <c r="V44" s="10"/>
      <c r="W44" s="10"/>
      <c r="X44" s="18"/>
      <c r="Y44" s="10"/>
      <c r="Z44" s="10"/>
      <c r="AA44" s="10"/>
      <c r="AB44" s="60"/>
      <c r="AC44" s="60"/>
      <c r="AD44" s="12"/>
    </row>
    <row r="45" spans="1:30" s="17" customFormat="1" ht="15.5" hidden="1" outlineLevel="1" collapsed="1" x14ac:dyDescent="0.35">
      <c r="A45" s="93" t="s">
        <v>100</v>
      </c>
      <c r="B45" s="21"/>
      <c r="C45" s="84"/>
      <c r="D45" s="84"/>
      <c r="E45" s="84"/>
      <c r="F45" s="83"/>
      <c r="G45" s="32"/>
      <c r="H45" s="32"/>
      <c r="I45" s="32"/>
      <c r="J45" s="32"/>
      <c r="K45" s="32"/>
      <c r="L45" s="20">
        <f ca="1">LOOKUP(1000,INDIRECT("L1:"&amp;CELL("address",INDIRECT("R[-1]C",FALSE))))+1</f>
        <v>6</v>
      </c>
      <c r="M45" s="298" t="s">
        <v>529</v>
      </c>
      <c r="N45" s="298"/>
      <c r="O45" s="5"/>
      <c r="P45" s="33"/>
      <c r="Q45" s="33"/>
      <c r="R45" s="33"/>
      <c r="S45" s="33"/>
      <c r="T45" s="167">
        <f>IF($S$6="Exclude", SUMIFS(S46:S50, J46:J50, "&lt;&gt;Yes", G46:G50, "&lt;&gt;Yes"), SUMIFS(S46:S50, J46:J50, "&lt;&gt;Yes"))</f>
        <v>22</v>
      </c>
      <c r="U45" s="33"/>
      <c r="V45" s="33"/>
      <c r="W45" s="33"/>
      <c r="X45" s="34"/>
      <c r="Y45" s="35"/>
      <c r="Z45" s="35"/>
      <c r="AA45" s="35"/>
      <c r="AB45" s="240"/>
      <c r="AC45" s="36"/>
      <c r="AD45" s="26" t="str">
        <f>IF(M45="", "Error: Task name cannot be empty.", "")</f>
        <v/>
      </c>
    </row>
    <row r="46" spans="1:30" s="15" customFormat="1" ht="1.5" hidden="1" customHeight="1" outlineLevel="2" x14ac:dyDescent="0.35">
      <c r="A46" s="93" t="s">
        <v>101</v>
      </c>
      <c r="B46" s="21"/>
      <c r="C46" s="84"/>
      <c r="D46" s="84"/>
      <c r="E46" s="84"/>
      <c r="F46" s="83"/>
      <c r="G46" s="32"/>
      <c r="H46" s="32"/>
      <c r="I46" s="32"/>
      <c r="J46" s="32"/>
      <c r="K46" s="32"/>
      <c r="L46" s="175">
        <f ca="1">L45</f>
        <v>6</v>
      </c>
      <c r="M46" s="176" t="s">
        <v>105</v>
      </c>
      <c r="N46" s="173"/>
      <c r="O46" s="174"/>
      <c r="P46" s="33"/>
      <c r="Q46" s="33"/>
      <c r="R46" s="33"/>
      <c r="S46" s="33"/>
      <c r="T46" s="167"/>
      <c r="U46" s="33"/>
      <c r="V46" s="33"/>
      <c r="W46" s="33"/>
      <c r="X46" s="34"/>
      <c r="Y46" s="35"/>
      <c r="Z46" s="35"/>
      <c r="AA46" s="35"/>
      <c r="AB46" s="36"/>
      <c r="AC46" s="36"/>
      <c r="AD46" s="26"/>
    </row>
    <row r="47" spans="1:30" ht="43.5" hidden="1" outlineLevel="2" x14ac:dyDescent="0.35">
      <c r="A47" s="93" t="s">
        <v>0</v>
      </c>
      <c r="B47" s="21"/>
      <c r="C47" s="85"/>
      <c r="D47" s="85"/>
      <c r="E47" s="85"/>
      <c r="F47" s="86"/>
      <c r="G47" s="22" t="s">
        <v>6</v>
      </c>
      <c r="H47" s="22" t="s">
        <v>23</v>
      </c>
      <c r="I47" s="23" t="s">
        <v>23</v>
      </c>
      <c r="J47" s="22" t="s">
        <v>23</v>
      </c>
      <c r="K47" s="38"/>
      <c r="L47" s="22"/>
      <c r="M47" s="286" t="str">
        <f t="shared" ref="M47:M49" ca="1" si="0">IFERROR(OFFSET(M47,-1,,1,1)+0.1,OFFSET(M47,-1,-1,1,1)&amp;".1")</f>
        <v>6.1</v>
      </c>
      <c r="N47" s="23" t="s">
        <v>537</v>
      </c>
      <c r="O47" s="23"/>
      <c r="P47" s="23"/>
      <c r="Q47" s="144"/>
      <c r="R47" s="137"/>
      <c r="S47" s="169">
        <f t="shared" ref="S47:S49" si="1">CEILING((IF(J47="Yes", 0, IF(H47="-",AA47,AA47+AA47*VLOOKUP(H47,BUFFERS_BY_TYPE,2,FALSE)))) +
   (IF(J47="Yes", 0, IF(H47="-",AA47,AA47+AA47*VLOOKUP(H47,BUFFERS_BY_TYPE,2,FALSE))))*VLOOKUP($S$5, SALES_CALL_SCALE_ARRAY, 2,FALSE),0.25)</f>
        <v>1</v>
      </c>
      <c r="T47" s="170"/>
      <c r="U47" s="24">
        <v>0</v>
      </c>
      <c r="V47" s="24">
        <v>1</v>
      </c>
      <c r="W47" s="24">
        <v>0</v>
      </c>
      <c r="X47" s="168">
        <v>1</v>
      </c>
      <c r="Y47" s="169">
        <f t="shared" ref="Y47:Y49" si="2">CEILING((IF(P47=AS_DEV_EFFORT, DEV_EFFORT*Q47%,
                           IF(P47=AS_DURATION_EFFORT, (MANUAL_DURATION*5)*Q47%,
                                    (IF(Q47&lt;=1,X47,
                                          IF(SUM(U47:W47)=0,(Q47*X47),
                                               (((Q47*U47)*(X47+(X47*EXTRA_FOR_H)))+
                                               ((Q47*V47)*X47)+
                                               ((Q47*W47)*(X47-(X47*LESS_FOR_L)))
                                    )*IF(R47=0,1,R47))))))+Z47), 0.25)</f>
        <v>1</v>
      </c>
      <c r="Z47" s="25"/>
      <c r="AA47" s="169">
        <f t="shared" ref="AA47:AA49" si="3">Y47+Y47*VLOOKUP(I47,EXTRAS_ARRAY,2,FALSE)</f>
        <v>1</v>
      </c>
      <c r="AB47" s="23"/>
      <c r="AC47" s="37"/>
      <c r="AD47" s="26" t="str">
        <f t="shared" ref="AD47:AD49" si="4">IF(J47&lt;&gt;"Yes",
IF(S47&lt;=0,"Error: Effort value is not defined or is invalid.",
IF(AND(SUM(U47:W47)&gt;0,SUM(U47:W47)&lt;&gt;1),"Error: Complexity % distribution should sum to 100%.",
IF(AND(P47=AS_DEV_EFFORT,X47&lt;&gt;0),"Error: PDs should not be defined when defining as dev effort %.",
IF(AND(P47=AS_DURATION_EFFORT,X47&lt;&gt;0),"Error: PDs should not be defined when defining as duration effort %.","")))))</f>
        <v/>
      </c>
    </row>
    <row r="48" spans="1:30" ht="29" hidden="1" outlineLevel="2" x14ac:dyDescent="0.35">
      <c r="A48" s="93" t="s">
        <v>0</v>
      </c>
      <c r="B48" s="21"/>
      <c r="C48" s="85"/>
      <c r="D48" s="85"/>
      <c r="E48" s="85"/>
      <c r="F48" s="86"/>
      <c r="G48" s="22" t="s">
        <v>6</v>
      </c>
      <c r="H48" s="22" t="s">
        <v>23</v>
      </c>
      <c r="I48" s="23" t="s">
        <v>23</v>
      </c>
      <c r="J48" s="22" t="s">
        <v>23</v>
      </c>
      <c r="K48" s="38"/>
      <c r="L48" s="22"/>
      <c r="M48" s="286">
        <f t="shared" ca="1" si="0"/>
        <v>6.1999999999999993</v>
      </c>
      <c r="N48" s="23" t="s">
        <v>538</v>
      </c>
      <c r="O48" s="23"/>
      <c r="P48" s="23"/>
      <c r="Q48" s="144"/>
      <c r="R48" s="137">
        <v>3</v>
      </c>
      <c r="S48" s="169">
        <f t="shared" si="1"/>
        <v>18</v>
      </c>
      <c r="T48" s="170"/>
      <c r="U48" s="24">
        <v>0</v>
      </c>
      <c r="V48" s="24">
        <v>1</v>
      </c>
      <c r="W48" s="24">
        <v>0</v>
      </c>
      <c r="X48" s="168">
        <v>18</v>
      </c>
      <c r="Y48" s="169">
        <f t="shared" si="2"/>
        <v>18</v>
      </c>
      <c r="Z48" s="25"/>
      <c r="AA48" s="169">
        <f t="shared" si="3"/>
        <v>18</v>
      </c>
      <c r="AB48" s="23" t="s">
        <v>572</v>
      </c>
      <c r="AC48" s="37"/>
      <c r="AD48" s="26" t="str">
        <f t="shared" si="4"/>
        <v/>
      </c>
    </row>
    <row r="49" spans="1:30" ht="43.5" hidden="1" outlineLevel="2" x14ac:dyDescent="0.35">
      <c r="A49" s="93" t="s">
        <v>0</v>
      </c>
      <c r="B49" s="21"/>
      <c r="C49" s="85"/>
      <c r="D49" s="85"/>
      <c r="E49" s="85"/>
      <c r="F49" s="86"/>
      <c r="G49" s="22" t="s">
        <v>6</v>
      </c>
      <c r="H49" s="22" t="s">
        <v>23</v>
      </c>
      <c r="I49" s="23" t="s">
        <v>23</v>
      </c>
      <c r="J49" s="22" t="s">
        <v>23</v>
      </c>
      <c r="K49" s="38"/>
      <c r="L49" s="22"/>
      <c r="M49" s="286">
        <f t="shared" ca="1" si="0"/>
        <v>6.2999999999999989</v>
      </c>
      <c r="N49" s="23" t="s">
        <v>539</v>
      </c>
      <c r="O49" s="23"/>
      <c r="P49" s="23"/>
      <c r="Q49" s="144"/>
      <c r="R49" s="137"/>
      <c r="S49" s="169">
        <f t="shared" si="1"/>
        <v>3</v>
      </c>
      <c r="T49" s="170"/>
      <c r="U49" s="24">
        <v>0</v>
      </c>
      <c r="V49" s="24">
        <v>1</v>
      </c>
      <c r="W49" s="24">
        <v>0</v>
      </c>
      <c r="X49" s="168">
        <v>3</v>
      </c>
      <c r="Y49" s="169">
        <f t="shared" si="2"/>
        <v>3</v>
      </c>
      <c r="Z49" s="25"/>
      <c r="AA49" s="169">
        <f t="shared" si="3"/>
        <v>3</v>
      </c>
      <c r="AB49" s="23"/>
      <c r="AC49" s="37"/>
      <c r="AD49" s="26" t="str">
        <f t="shared" si="4"/>
        <v/>
      </c>
    </row>
    <row r="50" spans="1:30" s="11" customFormat="1" ht="7.5" hidden="1" customHeight="1" outlineLevel="2" x14ac:dyDescent="0.35">
      <c r="A50" s="93" t="s">
        <v>132</v>
      </c>
      <c r="B50" s="18"/>
      <c r="C50" s="78"/>
      <c r="D50" s="78"/>
      <c r="E50" s="78"/>
      <c r="F50" s="78"/>
      <c r="G50" s="10"/>
      <c r="H50" s="10"/>
      <c r="I50" s="10"/>
      <c r="J50" s="10"/>
      <c r="K50" s="10"/>
      <c r="L50" s="10"/>
      <c r="M50" s="287"/>
      <c r="N50" s="10"/>
      <c r="O50" s="10"/>
      <c r="P50" s="10"/>
      <c r="Q50" s="10"/>
      <c r="R50" s="10"/>
      <c r="S50" s="10"/>
      <c r="T50" s="18"/>
      <c r="U50" s="10"/>
      <c r="V50" s="10"/>
      <c r="W50" s="10"/>
      <c r="X50" s="18"/>
      <c r="Y50" s="10"/>
      <c r="Z50" s="10"/>
      <c r="AA50" s="10"/>
      <c r="AB50" s="60"/>
      <c r="AC50" s="60"/>
      <c r="AD50" s="12"/>
    </row>
    <row r="51" spans="1:30" s="17" customFormat="1" ht="15.5" hidden="1" outlineLevel="1" collapsed="1" x14ac:dyDescent="0.35">
      <c r="A51" s="93" t="s">
        <v>100</v>
      </c>
      <c r="B51" s="21"/>
      <c r="C51" s="84"/>
      <c r="D51" s="84"/>
      <c r="E51" s="84"/>
      <c r="F51" s="83"/>
      <c r="G51" s="32"/>
      <c r="H51" s="32"/>
      <c r="I51" s="32"/>
      <c r="J51" s="32"/>
      <c r="K51" s="32"/>
      <c r="L51" s="20">
        <f ca="1">LOOKUP(1000,INDIRECT("L1:"&amp;CELL("address",INDIRECT("R[-1]C",FALSE))))+1</f>
        <v>7</v>
      </c>
      <c r="M51" s="298" t="s">
        <v>530</v>
      </c>
      <c r="N51" s="298"/>
      <c r="O51" s="5"/>
      <c r="P51" s="33"/>
      <c r="Q51" s="33"/>
      <c r="R51" s="33"/>
      <c r="S51" s="33"/>
      <c r="T51" s="167">
        <f>IF($S$6="Exclude", SUMIFS(S52:S57, J52:J57, "&lt;&gt;Yes", G52:G57, "&lt;&gt;Yes"), SUMIFS(S52:S57, J52:J57, "&lt;&gt;Yes"))</f>
        <v>46</v>
      </c>
      <c r="U51" s="33"/>
      <c r="V51" s="33"/>
      <c r="W51" s="33"/>
      <c r="X51" s="34"/>
      <c r="Y51" s="35"/>
      <c r="Z51" s="35"/>
      <c r="AA51" s="35"/>
      <c r="AB51" s="240"/>
      <c r="AC51" s="36"/>
      <c r="AD51" s="26" t="str">
        <f>IF(M51="", "Error: Task name cannot be empty.", "")</f>
        <v/>
      </c>
    </row>
    <row r="52" spans="1:30" s="15" customFormat="1" ht="1.5" hidden="1" customHeight="1" outlineLevel="2" x14ac:dyDescent="0.35">
      <c r="A52" s="93" t="s">
        <v>101</v>
      </c>
      <c r="B52" s="21"/>
      <c r="C52" s="84"/>
      <c r="D52" s="84"/>
      <c r="E52" s="84"/>
      <c r="F52" s="83"/>
      <c r="G52" s="32"/>
      <c r="H52" s="32"/>
      <c r="I52" s="32"/>
      <c r="J52" s="32"/>
      <c r="K52" s="32"/>
      <c r="L52" s="175">
        <f ca="1">L51</f>
        <v>7</v>
      </c>
      <c r="M52" s="176" t="s">
        <v>105</v>
      </c>
      <c r="N52" s="173"/>
      <c r="O52" s="174"/>
      <c r="P52" s="33"/>
      <c r="Q52" s="33"/>
      <c r="R52" s="33"/>
      <c r="S52" s="33"/>
      <c r="T52" s="167"/>
      <c r="U52" s="33"/>
      <c r="V52" s="33"/>
      <c r="W52" s="33"/>
      <c r="X52" s="34"/>
      <c r="Y52" s="35"/>
      <c r="Z52" s="35"/>
      <c r="AA52" s="35"/>
      <c r="AB52" s="36"/>
      <c r="AC52" s="36"/>
      <c r="AD52" s="26"/>
    </row>
    <row r="53" spans="1:30" ht="29" hidden="1" outlineLevel="2" x14ac:dyDescent="0.35">
      <c r="A53" s="93" t="s">
        <v>0</v>
      </c>
      <c r="B53" s="21"/>
      <c r="C53" s="85"/>
      <c r="D53" s="85"/>
      <c r="E53" s="85"/>
      <c r="F53" s="86"/>
      <c r="G53" s="22" t="s">
        <v>23</v>
      </c>
      <c r="H53" s="22" t="s">
        <v>23</v>
      </c>
      <c r="I53" s="23" t="s">
        <v>23</v>
      </c>
      <c r="J53" s="22" t="s">
        <v>23</v>
      </c>
      <c r="K53" s="38"/>
      <c r="L53" s="22"/>
      <c r="M53" s="286" t="str">
        <f ca="1">IFERROR(OFFSET(M53,-1,,1,1)+0.1,OFFSET(M53,-1,-1,1,1)&amp;".1")</f>
        <v>7.1</v>
      </c>
      <c r="N53" s="23" t="s">
        <v>540</v>
      </c>
      <c r="O53" s="23" t="s">
        <v>125</v>
      </c>
      <c r="P53" s="23"/>
      <c r="Q53" s="144"/>
      <c r="R53" s="137">
        <v>15</v>
      </c>
      <c r="S53" s="169">
        <f>CEILING((IF(J53="Yes", 0, IF(H53="-",AA53,AA53+AA53*VLOOKUP(H53,BUFFERS_BY_TYPE,2,FALSE)))) +
   (IF(J53="Yes", 0, IF(H53="-",AA53,AA53+AA53*VLOOKUP(H53,BUFFERS_BY_TYPE,2,FALSE))))*VLOOKUP($S$5, SALES_CALL_SCALE_ARRAY, 2,FALSE),0.25)</f>
        <v>5</v>
      </c>
      <c r="T53" s="170"/>
      <c r="U53" s="24">
        <v>0</v>
      </c>
      <c r="V53" s="24">
        <v>1</v>
      </c>
      <c r="W53" s="24">
        <v>0</v>
      </c>
      <c r="X53" s="168">
        <v>5</v>
      </c>
      <c r="Y53" s="169">
        <f>CEILING((IF(P53=AS_DEV_EFFORT, DEV_EFFORT*Q53%,
                           IF(P53=AS_DURATION_EFFORT, (MANUAL_DURATION*5)*Q53%,
                                    (IF(Q53&lt;=1,X53,
                                          IF(SUM(U53:W53)=0,(Q53*X53),
                                               (((Q53*U53)*(X53+(X53*EXTRA_FOR_H)))+
                                               ((Q53*V53)*X53)+
                                               ((Q53*W53)*(X53-(X53*LESS_FOR_L)))
                                    )*IF(R53=0,1,R53))))))+Z53), 0.25)</f>
        <v>5</v>
      </c>
      <c r="Z53" s="25"/>
      <c r="AA53" s="169">
        <f>Y53+Y53*VLOOKUP(I53,EXTRAS_ARRAY,2,FALSE)</f>
        <v>5</v>
      </c>
      <c r="AB53" s="23" t="s">
        <v>573</v>
      </c>
      <c r="AC53" s="37"/>
      <c r="AD53" s="26" t="str">
        <f>IF(J53&lt;&gt;"Yes",
IF(S53&lt;=0,"Error: Effort value is not defined or is invalid.",
IF(AND(SUM(U53:W53)&gt;0,SUM(U53:W53)&lt;&gt;1),"Error: Complexity % distribution should sum to 100%.",
IF(AND(P53=AS_DEV_EFFORT,X53&lt;&gt;0),"Error: PDs should not be defined when defining as dev effort %.",
IF(AND(P53=AS_DURATION_EFFORT,X53&lt;&gt;0),"Error: PDs should not be defined when defining as duration effort %.","")))))</f>
        <v/>
      </c>
    </row>
    <row r="54" spans="1:30" ht="15.5" hidden="1" outlineLevel="2" x14ac:dyDescent="0.35">
      <c r="A54" s="93" t="s">
        <v>0</v>
      </c>
      <c r="B54" s="21"/>
      <c r="C54" s="85"/>
      <c r="D54" s="85"/>
      <c r="E54" s="85"/>
      <c r="F54" s="86"/>
      <c r="G54" s="22" t="s">
        <v>23</v>
      </c>
      <c r="H54" s="22" t="s">
        <v>23</v>
      </c>
      <c r="I54" s="23" t="s">
        <v>23</v>
      </c>
      <c r="J54" s="22" t="s">
        <v>23</v>
      </c>
      <c r="K54" s="38"/>
      <c r="L54" s="22"/>
      <c r="M54" s="286">
        <f ca="1">IFERROR(OFFSET(M54,-1,,1,1)+0.1,OFFSET(M54,-1,-1,1,1)&amp;".1")</f>
        <v>7.1999999999999993</v>
      </c>
      <c r="N54" s="23" t="s">
        <v>541</v>
      </c>
      <c r="O54" s="23" t="s">
        <v>125</v>
      </c>
      <c r="P54" s="23"/>
      <c r="Q54" s="144"/>
      <c r="R54" s="137">
        <v>15</v>
      </c>
      <c r="S54" s="169">
        <f>CEILING((IF(J54="Yes", 0, IF(H54="-",AA54,AA54+AA54*VLOOKUP(H54,BUFFERS_BY_TYPE,2,FALSE)))) +
   (IF(J54="Yes", 0, IF(H54="-",AA54,AA54+AA54*VLOOKUP(H54,BUFFERS_BY_TYPE,2,FALSE))))*VLOOKUP($S$5, SALES_CALL_SCALE_ARRAY, 2,FALSE),0.25)</f>
        <v>30</v>
      </c>
      <c r="T54" s="170"/>
      <c r="U54" s="24">
        <v>0</v>
      </c>
      <c r="V54" s="24">
        <v>1</v>
      </c>
      <c r="W54" s="24">
        <v>0</v>
      </c>
      <c r="X54" s="168">
        <v>30</v>
      </c>
      <c r="Y54" s="169">
        <f>CEILING((IF(P54=AS_DEV_EFFORT, DEV_EFFORT*Q54%,
                           IF(P54=AS_DURATION_EFFORT, (MANUAL_DURATION*5)*Q54%,
                                    (IF(Q54&lt;=1,X54,
                                          IF(SUM(U54:W54)=0,(Q54*X54),
                                               (((Q54*U54)*(X54+(X54*EXTRA_FOR_H)))+
                                               ((Q54*V54)*X54)+
                                               ((Q54*W54)*(X54-(X54*LESS_FOR_L)))
                                    )*IF(R54=0,1,R54))))))+Z54), 0.25)</f>
        <v>30</v>
      </c>
      <c r="Z54" s="25"/>
      <c r="AA54" s="169">
        <f>Y54+Y54*VLOOKUP(I54,EXTRAS_ARRAY,2,FALSE)</f>
        <v>30</v>
      </c>
      <c r="AB54" s="23" t="s">
        <v>573</v>
      </c>
      <c r="AC54" s="37"/>
      <c r="AD54" s="26" t="str">
        <f>IF(J54&lt;&gt;"Yes",
IF(S54&lt;=0,"Error: Effort value is not defined or is invalid.",
IF(AND(SUM(U54:W54)&gt;0,SUM(U54:W54)&lt;&gt;1),"Error: Complexity % distribution should sum to 100%.",
IF(AND(P54=AS_DEV_EFFORT,X54&lt;&gt;0),"Error: PDs should not be defined when defining as dev effort %.",
IF(AND(P54=AS_DURATION_EFFORT,X54&lt;&gt;0),"Error: PDs should not be defined when defining as duration effort %.","")))))</f>
        <v/>
      </c>
    </row>
    <row r="55" spans="1:30" ht="29" hidden="1" outlineLevel="2" x14ac:dyDescent="0.35">
      <c r="A55" s="93" t="s">
        <v>0</v>
      </c>
      <c r="B55" s="21"/>
      <c r="C55" s="85"/>
      <c r="D55" s="85"/>
      <c r="E55" s="85"/>
      <c r="F55" s="86"/>
      <c r="G55" s="22" t="s">
        <v>6</v>
      </c>
      <c r="H55" s="22" t="s">
        <v>23</v>
      </c>
      <c r="I55" s="23" t="s">
        <v>23</v>
      </c>
      <c r="J55" s="22" t="s">
        <v>23</v>
      </c>
      <c r="K55" s="38"/>
      <c r="L55" s="22"/>
      <c r="M55" s="286">
        <f ca="1">IFERROR(OFFSET(M55,-1,,1,1)+0.1,OFFSET(M55,-1,-1,1,1)&amp;".1")</f>
        <v>7.2999999999999989</v>
      </c>
      <c r="N55" s="23" t="s">
        <v>555</v>
      </c>
      <c r="O55" s="23" t="s">
        <v>557</v>
      </c>
      <c r="P55" s="274">
        <v>0.02</v>
      </c>
      <c r="Q55" s="144"/>
      <c r="R55" s="137">
        <v>1</v>
      </c>
      <c r="S55" s="169">
        <f>CEILING((IF(J55="Yes", 0, IF(H55="-",AA55,AA55+AA55*VLOOKUP(H55,BUFFERS_BY_TYPE,2,FALSE)))) +
   (IF(J55="Yes", 0, IF(H55="-",AA55,AA55+AA55*VLOOKUP(H55,BUFFERS_BY_TYPE,2,FALSE))))*VLOOKUP($S$5, SALES_CALL_SCALE_ARRAY, 2,FALSE),0.25)</f>
        <v>7</v>
      </c>
      <c r="T55" s="170"/>
      <c r="U55" s="24">
        <v>0</v>
      </c>
      <c r="V55" s="24">
        <v>1</v>
      </c>
      <c r="W55" s="24">
        <v>0</v>
      </c>
      <c r="X55" s="168">
        <v>7</v>
      </c>
      <c r="Y55" s="169">
        <f>CEILING((IF(P55=AS_DEV_EFFORT, DEV_EFFORT*Q55%,
                           IF(P55=AS_DURATION_EFFORT, (MANUAL_DURATION*5)*Q55%,
                                    (IF(Q55&lt;=1,X55,
                                          IF(SUM(U55:W55)=0,(Q55*X55),
                                               (((Q55*U55)*(X55+(X55*EXTRA_FOR_H)))+
                                               ((Q55*V55)*X55)+
                                               ((Q55*W55)*(X55-(X55*LESS_FOR_L)))
                                    )*IF(R55=0,1,R55))))))+Z55), 0.25)</f>
        <v>7</v>
      </c>
      <c r="Z55" s="25"/>
      <c r="AA55" s="169">
        <f>Y55+Y55*VLOOKUP(I55,EXTRAS_ARRAY,2,FALSE)</f>
        <v>7</v>
      </c>
      <c r="AB55" s="23" t="s">
        <v>558</v>
      </c>
      <c r="AC55" s="37"/>
      <c r="AD55" s="26" t="str">
        <f>IF(J55&lt;&gt;"Yes",
IF(S55&lt;=0,"Error: Effort value is not defined or is invalid.",
IF(AND(SUM(U55:W55)&gt;0,SUM(U55:W55)&lt;&gt;1),"Error: Complexity % distribution should sum to 100%.",
IF(AND(P55=AS_DEV_EFFORT,X55&lt;&gt;0),"Error: PDs should not be defined when defining as dev effort %.",
IF(AND(P55=AS_DURATION_EFFORT,X55&lt;&gt;0),"Error: PDs should not be defined when defining as duration effort %.","")))))</f>
        <v/>
      </c>
    </row>
    <row r="56" spans="1:30" ht="43.5" hidden="1" outlineLevel="2" x14ac:dyDescent="0.35">
      <c r="A56" s="93" t="s">
        <v>0</v>
      </c>
      <c r="B56" s="21"/>
      <c r="C56" s="85"/>
      <c r="D56" s="85"/>
      <c r="E56" s="85"/>
      <c r="F56" s="86"/>
      <c r="G56" s="22" t="s">
        <v>23</v>
      </c>
      <c r="H56" s="22" t="s">
        <v>23</v>
      </c>
      <c r="I56" s="23" t="s">
        <v>23</v>
      </c>
      <c r="J56" s="22" t="s">
        <v>23</v>
      </c>
      <c r="K56" s="38"/>
      <c r="L56" s="22"/>
      <c r="M56" s="286">
        <f ca="1">IFERROR(OFFSET(M56,-1,,1,1)+0.1,OFFSET(M56,-1,-1,1,1)&amp;".1")</f>
        <v>7.3999999999999986</v>
      </c>
      <c r="N56" s="23" t="s">
        <v>542</v>
      </c>
      <c r="O56" s="23" t="s">
        <v>518</v>
      </c>
      <c r="P56" s="23"/>
      <c r="Q56" s="144"/>
      <c r="R56" s="137"/>
      <c r="S56" s="169">
        <f>CEILING((IF(J56="Yes", 0, IF(H56="-",AA56,AA56+AA56*VLOOKUP(H56,BUFFERS_BY_TYPE,2,FALSE)))) +
   (IF(J56="Yes", 0, IF(H56="-",AA56,AA56+AA56*VLOOKUP(H56,BUFFERS_BY_TYPE,2,FALSE))))*VLOOKUP($S$5, SALES_CALL_SCALE_ARRAY, 2,FALSE),0.25)</f>
        <v>4</v>
      </c>
      <c r="T56" s="170"/>
      <c r="U56" s="24">
        <v>0</v>
      </c>
      <c r="V56" s="24">
        <v>1</v>
      </c>
      <c r="W56" s="24">
        <v>0</v>
      </c>
      <c r="X56" s="168">
        <v>4</v>
      </c>
      <c r="Y56" s="169">
        <f>CEILING((IF(P56=AS_DEV_EFFORT, DEV_EFFORT*Q56%,
                           IF(P56=AS_DURATION_EFFORT, (MANUAL_DURATION*5)*Q56%,
                                    (IF(Q56&lt;=1,X56,
                                          IF(SUM(U56:W56)=0,(Q56*X56),
                                               (((Q56*U56)*(X56+(X56*EXTRA_FOR_H)))+
                                               ((Q56*V56)*X56)+
                                               ((Q56*W56)*(X56-(X56*LESS_FOR_L)))
                                    )*IF(R56=0,1,R56))))))+Z56), 0.25)</f>
        <v>4</v>
      </c>
      <c r="Z56" s="25"/>
      <c r="AA56" s="169">
        <f>Y56+Y56*VLOOKUP(I56,EXTRAS_ARRAY,2,FALSE)</f>
        <v>4</v>
      </c>
      <c r="AB56" s="23"/>
      <c r="AC56" s="37"/>
      <c r="AD56" s="26" t="str">
        <f>IF(J56&lt;&gt;"Yes",
IF(S56&lt;=0,"Error: Effort value is not defined or is invalid.",
IF(AND(SUM(U56:W56)&gt;0,SUM(U56:W56)&lt;&gt;1),"Error: Complexity % distribution should sum to 100%.",
IF(AND(P56=AS_DEV_EFFORT,X56&lt;&gt;0),"Error: PDs should not be defined when defining as dev effort %.",
IF(AND(P56=AS_DURATION_EFFORT,X56&lt;&gt;0),"Error: PDs should not be defined when defining as duration effort %.","")))))</f>
        <v/>
      </c>
    </row>
    <row r="57" spans="1:30" s="11" customFormat="1" ht="7.5" hidden="1" customHeight="1" outlineLevel="2" x14ac:dyDescent="0.35">
      <c r="A57" s="93" t="s">
        <v>132</v>
      </c>
      <c r="B57" s="18"/>
      <c r="C57" s="78"/>
      <c r="D57" s="78"/>
      <c r="E57" s="78"/>
      <c r="F57" s="78"/>
      <c r="G57" s="10"/>
      <c r="H57" s="10"/>
      <c r="I57" s="10"/>
      <c r="J57" s="10"/>
      <c r="K57" s="10"/>
      <c r="L57" s="10"/>
      <c r="M57" s="287"/>
      <c r="N57" s="10"/>
      <c r="O57" s="10"/>
      <c r="P57" s="10"/>
      <c r="Q57" s="10"/>
      <c r="R57" s="10"/>
      <c r="S57" s="10"/>
      <c r="T57" s="18"/>
      <c r="U57" s="10"/>
      <c r="V57" s="10"/>
      <c r="W57" s="10"/>
      <c r="X57" s="18"/>
      <c r="Y57" s="10"/>
      <c r="Z57" s="10"/>
      <c r="AA57" s="10"/>
      <c r="AB57" s="60"/>
      <c r="AC57" s="60"/>
      <c r="AD57" s="12"/>
    </row>
    <row r="58" spans="1:30" s="11" customFormat="1" ht="3" hidden="1" customHeight="1" outlineLevel="1" x14ac:dyDescent="0.35">
      <c r="A58" s="93" t="s">
        <v>102</v>
      </c>
      <c r="B58" s="10"/>
      <c r="C58" s="78"/>
      <c r="D58" s="78"/>
      <c r="E58" s="78"/>
      <c r="F58" s="78"/>
      <c r="G58" s="59"/>
      <c r="H58" s="59"/>
      <c r="I58" s="59"/>
      <c r="J58" s="59"/>
      <c r="K58" s="59"/>
      <c r="L58" s="61"/>
      <c r="M58" s="288"/>
      <c r="N58" s="62"/>
      <c r="O58" s="62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2"/>
      <c r="AC58" s="62"/>
      <c r="AD58" s="12"/>
    </row>
    <row r="59" spans="1:30" s="17" customFormat="1" ht="18.5" collapsed="1" x14ac:dyDescent="0.35">
      <c r="A59" s="93" t="s">
        <v>98</v>
      </c>
      <c r="B59" s="14"/>
      <c r="C59" s="79"/>
      <c r="D59" s="79"/>
      <c r="E59" s="79"/>
      <c r="F59" s="78"/>
      <c r="G59" s="55"/>
      <c r="H59" s="55"/>
      <c r="I59" s="55"/>
      <c r="J59" s="55"/>
      <c r="K59" s="55"/>
      <c r="L59" s="55" t="s">
        <v>68</v>
      </c>
      <c r="M59" s="284" t="s">
        <v>72</v>
      </c>
      <c r="N59" s="56"/>
      <c r="O59" s="57"/>
      <c r="P59" s="58"/>
      <c r="Q59" s="58"/>
      <c r="R59" s="58"/>
      <c r="S59" s="299">
        <f>CEILING(SUMIF(J60:J89, "&lt;&gt;Yes", T60:T89),1)</f>
        <v>148</v>
      </c>
      <c r="T59" s="299"/>
      <c r="U59" s="58"/>
      <c r="V59" s="58"/>
      <c r="W59" s="58"/>
      <c r="X59" s="58"/>
      <c r="Y59" s="58"/>
      <c r="Z59" s="58"/>
      <c r="AA59" s="58"/>
      <c r="AB59" s="58"/>
      <c r="AC59" s="58"/>
      <c r="AD59" s="16"/>
    </row>
    <row r="60" spans="1:30" s="11" customFormat="1" ht="3" hidden="1" customHeight="1" outlineLevel="1" x14ac:dyDescent="0.35">
      <c r="A60" s="93" t="s">
        <v>99</v>
      </c>
      <c r="B60" s="18"/>
      <c r="C60" s="78"/>
      <c r="D60" s="78"/>
      <c r="E60" s="78"/>
      <c r="F60" s="78"/>
      <c r="G60" s="28"/>
      <c r="H60" s="28"/>
      <c r="I60" s="28"/>
      <c r="J60" s="28"/>
      <c r="K60" s="28"/>
      <c r="L60" s="29">
        <v>0</v>
      </c>
      <c r="M60" s="285"/>
      <c r="N60" s="28"/>
      <c r="O60" s="28"/>
      <c r="P60" s="28"/>
      <c r="Q60" s="28"/>
      <c r="R60" s="28"/>
      <c r="S60" s="28"/>
      <c r="T60" s="30"/>
      <c r="U60" s="28"/>
      <c r="V60" s="28"/>
      <c r="W60" s="28"/>
      <c r="X60" s="30"/>
      <c r="Y60" s="28"/>
      <c r="Z60" s="28"/>
      <c r="AA60" s="28"/>
      <c r="AB60" s="31"/>
      <c r="AC60" s="31"/>
      <c r="AD60" s="12"/>
    </row>
    <row r="61" spans="1:30" s="17" customFormat="1" ht="15.5" hidden="1" outlineLevel="1" collapsed="1" x14ac:dyDescent="0.35">
      <c r="A61" s="93" t="s">
        <v>100</v>
      </c>
      <c r="B61" s="21"/>
      <c r="C61" s="84"/>
      <c r="D61" s="84"/>
      <c r="E61" s="84"/>
      <c r="F61" s="83"/>
      <c r="G61" s="32"/>
      <c r="H61" s="32"/>
      <c r="I61" s="32"/>
      <c r="J61" s="32"/>
      <c r="K61" s="32"/>
      <c r="L61" s="20">
        <f ca="1">LOOKUP(1000,INDIRECT("L1:"&amp;CELL("address",INDIRECT("R[-1]C",FALSE))))+1</f>
        <v>1</v>
      </c>
      <c r="M61" s="298" t="s">
        <v>455</v>
      </c>
      <c r="N61" s="298"/>
      <c r="O61" s="5"/>
      <c r="P61" s="33"/>
      <c r="Q61" s="33"/>
      <c r="R61" s="33"/>
      <c r="S61" s="33"/>
      <c r="T61" s="167">
        <f>IF($S$6="Exclude", SUMIFS(S62:S65, J62:J65, "&lt;&gt;Yes", G62:G65, "&lt;&gt;Yes"), SUMIFS(S62:S65, J62:J65, "&lt;&gt;Yes"))</f>
        <v>9.75</v>
      </c>
      <c r="U61" s="33"/>
      <c r="V61" s="33"/>
      <c r="W61" s="33"/>
      <c r="X61" s="34"/>
      <c r="Y61" s="35"/>
      <c r="Z61" s="35"/>
      <c r="AA61" s="35"/>
      <c r="AB61" s="240"/>
      <c r="AC61" s="36"/>
      <c r="AD61" s="26" t="str">
        <f>IF(M61="", "Error: Task name cannot be empty.", "")</f>
        <v/>
      </c>
    </row>
    <row r="62" spans="1:30" s="15" customFormat="1" ht="1.5" hidden="1" customHeight="1" outlineLevel="2" x14ac:dyDescent="0.35">
      <c r="A62" s="93" t="s">
        <v>101</v>
      </c>
      <c r="B62" s="21"/>
      <c r="C62" s="84"/>
      <c r="D62" s="84"/>
      <c r="E62" s="84"/>
      <c r="F62" s="83"/>
      <c r="G62" s="32"/>
      <c r="H62" s="32"/>
      <c r="I62" s="32"/>
      <c r="J62" s="32"/>
      <c r="K62" s="32"/>
      <c r="L62" s="175">
        <f ca="1">L61</f>
        <v>1</v>
      </c>
      <c r="M62" s="176" t="s">
        <v>105</v>
      </c>
      <c r="N62" s="173"/>
      <c r="O62" s="174"/>
      <c r="P62" s="33"/>
      <c r="Q62" s="33"/>
      <c r="R62" s="33"/>
      <c r="S62" s="33"/>
      <c r="T62" s="167"/>
      <c r="U62" s="33"/>
      <c r="V62" s="33"/>
      <c r="W62" s="33"/>
      <c r="X62" s="34"/>
      <c r="Y62" s="35"/>
      <c r="Z62" s="35"/>
      <c r="AA62" s="35"/>
      <c r="AB62" s="36"/>
      <c r="AC62" s="36"/>
      <c r="AD62" s="26"/>
    </row>
    <row r="63" spans="1:30" ht="29" hidden="1" outlineLevel="2" x14ac:dyDescent="0.35">
      <c r="A63" s="93" t="s">
        <v>0</v>
      </c>
      <c r="B63" s="21"/>
      <c r="C63" s="85"/>
      <c r="D63" s="85"/>
      <c r="E63" s="85"/>
      <c r="F63" s="86"/>
      <c r="G63" s="22" t="s">
        <v>23</v>
      </c>
      <c r="H63" s="22" t="s">
        <v>23</v>
      </c>
      <c r="I63" s="23" t="s">
        <v>23</v>
      </c>
      <c r="J63" s="22" t="s">
        <v>23</v>
      </c>
      <c r="K63" s="38"/>
      <c r="L63" s="22"/>
      <c r="M63" s="286" t="str">
        <f ca="1">IFERROR(OFFSET(M63,-1,,1,1)+0.1,OFFSET(M63,-1,-1,1,1)&amp;".1")</f>
        <v>1.1</v>
      </c>
      <c r="N63" s="23" t="s">
        <v>465</v>
      </c>
      <c r="O63" s="23"/>
      <c r="P63" s="23" t="s">
        <v>582</v>
      </c>
      <c r="Q63" s="144">
        <v>2</v>
      </c>
      <c r="R63" s="137">
        <v>2</v>
      </c>
      <c r="S63" s="169">
        <f>CEILING((IF(J63="Yes", 0, IF(H63="-",AA63,AA63+AA63*VLOOKUP(H63,BUFFERS_BY_TYPE,2,FALSE)))) +
   (IF(J63="Yes", 0, IF(H63="-",AA63,AA63+AA63*VLOOKUP(H63,BUFFERS_BY_TYPE,2,FALSE))))*VLOOKUP($S$5, SALES_CALL_SCALE_ARRAY, 2,FALSE),0.25)</f>
        <v>6.25</v>
      </c>
      <c r="T63" s="170"/>
      <c r="U63" s="24">
        <v>0.2</v>
      </c>
      <c r="V63" s="24">
        <v>0.5</v>
      </c>
      <c r="W63" s="24">
        <v>0.3</v>
      </c>
      <c r="X63" s="168">
        <v>1.5</v>
      </c>
      <c r="Y63" s="169">
        <f>CEILING((IF(P63=AS_DEV_EFFORT, DEV_EFFORT*Q63%,
                           IF(P63=AS_DURATION_EFFORT, (MANUAL_DURATION*5)*Q63%,
                                    (IF(Q63&lt;=1,X63,
                                          IF(SUM(U63:W63)=0,(Q63*X63),
                                               (((Q63*U63)*(X63+(X63*EXTRA_FOR_H)))+
                                               ((Q63*V63)*X63)+
                                               ((Q63*W63)*(X63-(X63*LESS_FOR_L)))
                                    )*IF(R63=0,1,R63))))))+Z63), 0.25)</f>
        <v>6.25</v>
      </c>
      <c r="Z63" s="25"/>
      <c r="AA63" s="169">
        <f>Y63+Y63*VLOOKUP(I63,EXTRAS_ARRAY,2,FALSE)</f>
        <v>6.25</v>
      </c>
      <c r="AB63" s="23"/>
      <c r="AC63" s="37"/>
      <c r="AD63" s="26" t="str">
        <f>IF(J63&lt;&gt;"Yes",
IF(S63&lt;=0,"Error: Effort value is not defined or is invalid.",
IF(AND(SUM(U63:W63)&gt;0,SUM(U63:W63)&lt;&gt;1),"Error: Complexity % distribution should sum to 100%.",
IF(AND(P63=AS_DEV_EFFORT,X63&lt;&gt;0),"Error: PDs should not be defined when defining as dev effort %.",
IF(AND(P63=AS_DURATION_EFFORT,X63&lt;&gt;0),"Error: PDs should not be defined when defining as duration effort %.","")))))</f>
        <v/>
      </c>
    </row>
    <row r="64" spans="1:30" ht="29" hidden="1" outlineLevel="2" x14ac:dyDescent="0.35">
      <c r="A64" s="93" t="s">
        <v>0</v>
      </c>
      <c r="B64" s="21"/>
      <c r="C64" s="85"/>
      <c r="D64" s="85"/>
      <c r="E64" s="85"/>
      <c r="F64" s="86"/>
      <c r="G64" s="22" t="s">
        <v>23</v>
      </c>
      <c r="H64" s="22" t="s">
        <v>23</v>
      </c>
      <c r="I64" s="23" t="s">
        <v>23</v>
      </c>
      <c r="J64" s="22" t="s">
        <v>23</v>
      </c>
      <c r="K64" s="38"/>
      <c r="L64" s="22"/>
      <c r="M64" s="286">
        <f ca="1">IFERROR(OFFSET(M64,-1,,1,1)+0.1,OFFSET(M64,-1,-1,1,1)&amp;".1")</f>
        <v>1.2000000000000002</v>
      </c>
      <c r="N64" s="23" t="s">
        <v>466</v>
      </c>
      <c r="O64" s="23"/>
      <c r="P64" s="23" t="s">
        <v>582</v>
      </c>
      <c r="Q64" s="144">
        <v>2</v>
      </c>
      <c r="R64" s="137">
        <v>2</v>
      </c>
      <c r="S64" s="169">
        <f>CEILING((IF(J64="Yes", 0, IF(H64="-",AA64,AA64+AA64*VLOOKUP(H64,BUFFERS_BY_TYPE,2,FALSE)))) +
   (IF(J64="Yes", 0, IF(H64="-",AA64,AA64+AA64*VLOOKUP(H64,BUFFERS_BY_TYPE,2,FALSE))))*VLOOKUP($S$5, SALES_CALL_SCALE_ARRAY, 2,FALSE),0.25)</f>
        <v>3.5</v>
      </c>
      <c r="T64" s="170"/>
      <c r="U64" s="24">
        <v>0.2</v>
      </c>
      <c r="V64" s="24">
        <v>0.5</v>
      </c>
      <c r="W64" s="24">
        <v>0.3</v>
      </c>
      <c r="X64" s="168">
        <v>0.8</v>
      </c>
      <c r="Y64" s="169">
        <f>CEILING((IF(P64=AS_DEV_EFFORT, DEV_EFFORT*Q64%,
                           IF(P64=AS_DURATION_EFFORT, (MANUAL_DURATION*5)*Q64%,
                                    (IF(Q64&lt;=1,X64,
                                          IF(SUM(U64:W64)=0,(Q64*X64),
                                               (((Q64*U64)*(X64+(X64*EXTRA_FOR_H)))+
                                               ((Q64*V64)*X64)+
                                               ((Q64*W64)*(X64-(X64*LESS_FOR_L)))
                                    )*IF(R64=0,1,R64))))))+Z64), 0.25)</f>
        <v>3.5</v>
      </c>
      <c r="Z64" s="25"/>
      <c r="AA64" s="169">
        <f>Y64+Y64*VLOOKUP(I64,EXTRAS_ARRAY,2,FALSE)</f>
        <v>3.5</v>
      </c>
      <c r="AB64" s="23"/>
      <c r="AC64" s="37"/>
      <c r="AD64" s="26" t="str">
        <f>IF(J64&lt;&gt;"Yes",
IF(S64&lt;=0,"Error: Effort value is not defined or is invalid.",
IF(AND(SUM(U64:W64)&gt;0,SUM(U64:W64)&lt;&gt;1),"Error: Complexity % distribution should sum to 100%.",
IF(AND(P64=AS_DEV_EFFORT,X64&lt;&gt;0),"Error: PDs should not be defined when defining as dev effort %.",
IF(AND(P64=AS_DURATION_EFFORT,X64&lt;&gt;0),"Error: PDs should not be defined when defining as duration effort %.","")))))</f>
        <v/>
      </c>
    </row>
    <row r="65" spans="1:30" s="11" customFormat="1" ht="7.5" hidden="1" customHeight="1" outlineLevel="2" x14ac:dyDescent="0.35">
      <c r="A65" s="93" t="s">
        <v>132</v>
      </c>
      <c r="B65" s="18"/>
      <c r="C65" s="78"/>
      <c r="D65" s="78"/>
      <c r="E65" s="78"/>
      <c r="F65" s="78"/>
      <c r="G65" s="10"/>
      <c r="H65" s="10"/>
      <c r="I65" s="10"/>
      <c r="J65" s="10"/>
      <c r="K65" s="10"/>
      <c r="L65" s="10"/>
      <c r="M65" s="287"/>
      <c r="N65" s="10"/>
      <c r="O65" s="10"/>
      <c r="P65" s="10"/>
      <c r="Q65" s="10"/>
      <c r="R65" s="10"/>
      <c r="S65" s="10"/>
      <c r="T65" s="18"/>
      <c r="U65" s="10"/>
      <c r="V65" s="10"/>
      <c r="W65" s="10"/>
      <c r="X65" s="18"/>
      <c r="Y65" s="10"/>
      <c r="Z65" s="10"/>
      <c r="AA65" s="10"/>
      <c r="AB65" s="60"/>
      <c r="AC65" s="60"/>
      <c r="AD65" s="12"/>
    </row>
    <row r="66" spans="1:30" s="17" customFormat="1" ht="15.5" hidden="1" outlineLevel="1" collapsed="1" x14ac:dyDescent="0.35">
      <c r="A66" s="93" t="s">
        <v>100</v>
      </c>
      <c r="B66" s="21"/>
      <c r="C66" s="84"/>
      <c r="D66" s="84"/>
      <c r="E66" s="84"/>
      <c r="F66" s="83"/>
      <c r="G66" s="32"/>
      <c r="H66" s="32"/>
      <c r="I66" s="32"/>
      <c r="J66" s="32"/>
      <c r="K66" s="32"/>
      <c r="L66" s="20">
        <f ca="1">LOOKUP(1000,INDIRECT("L1:"&amp;CELL("address",INDIRECT("R[-1]C",FALSE))))+1</f>
        <v>2</v>
      </c>
      <c r="M66" s="298" t="s">
        <v>462</v>
      </c>
      <c r="N66" s="298"/>
      <c r="O66" s="5"/>
      <c r="P66" s="33"/>
      <c r="Q66" s="33"/>
      <c r="R66" s="33"/>
      <c r="S66" s="33"/>
      <c r="T66" s="167">
        <f>IF($S$6="Exclude", SUMIFS(S67:S70, J67:J70, "&lt;&gt;Yes", G67:G70, "&lt;&gt;Yes"), SUMIFS(S67:S70, J67:J70, "&lt;&gt;Yes"))</f>
        <v>12</v>
      </c>
      <c r="U66" s="33"/>
      <c r="V66" s="33"/>
      <c r="W66" s="33"/>
      <c r="X66" s="34"/>
      <c r="Y66" s="35"/>
      <c r="Z66" s="35"/>
      <c r="AA66" s="35"/>
      <c r="AB66" s="240"/>
      <c r="AC66" s="36"/>
      <c r="AD66" s="26" t="str">
        <f>IF(M66="", "Error: Task name cannot be empty.", "")</f>
        <v/>
      </c>
    </row>
    <row r="67" spans="1:30" s="15" customFormat="1" ht="1.5" hidden="1" customHeight="1" outlineLevel="2" x14ac:dyDescent="0.35">
      <c r="A67" s="93" t="s">
        <v>101</v>
      </c>
      <c r="B67" s="21"/>
      <c r="C67" s="84"/>
      <c r="D67" s="84"/>
      <c r="E67" s="84"/>
      <c r="F67" s="83"/>
      <c r="G67" s="32"/>
      <c r="H67" s="32"/>
      <c r="I67" s="32"/>
      <c r="J67" s="32"/>
      <c r="K67" s="32"/>
      <c r="L67" s="175">
        <f ca="1">L66</f>
        <v>2</v>
      </c>
      <c r="M67" s="176" t="s">
        <v>105</v>
      </c>
      <c r="N67" s="173"/>
      <c r="O67" s="174"/>
      <c r="P67" s="33"/>
      <c r="Q67" s="33"/>
      <c r="R67" s="33"/>
      <c r="S67" s="33"/>
      <c r="T67" s="167"/>
      <c r="U67" s="33"/>
      <c r="V67" s="33"/>
      <c r="W67" s="33"/>
      <c r="X67" s="34"/>
      <c r="Y67" s="35"/>
      <c r="Z67" s="35"/>
      <c r="AA67" s="35"/>
      <c r="AB67" s="36"/>
      <c r="AC67" s="36"/>
      <c r="AD67" s="26"/>
    </row>
    <row r="68" spans="1:30" ht="58" hidden="1" outlineLevel="2" x14ac:dyDescent="0.35">
      <c r="A68" s="93" t="s">
        <v>0</v>
      </c>
      <c r="B68" s="21"/>
      <c r="C68" s="85"/>
      <c r="D68" s="85"/>
      <c r="E68" s="85"/>
      <c r="F68" s="86"/>
      <c r="G68" s="22" t="s">
        <v>23</v>
      </c>
      <c r="H68" s="22" t="s">
        <v>23</v>
      </c>
      <c r="I68" s="23" t="s">
        <v>23</v>
      </c>
      <c r="J68" s="22" t="s">
        <v>23</v>
      </c>
      <c r="K68" s="38"/>
      <c r="L68" s="22"/>
      <c r="M68" s="286" t="str">
        <f ca="1">IFERROR(OFFSET(M68,-1,,1,1)+0.1,OFFSET(M68,-1,-1,1,1)&amp;".1")</f>
        <v>2.1</v>
      </c>
      <c r="N68" s="23" t="s">
        <v>574</v>
      </c>
      <c r="O68" s="23"/>
      <c r="P68" s="23" t="s">
        <v>582</v>
      </c>
      <c r="Q68" s="144">
        <v>2</v>
      </c>
      <c r="R68" s="137">
        <v>1</v>
      </c>
      <c r="S68" s="169">
        <f>CEILING((IF(J68="Yes", 0, IF(H68="-",AA68,AA68+AA68*VLOOKUP(H68,BUFFERS_BY_TYPE,2,FALSE)))) +
   (IF(J68="Yes", 0, IF(H68="-",AA68,AA68+AA68*VLOOKUP(H68,BUFFERS_BY_TYPE,2,FALSE))))*VLOOKUP($S$5, SALES_CALL_SCALE_ARRAY, 2,FALSE),0.25)</f>
        <v>10</v>
      </c>
      <c r="T68" s="170"/>
      <c r="U68" s="24">
        <v>0.3</v>
      </c>
      <c r="V68" s="24">
        <v>0.5</v>
      </c>
      <c r="W68" s="24">
        <v>0.2</v>
      </c>
      <c r="X68" s="168">
        <v>4.5</v>
      </c>
      <c r="Y68" s="169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10</v>
      </c>
      <c r="Z68" s="25"/>
      <c r="AA68" s="169">
        <f>Y68+Y68*VLOOKUP(I68,EXTRAS_ARRAY,2,FALSE)</f>
        <v>10</v>
      </c>
      <c r="AB68" s="23"/>
      <c r="AC68" s="37"/>
      <c r="AD68" s="26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58" hidden="1" outlineLevel="2" x14ac:dyDescent="0.35">
      <c r="A69" s="93" t="s">
        <v>0</v>
      </c>
      <c r="B69" s="21"/>
      <c r="C69" s="85"/>
      <c r="D69" s="85"/>
      <c r="E69" s="85"/>
      <c r="F69" s="86"/>
      <c r="G69" s="22" t="s">
        <v>23</v>
      </c>
      <c r="H69" s="22" t="s">
        <v>23</v>
      </c>
      <c r="I69" s="23" t="s">
        <v>23</v>
      </c>
      <c r="J69" s="22" t="s">
        <v>23</v>
      </c>
      <c r="K69" s="38"/>
      <c r="L69" s="22"/>
      <c r="M69" s="286">
        <f ca="1">IFERROR(OFFSET(M69,-1,,1,1)+0.1,OFFSET(M69,-1,-1,1,1)&amp;".1")</f>
        <v>2.2000000000000002</v>
      </c>
      <c r="N69" s="23" t="s">
        <v>661</v>
      </c>
      <c r="O69" s="23"/>
      <c r="P69" s="23"/>
      <c r="Q69" s="144">
        <v>1</v>
      </c>
      <c r="R69" s="137">
        <v>1</v>
      </c>
      <c r="S69" s="169">
        <f>CEILING((IF(J69="Yes", 0, IF(H69="-",AA69,AA69+AA69*VLOOKUP(H69,BUFFERS_BY_TYPE,2,FALSE)))) +
   (IF(J69="Yes", 0, IF(H69="-",AA69,AA69+AA69*VLOOKUP(H69,BUFFERS_BY_TYPE,2,FALSE))))*VLOOKUP($S$5, SALES_CALL_SCALE_ARRAY, 2,FALSE),0.25)</f>
        <v>2</v>
      </c>
      <c r="T69" s="170"/>
      <c r="U69" s="24">
        <v>0</v>
      </c>
      <c r="V69" s="24">
        <v>1</v>
      </c>
      <c r="W69" s="24">
        <v>0</v>
      </c>
      <c r="X69" s="168">
        <v>2</v>
      </c>
      <c r="Y69" s="169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</v>
      </c>
      <c r="Z69" s="25"/>
      <c r="AA69" s="169">
        <f>Y69+Y69*VLOOKUP(I69,EXTRAS_ARRAY,2,FALSE)</f>
        <v>2</v>
      </c>
      <c r="AB69" s="23" t="s">
        <v>445</v>
      </c>
      <c r="AC69" s="37"/>
      <c r="AD69" s="26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11" customFormat="1" ht="7.5" hidden="1" customHeight="1" outlineLevel="2" x14ac:dyDescent="0.35">
      <c r="A70" s="93" t="s">
        <v>132</v>
      </c>
      <c r="B70" s="18"/>
      <c r="C70" s="78"/>
      <c r="D70" s="78"/>
      <c r="E70" s="78"/>
      <c r="F70" s="78"/>
      <c r="G70" s="10"/>
      <c r="H70" s="10"/>
      <c r="I70" s="10"/>
      <c r="J70" s="10"/>
      <c r="K70" s="10"/>
      <c r="L70" s="10"/>
      <c r="M70" s="287"/>
      <c r="N70" s="10"/>
      <c r="O70" s="10"/>
      <c r="P70" s="10"/>
      <c r="Q70" s="10"/>
      <c r="R70" s="10"/>
      <c r="S70" s="10"/>
      <c r="T70" s="18"/>
      <c r="U70" s="10"/>
      <c r="V70" s="10"/>
      <c r="W70" s="10"/>
      <c r="X70" s="18"/>
      <c r="Y70" s="10"/>
      <c r="Z70" s="10"/>
      <c r="AA70" s="10"/>
      <c r="AB70" s="60"/>
      <c r="AC70" s="60"/>
      <c r="AD70" s="12"/>
    </row>
    <row r="71" spans="1:30" s="17" customFormat="1" ht="15.5" hidden="1" outlineLevel="1" collapsed="1" x14ac:dyDescent="0.35">
      <c r="A71" s="93" t="s">
        <v>100</v>
      </c>
      <c r="B71" s="21"/>
      <c r="C71" s="84"/>
      <c r="D71" s="84"/>
      <c r="E71" s="84"/>
      <c r="F71" s="83"/>
      <c r="G71" s="32"/>
      <c r="H71" s="32"/>
      <c r="I71" s="32"/>
      <c r="J71" s="32"/>
      <c r="K71" s="32"/>
      <c r="L71" s="20">
        <f ca="1">LOOKUP(1000,INDIRECT("L1:"&amp;CELL("address",INDIRECT("R[-1]C",FALSE))))+1</f>
        <v>3</v>
      </c>
      <c r="M71" s="298" t="s">
        <v>470</v>
      </c>
      <c r="N71" s="298"/>
      <c r="O71" s="5"/>
      <c r="P71" s="33"/>
      <c r="Q71" s="33"/>
      <c r="R71" s="33"/>
      <c r="S71" s="33"/>
      <c r="T71" s="167">
        <f>IF($S$6="Exclude", SUMIFS(S72:S78, J72:J78, "&lt;&gt;Yes", G72:G78, "&lt;&gt;Yes"), SUMIFS(S72:S78, J72:J78, "&lt;&gt;Yes"))</f>
        <v>49.75</v>
      </c>
      <c r="U71" s="33"/>
      <c r="V71" s="33"/>
      <c r="W71" s="33"/>
      <c r="X71" s="34"/>
      <c r="Y71" s="35"/>
      <c r="Z71" s="35"/>
      <c r="AA71" s="35"/>
      <c r="AB71" s="240"/>
      <c r="AC71" s="36"/>
      <c r="AD71" s="26" t="str">
        <f>IF(M71="", "Error: Task name cannot be empty.", "")</f>
        <v/>
      </c>
    </row>
    <row r="72" spans="1:30" s="15" customFormat="1" ht="1.5" hidden="1" customHeight="1" outlineLevel="2" x14ac:dyDescent="0.35">
      <c r="A72" s="93" t="s">
        <v>101</v>
      </c>
      <c r="B72" s="21"/>
      <c r="C72" s="84"/>
      <c r="D72" s="84"/>
      <c r="E72" s="84"/>
      <c r="F72" s="83"/>
      <c r="G72" s="32"/>
      <c r="H72" s="32"/>
      <c r="I72" s="32"/>
      <c r="J72" s="32"/>
      <c r="K72" s="32"/>
      <c r="L72" s="175">
        <f ca="1">L71</f>
        <v>3</v>
      </c>
      <c r="M72" s="176" t="s">
        <v>105</v>
      </c>
      <c r="N72" s="173"/>
      <c r="O72" s="174"/>
      <c r="P72" s="33"/>
      <c r="Q72" s="33"/>
      <c r="R72" s="33"/>
      <c r="S72" s="33"/>
      <c r="T72" s="167"/>
      <c r="U72" s="33"/>
      <c r="V72" s="33"/>
      <c r="W72" s="33"/>
      <c r="X72" s="34"/>
      <c r="Y72" s="35"/>
      <c r="Z72" s="35"/>
      <c r="AA72" s="35"/>
      <c r="AB72" s="36"/>
      <c r="AC72" s="36"/>
      <c r="AD72" s="26"/>
    </row>
    <row r="73" spans="1:30" ht="43.5" hidden="1" outlineLevel="2" x14ac:dyDescent="0.35">
      <c r="A73" s="93" t="s">
        <v>0</v>
      </c>
      <c r="B73" s="21"/>
      <c r="C73" s="85"/>
      <c r="D73" s="85"/>
      <c r="E73" s="85"/>
      <c r="F73" s="86"/>
      <c r="G73" s="22" t="s">
        <v>23</v>
      </c>
      <c r="H73" s="22" t="s">
        <v>23</v>
      </c>
      <c r="I73" s="23" t="s">
        <v>23</v>
      </c>
      <c r="J73" s="22" t="s">
        <v>23</v>
      </c>
      <c r="K73" s="38"/>
      <c r="L73" s="22"/>
      <c r="M73" s="286" t="str">
        <f ca="1">IFERROR(OFFSET(M73,-1,,1,1)+0.1,OFFSET(M73,-1,-1,1,1)&amp;".1")</f>
        <v>3.1</v>
      </c>
      <c r="N73" s="23" t="s">
        <v>467</v>
      </c>
      <c r="O73" s="23"/>
      <c r="P73" s="23" t="s">
        <v>582</v>
      </c>
      <c r="Q73" s="144">
        <v>2</v>
      </c>
      <c r="R73" s="137">
        <v>2</v>
      </c>
      <c r="S73" s="169">
        <f>CEILING((IF(J73="Yes", 0, IF(H73="-",AA73,AA73+AA73*VLOOKUP(H73,BUFFERS_BY_TYPE,2,FALSE)))) +
   (IF(J73="Yes", 0, IF(H73="-",AA73,AA73+AA73*VLOOKUP(H73,BUFFERS_BY_TYPE,2,FALSE))))*VLOOKUP($S$5, SALES_CALL_SCALE_ARRAY, 2,FALSE),0.25)</f>
        <v>10</v>
      </c>
      <c r="T73" s="170"/>
      <c r="U73" s="24">
        <v>0</v>
      </c>
      <c r="V73" s="24">
        <v>1</v>
      </c>
      <c r="W73" s="24">
        <v>0</v>
      </c>
      <c r="X73" s="168">
        <v>2.5</v>
      </c>
      <c r="Y73" s="169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10</v>
      </c>
      <c r="Z73" s="25"/>
      <c r="AA73" s="169">
        <f>Y73+Y73*VLOOKUP(I73,EXTRAS_ARRAY,2,FALSE)</f>
        <v>10</v>
      </c>
      <c r="AB73" s="23"/>
      <c r="AC73" s="37"/>
      <c r="AD73" s="26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ht="43.5" hidden="1" outlineLevel="2" x14ac:dyDescent="0.35">
      <c r="A74" s="93" t="s">
        <v>0</v>
      </c>
      <c r="B74" s="21"/>
      <c r="C74" s="85"/>
      <c r="D74" s="85"/>
      <c r="E74" s="85"/>
      <c r="F74" s="86"/>
      <c r="G74" s="22" t="s">
        <v>23</v>
      </c>
      <c r="H74" s="22" t="s">
        <v>23</v>
      </c>
      <c r="I74" s="23" t="s">
        <v>23</v>
      </c>
      <c r="J74" s="22" t="s">
        <v>23</v>
      </c>
      <c r="K74" s="38"/>
      <c r="L74" s="22"/>
      <c r="M74" s="286">
        <f ca="1">IFERROR(OFFSET(M74,-1,,1,1)+0.1,OFFSET(M74,-1,-1,1,1)&amp;".1")</f>
        <v>3.2</v>
      </c>
      <c r="N74" s="23" t="s">
        <v>468</v>
      </c>
      <c r="O74" s="23"/>
      <c r="P74" s="23" t="s">
        <v>582</v>
      </c>
      <c r="Q74" s="144">
        <v>3</v>
      </c>
      <c r="R74" s="137">
        <v>2</v>
      </c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>18.5</v>
      </c>
      <c r="T74" s="170"/>
      <c r="U74" s="24">
        <v>0.2</v>
      </c>
      <c r="V74" s="24">
        <v>0.5</v>
      </c>
      <c r="W74" s="24">
        <v>0.3</v>
      </c>
      <c r="X74" s="168">
        <v>3</v>
      </c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18.5</v>
      </c>
      <c r="Z74" s="25"/>
      <c r="AA74" s="169">
        <f>Y74+Y74*VLOOKUP(I74,EXTRAS_ARRAY,2,FALSE)</f>
        <v>18.5</v>
      </c>
      <c r="AB74" s="23"/>
      <c r="AC74" s="37"/>
      <c r="AD74" s="26" t="str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/>
      </c>
    </row>
    <row r="75" spans="1:30" ht="72.5" hidden="1" outlineLevel="2" x14ac:dyDescent="0.35">
      <c r="A75" s="93" t="s">
        <v>0</v>
      </c>
      <c r="B75" s="21"/>
      <c r="C75" s="85"/>
      <c r="D75" s="85"/>
      <c r="E75" s="85"/>
      <c r="F75" s="86"/>
      <c r="G75" s="22" t="s">
        <v>23</v>
      </c>
      <c r="H75" s="22" t="s">
        <v>23</v>
      </c>
      <c r="I75" s="23" t="s">
        <v>23</v>
      </c>
      <c r="J75" s="22" t="s">
        <v>23</v>
      </c>
      <c r="K75" s="38"/>
      <c r="L75" s="22"/>
      <c r="M75" s="286">
        <f ca="1">IFERROR(OFFSET(M75,-1,,1,1)+0.1,OFFSET(M75,-1,-1,1,1)&amp;".1")</f>
        <v>3.3000000000000003</v>
      </c>
      <c r="N75" s="23" t="s">
        <v>575</v>
      </c>
      <c r="O75" s="23"/>
      <c r="P75" s="23" t="s">
        <v>582</v>
      </c>
      <c r="Q75" s="144">
        <v>2</v>
      </c>
      <c r="R75" s="137">
        <v>2</v>
      </c>
      <c r="S75" s="169">
        <f>CEILING((IF(J75="Yes", 0, IF(H75="-",AA75,AA75+AA75*VLOOKUP(H75,BUFFERS_BY_TYPE,2,FALSE)))) +
   (IF(J75="Yes", 0, IF(H75="-",AA75,AA75+AA75*VLOOKUP(H75,BUFFERS_BY_TYPE,2,FALSE))))*VLOOKUP($S$5, SALES_CALL_SCALE_ARRAY, 2,FALSE),0.25)</f>
        <v>10.25</v>
      </c>
      <c r="T75" s="170"/>
      <c r="U75" s="24">
        <v>0.2</v>
      </c>
      <c r="V75" s="24">
        <v>0.5</v>
      </c>
      <c r="W75" s="24">
        <v>0.3</v>
      </c>
      <c r="X75" s="168">
        <v>2.5</v>
      </c>
      <c r="Y75" s="169">
        <f>CEILING((IF(P75=AS_DEV_EFFORT, DEV_EFFORT*Q75%,
                           IF(P75=AS_DURATION_EFFORT, (MANUAL_DURATION*5)*Q75%,
                                    (IF(Q75&lt;=1,X75,
                                          IF(SUM(U75:W75)=0,(Q75*X75),
                                               (((Q75*U75)*(X75+(X75*EXTRA_FOR_H)))+
                                               ((Q75*V75)*X75)+
                                               ((Q75*W75)*(X75-(X75*LESS_FOR_L)))
                                    )*IF(R75=0,1,R75))))))+Z75), 0.25)</f>
        <v>10.25</v>
      </c>
      <c r="Z75" s="25"/>
      <c r="AA75" s="169">
        <f>Y75+Y75*VLOOKUP(I75,EXTRAS_ARRAY,2,FALSE)</f>
        <v>10.25</v>
      </c>
      <c r="AB75" s="23"/>
      <c r="AC75" s="37"/>
      <c r="AD75" s="26" t="str">
        <f>IF(J75&lt;&gt;"Yes",
IF(S75&lt;=0,"Error: Effort value is not defined or is invalid.",
IF(AND(SUM(U75:W75)&gt;0,SUM(U75:W75)&lt;&gt;1),"Error: Complexity % distribution should sum to 100%.",
IF(AND(P75=AS_DEV_EFFORT,X75&lt;&gt;0),"Error: PDs should not be defined when defining as dev effort %.",
IF(AND(P75=AS_DURATION_EFFORT,X75&lt;&gt;0),"Error: PDs should not be defined when defining as duration effort %.","")))))</f>
        <v/>
      </c>
    </row>
    <row r="76" spans="1:30" ht="29" hidden="1" outlineLevel="2" x14ac:dyDescent="0.35">
      <c r="A76" s="93" t="s">
        <v>0</v>
      </c>
      <c r="B76" s="21"/>
      <c r="C76" s="85"/>
      <c r="D76" s="85"/>
      <c r="E76" s="85"/>
      <c r="F76" s="86"/>
      <c r="G76" s="22" t="s">
        <v>23</v>
      </c>
      <c r="H76" s="22" t="s">
        <v>23</v>
      </c>
      <c r="I76" s="23" t="s">
        <v>23</v>
      </c>
      <c r="J76" s="22" t="s">
        <v>23</v>
      </c>
      <c r="K76" s="38"/>
      <c r="L76" s="22"/>
      <c r="M76" s="286">
        <f ca="1">IFERROR(OFFSET(M76,-1,,1,1)+0.1,OFFSET(M76,-1,-1,1,1)&amp;".1")</f>
        <v>3.4000000000000004</v>
      </c>
      <c r="N76" s="23" t="s">
        <v>576</v>
      </c>
      <c r="O76" s="23"/>
      <c r="P76" s="23" t="s">
        <v>582</v>
      </c>
      <c r="Q76" s="144">
        <v>2</v>
      </c>
      <c r="R76" s="137">
        <v>1</v>
      </c>
      <c r="S76" s="169">
        <f>CEILING((IF(J76="Yes", 0, IF(H76="-",AA76,AA76+AA76*VLOOKUP(H76,BUFFERS_BY_TYPE,2,FALSE)))) +
   (IF(J76="Yes", 0, IF(H76="-",AA76,AA76+AA76*VLOOKUP(H76,BUFFERS_BY_TYPE,2,FALSE))))*VLOOKUP($S$5, SALES_CALL_SCALE_ARRAY, 2,FALSE),0.25)</f>
        <v>6</v>
      </c>
      <c r="T76" s="170"/>
      <c r="U76" s="24">
        <v>0</v>
      </c>
      <c r="V76" s="24">
        <v>1</v>
      </c>
      <c r="W76" s="24">
        <v>0</v>
      </c>
      <c r="X76" s="168">
        <v>3</v>
      </c>
      <c r="Y76" s="169">
        <f>CEILING((IF(P76=AS_DEV_EFFORT, DEV_EFFORT*Q76%,
                           IF(P76=AS_DURATION_EFFORT, (MANUAL_DURATION*5)*Q76%,
                                    (IF(Q76&lt;=1,X76,
                                          IF(SUM(U76:W76)=0,(Q76*X76),
                                               (((Q76*U76)*(X76+(X76*EXTRA_FOR_H)))+
                                               ((Q76*V76)*X76)+
                                               ((Q76*W76)*(X76-(X76*LESS_FOR_L)))
                                    )*IF(R76=0,1,R76))))))+Z76), 0.25)</f>
        <v>6</v>
      </c>
      <c r="Z76" s="25"/>
      <c r="AA76" s="169">
        <f>Y76+Y76*VLOOKUP(I76,EXTRAS_ARRAY,2,FALSE)</f>
        <v>6</v>
      </c>
      <c r="AB76" s="23" t="s">
        <v>445</v>
      </c>
      <c r="AC76" s="37"/>
      <c r="AD76" s="26" t="str">
        <f>IF(J76&lt;&gt;"Yes",
IF(S76&lt;=0,"Error: Effort value is not defined or is invalid.",
IF(AND(SUM(U76:W76)&gt;0,SUM(U76:W76)&lt;&gt;1),"Error: Complexity % distribution should sum to 100%.",
IF(AND(P76=AS_DEV_EFFORT,X76&lt;&gt;0),"Error: PDs should not be defined when defining as dev effort %.",
IF(AND(P76=AS_DURATION_EFFORT,X76&lt;&gt;0),"Error: PDs should not be defined when defining as duration effort %.","")))))</f>
        <v/>
      </c>
    </row>
    <row r="77" spans="1:30" ht="43.5" hidden="1" outlineLevel="2" x14ac:dyDescent="0.35">
      <c r="A77" s="93" t="s">
        <v>0</v>
      </c>
      <c r="B77" s="21"/>
      <c r="C77" s="85"/>
      <c r="D77" s="85"/>
      <c r="E77" s="85"/>
      <c r="F77" s="86"/>
      <c r="G77" s="22" t="s">
        <v>23</v>
      </c>
      <c r="H77" s="22" t="s">
        <v>23</v>
      </c>
      <c r="I77" s="23" t="s">
        <v>23</v>
      </c>
      <c r="J77" s="22" t="s">
        <v>23</v>
      </c>
      <c r="K77" s="38"/>
      <c r="L77" s="22"/>
      <c r="M77" s="286">
        <f ca="1">IFERROR(OFFSET(M77,-1,,1,1)+0.1,OFFSET(M77,-1,-1,1,1)&amp;".1")</f>
        <v>3.5000000000000004</v>
      </c>
      <c r="N77" s="23" t="s">
        <v>469</v>
      </c>
      <c r="O77" s="23"/>
      <c r="P77" s="23"/>
      <c r="Q77" s="144"/>
      <c r="R77" s="137"/>
      <c r="S77" s="169">
        <f>CEILING((IF(J77="Yes", 0, IF(H77="-",AA77,AA77+AA77*VLOOKUP(H77,BUFFERS_BY_TYPE,2,FALSE)))) +
   (IF(J77="Yes", 0, IF(H77="-",AA77,AA77+AA77*VLOOKUP(H77,BUFFERS_BY_TYPE,2,FALSE))))*VLOOKUP($S$5, SALES_CALL_SCALE_ARRAY, 2,FALSE),0.25)</f>
        <v>5</v>
      </c>
      <c r="T77" s="170"/>
      <c r="U77" s="24">
        <v>0</v>
      </c>
      <c r="V77" s="24">
        <v>1</v>
      </c>
      <c r="W77" s="24">
        <v>0</v>
      </c>
      <c r="X77" s="168">
        <v>5</v>
      </c>
      <c r="Y77" s="169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5</v>
      </c>
      <c r="Z77" s="25"/>
      <c r="AA77" s="169">
        <f>Y77+Y77*VLOOKUP(I77,EXTRAS_ARRAY,2,FALSE)</f>
        <v>5</v>
      </c>
      <c r="AB77" s="23"/>
      <c r="AC77" s="37"/>
      <c r="AD77" s="26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s="11" customFormat="1" ht="7.5" hidden="1" customHeight="1" outlineLevel="2" x14ac:dyDescent="0.35">
      <c r="A78" s="93" t="s">
        <v>132</v>
      </c>
      <c r="B78" s="18"/>
      <c r="C78" s="78"/>
      <c r="D78" s="78"/>
      <c r="E78" s="78"/>
      <c r="F78" s="78"/>
      <c r="G78" s="10"/>
      <c r="H78" s="10"/>
      <c r="I78" s="10"/>
      <c r="J78" s="10"/>
      <c r="K78" s="10"/>
      <c r="L78" s="10"/>
      <c r="M78" s="287"/>
      <c r="N78" s="10"/>
      <c r="O78" s="10"/>
      <c r="P78" s="10"/>
      <c r="Q78" s="10"/>
      <c r="R78" s="10"/>
      <c r="S78" s="10"/>
      <c r="T78" s="18"/>
      <c r="U78" s="10"/>
      <c r="V78" s="10"/>
      <c r="W78" s="10"/>
      <c r="X78" s="18"/>
      <c r="Y78" s="10"/>
      <c r="Z78" s="10"/>
      <c r="AA78" s="10"/>
      <c r="AB78" s="60"/>
      <c r="AC78" s="60"/>
      <c r="AD78" s="12"/>
    </row>
    <row r="79" spans="1:30" s="17" customFormat="1" ht="15.5" hidden="1" outlineLevel="1" collapsed="1" x14ac:dyDescent="0.35">
      <c r="A79" s="93" t="s">
        <v>100</v>
      </c>
      <c r="B79" s="21"/>
      <c r="C79" s="84"/>
      <c r="D79" s="84"/>
      <c r="E79" s="84"/>
      <c r="F79" s="83"/>
      <c r="G79" s="32"/>
      <c r="H79" s="32"/>
      <c r="I79" s="32"/>
      <c r="J79" s="32"/>
      <c r="K79" s="32"/>
      <c r="L79" s="20">
        <f ca="1">LOOKUP(1000,INDIRECT("L1:"&amp;CELL("address",INDIRECT("R[-1]C",FALSE))))+1</f>
        <v>4</v>
      </c>
      <c r="M79" s="298" t="s">
        <v>463</v>
      </c>
      <c r="N79" s="298"/>
      <c r="O79" s="5"/>
      <c r="P79" s="33"/>
      <c r="Q79" s="33"/>
      <c r="R79" s="33"/>
      <c r="S79" s="33"/>
      <c r="T79" s="167">
        <f>IF($S$6="Exclude", SUMIFS(S80:S88, J80:J88, "&lt;&gt;Yes", G80:G88, "&lt;&gt;Yes"), SUMIFS(S80:S88, J80:J88, "&lt;&gt;Yes"))</f>
        <v>75.75</v>
      </c>
      <c r="U79" s="33"/>
      <c r="V79" s="33"/>
      <c r="W79" s="33"/>
      <c r="X79" s="34"/>
      <c r="Y79" s="35"/>
      <c r="Z79" s="35"/>
      <c r="AA79" s="35"/>
      <c r="AB79" s="240"/>
      <c r="AC79" s="36"/>
      <c r="AD79" s="26" t="str">
        <f>IF(M79="", "Error: Task name cannot be empty.", "")</f>
        <v/>
      </c>
    </row>
    <row r="80" spans="1:30" s="15" customFormat="1" ht="1.5" hidden="1" customHeight="1" outlineLevel="2" x14ac:dyDescent="0.35">
      <c r="A80" s="93" t="s">
        <v>101</v>
      </c>
      <c r="B80" s="21"/>
      <c r="C80" s="84"/>
      <c r="D80" s="84"/>
      <c r="E80" s="84"/>
      <c r="F80" s="83"/>
      <c r="G80" s="32"/>
      <c r="H80" s="32"/>
      <c r="I80" s="32"/>
      <c r="J80" s="32"/>
      <c r="K80" s="32"/>
      <c r="L80" s="175">
        <f ca="1">L79</f>
        <v>4</v>
      </c>
      <c r="M80" s="176" t="s">
        <v>105</v>
      </c>
      <c r="N80" s="173"/>
      <c r="O80" s="174"/>
      <c r="P80" s="33"/>
      <c r="Q80" s="33"/>
      <c r="R80" s="33"/>
      <c r="S80" s="33"/>
      <c r="T80" s="167"/>
      <c r="U80" s="33"/>
      <c r="V80" s="33"/>
      <c r="W80" s="33"/>
      <c r="X80" s="34"/>
      <c r="Y80" s="35"/>
      <c r="Z80" s="35"/>
      <c r="AA80" s="35"/>
      <c r="AB80" s="36"/>
      <c r="AC80" s="36"/>
      <c r="AD80" s="26"/>
    </row>
    <row r="81" spans="1:30" ht="72.5" hidden="1" outlineLevel="2" x14ac:dyDescent="0.35">
      <c r="A81" s="93" t="s">
        <v>0</v>
      </c>
      <c r="B81" s="21"/>
      <c r="C81" s="85"/>
      <c r="D81" s="85"/>
      <c r="E81" s="85"/>
      <c r="F81" s="86"/>
      <c r="G81" s="22" t="s">
        <v>23</v>
      </c>
      <c r="H81" s="22" t="s">
        <v>23</v>
      </c>
      <c r="I81" s="23" t="s">
        <v>23</v>
      </c>
      <c r="J81" s="22" t="s">
        <v>23</v>
      </c>
      <c r="K81" s="38"/>
      <c r="L81" s="22"/>
      <c r="M81" s="286" t="str">
        <f t="shared" ref="M81:M85" ca="1" si="5">IFERROR(OFFSET(M81,-1,,1,1)+0.1,OFFSET(M81,-1,-1,1,1)&amp;".1")</f>
        <v>4.1</v>
      </c>
      <c r="N81" s="23" t="s">
        <v>577</v>
      </c>
      <c r="O81" s="23"/>
      <c r="P81" s="23" t="s">
        <v>582</v>
      </c>
      <c r="Q81" s="144">
        <v>2</v>
      </c>
      <c r="R81" s="137">
        <v>3</v>
      </c>
      <c r="S81" s="169">
        <f t="shared" ref="S81:S85" si="6">CEILING((IF(J81="Yes", 0, IF(H81="-",AA81,AA81+AA81*VLOOKUP(H81,BUFFERS_BY_TYPE,2,FALSE)))) +
   (IF(J81="Yes", 0, IF(H81="-",AA81,AA81+AA81*VLOOKUP(H81,BUFFERS_BY_TYPE,2,FALSE))))*VLOOKUP($S$5, SALES_CALL_SCALE_ARRAY, 2,FALSE),0.25)</f>
        <v>16.5</v>
      </c>
      <c r="T81" s="170"/>
      <c r="U81" s="24">
        <v>0.3</v>
      </c>
      <c r="V81" s="24">
        <v>0.5</v>
      </c>
      <c r="W81" s="24">
        <v>0.2</v>
      </c>
      <c r="X81" s="168">
        <v>2.5</v>
      </c>
      <c r="Y81" s="169">
        <f t="shared" ref="Y81:Y85" si="7"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16.5</v>
      </c>
      <c r="Z81" s="25"/>
      <c r="AA81" s="169">
        <f t="shared" ref="AA81:AA85" si="8">Y81+Y81*VLOOKUP(I81,EXTRAS_ARRAY,2,FALSE)</f>
        <v>16.5</v>
      </c>
      <c r="AB81" s="23" t="s">
        <v>585</v>
      </c>
      <c r="AC81" s="37"/>
      <c r="AD81" s="26" t="str">
        <f t="shared" ref="AD81:AD85" si="9"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ht="72.5" hidden="1" outlineLevel="2" x14ac:dyDescent="0.35">
      <c r="A82" s="93" t="s">
        <v>0</v>
      </c>
      <c r="B82" s="21"/>
      <c r="C82" s="85"/>
      <c r="D82" s="85"/>
      <c r="E82" s="85"/>
      <c r="F82" s="86"/>
      <c r="G82" s="22" t="s">
        <v>23</v>
      </c>
      <c r="H82" s="22" t="s">
        <v>23</v>
      </c>
      <c r="I82" s="23" t="s">
        <v>23</v>
      </c>
      <c r="J82" s="22" t="s">
        <v>23</v>
      </c>
      <c r="K82" s="38"/>
      <c r="L82" s="22"/>
      <c r="M82" s="286">
        <f t="shared" ca="1" si="5"/>
        <v>4.1999999999999993</v>
      </c>
      <c r="N82" s="23" t="s">
        <v>578</v>
      </c>
      <c r="O82" s="23"/>
      <c r="P82" s="23" t="s">
        <v>582</v>
      </c>
      <c r="Q82" s="144">
        <v>2</v>
      </c>
      <c r="R82" s="137">
        <v>2</v>
      </c>
      <c r="S82" s="169">
        <f t="shared" si="6"/>
        <v>8</v>
      </c>
      <c r="T82" s="170"/>
      <c r="U82" s="24">
        <v>0</v>
      </c>
      <c r="V82" s="24">
        <v>1</v>
      </c>
      <c r="W82" s="24">
        <v>0</v>
      </c>
      <c r="X82" s="168">
        <v>2</v>
      </c>
      <c r="Y82" s="169">
        <f t="shared" si="7"/>
        <v>8</v>
      </c>
      <c r="Z82" s="25"/>
      <c r="AA82" s="169">
        <f t="shared" si="8"/>
        <v>8</v>
      </c>
      <c r="AB82" s="23"/>
      <c r="AC82" s="37"/>
      <c r="AD82" s="26" t="str">
        <f t="shared" si="9"/>
        <v/>
      </c>
    </row>
    <row r="83" spans="1:30" ht="101.5" hidden="1" outlineLevel="2" x14ac:dyDescent="0.35">
      <c r="A83" s="93" t="s">
        <v>0</v>
      </c>
      <c r="B83" s="21"/>
      <c r="C83" s="85"/>
      <c r="D83" s="85"/>
      <c r="E83" s="85"/>
      <c r="F83" s="86"/>
      <c r="G83" s="22" t="s">
        <v>23</v>
      </c>
      <c r="H83" s="22" t="s">
        <v>23</v>
      </c>
      <c r="I83" s="23" t="s">
        <v>23</v>
      </c>
      <c r="J83" s="22" t="s">
        <v>23</v>
      </c>
      <c r="K83" s="38"/>
      <c r="L83" s="22"/>
      <c r="M83" s="286">
        <f t="shared" ca="1" si="5"/>
        <v>4.2999999999999989</v>
      </c>
      <c r="N83" s="23" t="s">
        <v>579</v>
      </c>
      <c r="O83" s="23"/>
      <c r="P83" s="23" t="s">
        <v>582</v>
      </c>
      <c r="Q83" s="144">
        <v>1</v>
      </c>
      <c r="R83" s="137">
        <v>2</v>
      </c>
      <c r="S83" s="169">
        <f t="shared" si="6"/>
        <v>5</v>
      </c>
      <c r="T83" s="170"/>
      <c r="U83" s="24">
        <v>0</v>
      </c>
      <c r="V83" s="24">
        <v>1</v>
      </c>
      <c r="W83" s="24">
        <v>0</v>
      </c>
      <c r="X83" s="168">
        <v>5</v>
      </c>
      <c r="Y83" s="169">
        <f t="shared" si="7"/>
        <v>5</v>
      </c>
      <c r="Z83" s="25"/>
      <c r="AA83" s="169">
        <f t="shared" si="8"/>
        <v>5</v>
      </c>
      <c r="AB83" s="23" t="s">
        <v>585</v>
      </c>
      <c r="AC83" s="37"/>
      <c r="AD83" s="26" t="str">
        <f t="shared" si="9"/>
        <v/>
      </c>
    </row>
    <row r="84" spans="1:30" ht="29" hidden="1" outlineLevel="2" x14ac:dyDescent="0.35">
      <c r="A84" s="93" t="s">
        <v>0</v>
      </c>
      <c r="B84" s="21"/>
      <c r="C84" s="85"/>
      <c r="D84" s="85"/>
      <c r="E84" s="85"/>
      <c r="F84" s="86"/>
      <c r="G84" s="22" t="s">
        <v>23</v>
      </c>
      <c r="H84" s="22" t="s">
        <v>23</v>
      </c>
      <c r="I84" s="23" t="s">
        <v>23</v>
      </c>
      <c r="J84" s="22" t="s">
        <v>23</v>
      </c>
      <c r="K84" s="38"/>
      <c r="L84" s="22"/>
      <c r="M84" s="286">
        <f t="shared" ca="1" si="5"/>
        <v>4.3999999999999986</v>
      </c>
      <c r="N84" s="23" t="s">
        <v>471</v>
      </c>
      <c r="O84" s="23"/>
      <c r="P84" s="23" t="s">
        <v>582</v>
      </c>
      <c r="Q84" s="144">
        <v>1</v>
      </c>
      <c r="R84" s="137">
        <v>2</v>
      </c>
      <c r="S84" s="169">
        <f t="shared" si="6"/>
        <v>5</v>
      </c>
      <c r="T84" s="170"/>
      <c r="U84" s="24">
        <v>0</v>
      </c>
      <c r="V84" s="24">
        <v>1</v>
      </c>
      <c r="W84" s="24">
        <v>0</v>
      </c>
      <c r="X84" s="168">
        <v>5</v>
      </c>
      <c r="Y84" s="169">
        <f t="shared" si="7"/>
        <v>5</v>
      </c>
      <c r="Z84" s="25"/>
      <c r="AA84" s="169">
        <f t="shared" si="8"/>
        <v>5</v>
      </c>
      <c r="AB84" s="23"/>
      <c r="AC84" s="37"/>
      <c r="AD84" s="26" t="str">
        <f t="shared" si="9"/>
        <v/>
      </c>
    </row>
    <row r="85" spans="1:30" ht="87" hidden="1" outlineLevel="2" x14ac:dyDescent="0.35">
      <c r="A85" s="93" t="s">
        <v>0</v>
      </c>
      <c r="B85" s="21"/>
      <c r="C85" s="85"/>
      <c r="D85" s="85"/>
      <c r="E85" s="85"/>
      <c r="F85" s="86"/>
      <c r="G85" s="22" t="s">
        <v>23</v>
      </c>
      <c r="H85" s="22" t="s">
        <v>23</v>
      </c>
      <c r="I85" s="23" t="s">
        <v>23</v>
      </c>
      <c r="J85" s="22" t="s">
        <v>23</v>
      </c>
      <c r="K85" s="38"/>
      <c r="L85" s="22"/>
      <c r="M85" s="286">
        <f t="shared" ca="1" si="5"/>
        <v>4.4999999999999982</v>
      </c>
      <c r="N85" s="23" t="s">
        <v>580</v>
      </c>
      <c r="O85" s="23"/>
      <c r="P85" s="23" t="s">
        <v>582</v>
      </c>
      <c r="Q85" s="144">
        <v>2</v>
      </c>
      <c r="R85" s="137">
        <v>2</v>
      </c>
      <c r="S85" s="169">
        <f t="shared" si="6"/>
        <v>20.5</v>
      </c>
      <c r="T85" s="170"/>
      <c r="U85" s="24">
        <v>0.2</v>
      </c>
      <c r="V85" s="24">
        <v>0.5</v>
      </c>
      <c r="W85" s="24">
        <v>0.3</v>
      </c>
      <c r="X85" s="168">
        <v>5</v>
      </c>
      <c r="Y85" s="169">
        <f t="shared" si="7"/>
        <v>20.5</v>
      </c>
      <c r="Z85" s="25"/>
      <c r="AA85" s="169">
        <f t="shared" si="8"/>
        <v>20.5</v>
      </c>
      <c r="AB85" s="23" t="s">
        <v>585</v>
      </c>
      <c r="AC85" s="37"/>
      <c r="AD85" s="26" t="str">
        <f t="shared" si="9"/>
        <v/>
      </c>
    </row>
    <row r="86" spans="1:30" ht="29" hidden="1" outlineLevel="2" x14ac:dyDescent="0.35">
      <c r="A86" s="93" t="s">
        <v>0</v>
      </c>
      <c r="B86" s="21"/>
      <c r="C86" s="85"/>
      <c r="D86" s="85"/>
      <c r="E86" s="85"/>
      <c r="F86" s="86"/>
      <c r="G86" s="22" t="s">
        <v>23</v>
      </c>
      <c r="H86" s="22" t="s">
        <v>23</v>
      </c>
      <c r="I86" s="23" t="s">
        <v>23</v>
      </c>
      <c r="J86" s="22" t="s">
        <v>23</v>
      </c>
      <c r="K86" s="38"/>
      <c r="L86" s="22"/>
      <c r="M86" s="286">
        <f ca="1">IFERROR(OFFSET(M86,-1,,1,1)+0.1,OFFSET(M86,-1,-1,1,1)&amp;".1")</f>
        <v>4.5999999999999979</v>
      </c>
      <c r="N86" s="23" t="s">
        <v>662</v>
      </c>
      <c r="O86" s="23"/>
      <c r="P86" s="23"/>
      <c r="Q86" s="144">
        <v>1</v>
      </c>
      <c r="R86" s="137">
        <v>1</v>
      </c>
      <c r="S86" s="169">
        <f>CEILING((IF(J86="Yes", 0, IF(H86="-",AA86,AA86+AA86*VLOOKUP(H86,BUFFERS_BY_TYPE,2,FALSE)))) +
   (IF(J86="Yes", 0, IF(H86="-",AA86,AA86+AA86*VLOOKUP(H86,BUFFERS_BY_TYPE,2,FALSE))))*VLOOKUP($S$5, SALES_CALL_SCALE_ARRAY, 2,FALSE),0.25)</f>
        <v>5</v>
      </c>
      <c r="T86" s="170"/>
      <c r="U86" s="24">
        <v>0</v>
      </c>
      <c r="V86" s="24">
        <v>1</v>
      </c>
      <c r="W86" s="24">
        <v>0</v>
      </c>
      <c r="X86" s="168">
        <v>5</v>
      </c>
      <c r="Y86" s="169">
        <f>CEILING((IF(P86=AS_DEV_EFFORT, DEV_EFFORT*Q86%,
                           IF(P86=AS_DURATION_EFFORT, (MANUAL_DURATION*5)*Q86%,
                                    (IF(Q86&lt;=1,X86,
                                          IF(SUM(U86:W86)=0,(Q86*X86),
                                               (((Q86*U86)*(X86+(X86*EXTRA_FOR_H)))+
                                               ((Q86*V86)*X86)+
                                               ((Q86*W86)*(X86-(X86*LESS_FOR_L)))
                                    )*IF(R86=0,1,R86))))))+Z86), 0.25)</f>
        <v>5</v>
      </c>
      <c r="Z86" s="25"/>
      <c r="AA86" s="169">
        <f>Y86+Y86*VLOOKUP(I86,EXTRAS_ARRAY,2,FALSE)</f>
        <v>5</v>
      </c>
      <c r="AB86" s="23" t="s">
        <v>664</v>
      </c>
      <c r="AC86" s="37"/>
      <c r="AD86" s="26" t="str">
        <f>IF(J86&lt;&gt;"Yes",
IF(S86&lt;=0,"Error: Effort value is not defined or is invalid.",
IF(AND(SUM(U86:W86)&gt;0,SUM(U86:W86)&lt;&gt;1),"Error: Complexity % distribution should sum to 100%.",
IF(AND(P86=AS_DEV_EFFORT,X86&lt;&gt;0),"Error: PDs should not be defined when defining as dev effort %.",
IF(AND(P86=AS_DURATION_EFFORT,X86&lt;&gt;0),"Error: PDs should not be defined when defining as duration effort %.","")))))</f>
        <v/>
      </c>
    </row>
    <row r="87" spans="1:30" ht="58" hidden="1" outlineLevel="2" x14ac:dyDescent="0.35">
      <c r="A87" s="93" t="s">
        <v>0</v>
      </c>
      <c r="B87" s="21"/>
      <c r="C87" s="85"/>
      <c r="D87" s="85"/>
      <c r="E87" s="85"/>
      <c r="F87" s="86"/>
      <c r="G87" s="22" t="s">
        <v>23</v>
      </c>
      <c r="H87" s="22" t="s">
        <v>23</v>
      </c>
      <c r="I87" s="23" t="s">
        <v>23</v>
      </c>
      <c r="J87" s="22" t="s">
        <v>23</v>
      </c>
      <c r="K87" s="38"/>
      <c r="L87" s="22"/>
      <c r="M87" s="286">
        <f ca="1">IFERROR(OFFSET(M87,-1,,1,1)+0.1,OFFSET(M87,-1,-1,1,1)&amp;".1")</f>
        <v>4.6999999999999975</v>
      </c>
      <c r="N87" s="23" t="s">
        <v>663</v>
      </c>
      <c r="O87" s="23"/>
      <c r="P87" s="23"/>
      <c r="Q87" s="144">
        <v>2</v>
      </c>
      <c r="R87" s="137">
        <v>1</v>
      </c>
      <c r="S87" s="169">
        <f>CEILING((IF(J87="Yes", 0, IF(H87="-",AA87,AA87+AA87*VLOOKUP(H87,BUFFERS_BY_TYPE,2,FALSE)))) +
   (IF(J87="Yes", 0, IF(H87="-",AA87,AA87+AA87*VLOOKUP(H87,BUFFERS_BY_TYPE,2,FALSE))))*VLOOKUP($S$5, SALES_CALL_SCALE_ARRAY, 2,FALSE),0.25)</f>
        <v>15.75</v>
      </c>
      <c r="T87" s="170"/>
      <c r="U87" s="24">
        <v>0.1</v>
      </c>
      <c r="V87" s="24">
        <v>0.2</v>
      </c>
      <c r="W87" s="24">
        <v>0.7</v>
      </c>
      <c r="X87" s="168">
        <v>9</v>
      </c>
      <c r="Y87" s="169">
        <f>CEILING((IF(P87=AS_DEV_EFFORT, DEV_EFFORT*Q87%,
                           IF(P87=AS_DURATION_EFFORT, (MANUAL_DURATION*5)*Q87%,
                                    (IF(Q87&lt;=1,X87,
                                          IF(SUM(U87:W87)=0,(Q87*X87),
                                               (((Q87*U87)*(X87+(X87*EXTRA_FOR_H)))+
                                               ((Q87*V87)*X87)+
                                               ((Q87*W87)*(X87-(X87*LESS_FOR_L)))
                                    )*IF(R87=0,1,R87))))))+Z87), 0.25)</f>
        <v>15.75</v>
      </c>
      <c r="Z87" s="25"/>
      <c r="AA87" s="169">
        <f>Y87+Y87*VLOOKUP(I87,EXTRAS_ARRAY,2,FALSE)</f>
        <v>15.75</v>
      </c>
      <c r="AB87" s="23"/>
      <c r="AC87" s="37"/>
      <c r="AD87" s="26" t="str">
        <f>IF(J87&lt;&gt;"Yes",
IF(S87&lt;=0,"Error: Effort value is not defined or is invalid.",
IF(AND(SUM(U87:W87)&gt;0,SUM(U87:W87)&lt;&gt;1),"Error: Complexity % distribution should sum to 100%.",
IF(AND(P87=AS_DEV_EFFORT,X87&lt;&gt;0),"Error: PDs should not be defined when defining as dev effort %.",
IF(AND(P87=AS_DURATION_EFFORT,X87&lt;&gt;0),"Error: PDs should not be defined when defining as duration effort %.","")))))</f>
        <v/>
      </c>
    </row>
    <row r="88" spans="1:30" s="11" customFormat="1" ht="7.5" hidden="1" customHeight="1" outlineLevel="2" x14ac:dyDescent="0.35">
      <c r="A88" s="93" t="s">
        <v>132</v>
      </c>
      <c r="B88" s="18"/>
      <c r="C88" s="78"/>
      <c r="D88" s="78"/>
      <c r="E88" s="78"/>
      <c r="F88" s="78"/>
      <c r="G88" s="10"/>
      <c r="H88" s="10"/>
      <c r="I88" s="10"/>
      <c r="J88" s="10"/>
      <c r="K88" s="10"/>
      <c r="L88" s="10"/>
      <c r="M88" s="287"/>
      <c r="N88" s="10"/>
      <c r="O88" s="10"/>
      <c r="P88" s="10"/>
      <c r="Q88" s="10"/>
      <c r="R88" s="10"/>
      <c r="S88" s="10"/>
      <c r="T88" s="18"/>
      <c r="U88" s="10"/>
      <c r="V88" s="10"/>
      <c r="W88" s="10"/>
      <c r="X88" s="18"/>
      <c r="Y88" s="10"/>
      <c r="Z88" s="10"/>
      <c r="AA88" s="10"/>
      <c r="AB88" s="60"/>
      <c r="AC88" s="60"/>
      <c r="AD88" s="12"/>
    </row>
    <row r="89" spans="1:30" s="11" customFormat="1" ht="3" hidden="1" customHeight="1" outlineLevel="1" x14ac:dyDescent="0.35">
      <c r="A89" s="93" t="s">
        <v>102</v>
      </c>
      <c r="B89" s="10"/>
      <c r="C89" s="78"/>
      <c r="D89" s="78"/>
      <c r="E89" s="78"/>
      <c r="F89" s="78"/>
      <c r="G89" s="59"/>
      <c r="H89" s="59"/>
      <c r="I89" s="59"/>
      <c r="J89" s="59"/>
      <c r="K89" s="59"/>
      <c r="L89" s="61"/>
      <c r="M89" s="288"/>
      <c r="N89" s="62"/>
      <c r="O89" s="62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2"/>
      <c r="AC89" s="62"/>
      <c r="AD89" s="12"/>
    </row>
    <row r="90" spans="1:30" s="17" customFormat="1" ht="18.5" collapsed="1" x14ac:dyDescent="0.35">
      <c r="A90" s="93" t="s">
        <v>98</v>
      </c>
      <c r="B90" s="14"/>
      <c r="C90" s="79"/>
      <c r="D90" s="79"/>
      <c r="E90" s="79"/>
      <c r="F90" s="78"/>
      <c r="G90" s="55"/>
      <c r="H90" s="55"/>
      <c r="I90" s="55"/>
      <c r="J90" s="55"/>
      <c r="K90" s="55"/>
      <c r="L90" s="55" t="s">
        <v>69</v>
      </c>
      <c r="M90" s="284" t="s">
        <v>73</v>
      </c>
      <c r="N90" s="56"/>
      <c r="O90" s="57"/>
      <c r="P90" s="58"/>
      <c r="Q90" s="58"/>
      <c r="R90" s="58"/>
      <c r="S90" s="299">
        <f>CEILING(SUMIF(J91:J219, "&lt;&gt;Yes", T91:T219),1)</f>
        <v>214</v>
      </c>
      <c r="T90" s="299"/>
      <c r="U90" s="58"/>
      <c r="V90" s="58"/>
      <c r="W90" s="58"/>
      <c r="X90" s="181"/>
      <c r="Y90" s="181"/>
      <c r="Z90" s="58"/>
      <c r="AA90" s="181"/>
      <c r="AB90" s="58"/>
      <c r="AC90" s="58"/>
      <c r="AD90" s="16"/>
    </row>
    <row r="91" spans="1:30" s="11" customFormat="1" ht="3" hidden="1" customHeight="1" outlineLevel="1" x14ac:dyDescent="0.35">
      <c r="A91" s="93" t="s">
        <v>99</v>
      </c>
      <c r="B91" s="18"/>
      <c r="C91" s="78"/>
      <c r="D91" s="78"/>
      <c r="E91" s="78"/>
      <c r="F91" s="78"/>
      <c r="G91" s="28"/>
      <c r="H91" s="28"/>
      <c r="I91" s="28"/>
      <c r="J91" s="28"/>
      <c r="K91" s="28"/>
      <c r="L91" s="29">
        <v>0</v>
      </c>
      <c r="M91" s="285"/>
      <c r="N91" s="28"/>
      <c r="O91" s="28"/>
      <c r="P91" s="28"/>
      <c r="Q91" s="28"/>
      <c r="R91" s="28"/>
      <c r="S91" s="28"/>
      <c r="T91" s="30"/>
      <c r="U91" s="28"/>
      <c r="V91" s="28"/>
      <c r="W91" s="28"/>
      <c r="X91" s="30"/>
      <c r="Y91" s="28"/>
      <c r="Z91" s="28"/>
      <c r="AA91" s="28"/>
      <c r="AB91" s="31"/>
      <c r="AC91" s="31"/>
      <c r="AD91" s="12"/>
    </row>
    <row r="92" spans="1:30" s="17" customFormat="1" ht="15.5" hidden="1" outlineLevel="1" collapsed="1" x14ac:dyDescent="0.35">
      <c r="A92" s="93" t="s">
        <v>100</v>
      </c>
      <c r="B92" s="21"/>
      <c r="C92" s="84"/>
      <c r="D92" s="84"/>
      <c r="E92" s="84"/>
      <c r="F92" s="83"/>
      <c r="G92" s="32"/>
      <c r="H92" s="32"/>
      <c r="I92" s="32"/>
      <c r="J92" s="32"/>
      <c r="K92" s="32"/>
      <c r="L92" s="20">
        <f ca="1">LOOKUP(1000,INDIRECT("L1:"&amp;CELL("address",INDIRECT("R[-1]C",FALSE))))+1</f>
        <v>1</v>
      </c>
      <c r="M92" s="298" t="s">
        <v>448</v>
      </c>
      <c r="N92" s="298"/>
      <c r="O92" s="5"/>
      <c r="P92" s="33"/>
      <c r="Q92" s="33"/>
      <c r="R92" s="33"/>
      <c r="S92" s="33"/>
      <c r="T92" s="167">
        <f>IF($S$6="Exclude", SUMIFS(S93:S98, J93:J98, "&lt;&gt;Yes", G93:G98, "&lt;&gt;Yes"), SUMIFS(S93:S98, J93:J98, "&lt;&gt;Yes"))</f>
        <v>45.75</v>
      </c>
      <c r="U92" s="33"/>
      <c r="V92" s="33"/>
      <c r="W92" s="33"/>
      <c r="X92" s="34"/>
      <c r="Y92" s="35"/>
      <c r="Z92" s="35"/>
      <c r="AA92" s="35"/>
      <c r="AB92" s="240"/>
      <c r="AC92" s="36"/>
      <c r="AD92" s="26" t="str">
        <f>IF(M92="", "Error: Task name cannot be empty.", "")</f>
        <v/>
      </c>
    </row>
    <row r="93" spans="1:30" s="15" customFormat="1" ht="1.5" hidden="1" customHeight="1" outlineLevel="2" x14ac:dyDescent="0.35">
      <c r="A93" s="93" t="s">
        <v>101</v>
      </c>
      <c r="B93" s="21"/>
      <c r="C93" s="84"/>
      <c r="D93" s="84"/>
      <c r="E93" s="84"/>
      <c r="F93" s="83"/>
      <c r="G93" s="32"/>
      <c r="H93" s="32"/>
      <c r="I93" s="32"/>
      <c r="J93" s="32"/>
      <c r="K93" s="32"/>
      <c r="L93" s="175">
        <f ca="1">L92</f>
        <v>1</v>
      </c>
      <c r="M93" s="176" t="s">
        <v>105</v>
      </c>
      <c r="N93" s="173"/>
      <c r="O93" s="174"/>
      <c r="P93" s="33"/>
      <c r="Q93" s="33"/>
      <c r="R93" s="33"/>
      <c r="S93" s="33"/>
      <c r="T93" s="167"/>
      <c r="U93" s="33"/>
      <c r="V93" s="33"/>
      <c r="W93" s="33"/>
      <c r="X93" s="34"/>
      <c r="Y93" s="35"/>
      <c r="Z93" s="35"/>
      <c r="AA93" s="35"/>
      <c r="AB93" s="36"/>
      <c r="AC93" s="36"/>
      <c r="AD93" s="26"/>
    </row>
    <row r="94" spans="1:30" ht="29" hidden="1" outlineLevel="2" x14ac:dyDescent="0.35">
      <c r="A94" s="93" t="s">
        <v>0</v>
      </c>
      <c r="B94" s="21"/>
      <c r="C94" s="85"/>
      <c r="D94" s="85"/>
      <c r="E94" s="85"/>
      <c r="F94" s="86"/>
      <c r="G94" s="22" t="s">
        <v>23</v>
      </c>
      <c r="H94" s="22" t="s">
        <v>23</v>
      </c>
      <c r="I94" s="23" t="s">
        <v>23</v>
      </c>
      <c r="J94" s="22" t="s">
        <v>23</v>
      </c>
      <c r="K94" s="38"/>
      <c r="L94" s="22"/>
      <c r="M94" s="286" t="str">
        <f ca="1">IFERROR(OFFSET(M94,-1,,1,1)+0.1,OFFSET(M94,-1,-1,1,1)&amp;".1")</f>
        <v>1.1</v>
      </c>
      <c r="N94" s="23" t="s">
        <v>479</v>
      </c>
      <c r="O94" s="23"/>
      <c r="P94" s="23" t="s">
        <v>582</v>
      </c>
      <c r="Q94" s="144">
        <v>8</v>
      </c>
      <c r="R94" s="137">
        <v>2</v>
      </c>
      <c r="S94" s="169">
        <f>CEILING((IF(J94="Yes", 0, IF(H94="-",AA94,AA94+AA94*VLOOKUP(H94,BUFFERS_BY_TYPE,2,FALSE)))) +
   (IF(J94="Yes", 0, IF(H94="-",AA94,AA94+AA94*VLOOKUP(H94,BUFFERS_BY_TYPE,2,FALSE))))*VLOOKUP($S$5, SALES_CALL_SCALE_ARRAY, 2,FALSE),0.25)</f>
        <v>16.5</v>
      </c>
      <c r="T94" s="170"/>
      <c r="U94" s="24">
        <v>0.2</v>
      </c>
      <c r="V94" s="24">
        <v>0.5</v>
      </c>
      <c r="W94" s="24">
        <v>0.3</v>
      </c>
      <c r="X94" s="168">
        <v>1</v>
      </c>
      <c r="Y94" s="169">
        <f>CEILING((IF(P94=AS_DEV_EFFORT, DEV_EFFORT*Q94%,
                           IF(P94=AS_DURATION_EFFORT, (MANUAL_DURATION*5)*Q94%,
                                    (IF(Q94&lt;=1,X94,
                                          IF(SUM(U94:W94)=0,(Q94*X94),
                                               (((Q94*U94)*(X94+(X94*EXTRA_FOR_H)))+
                                               ((Q94*V94)*X94)+
                                               ((Q94*W94)*(X94-(X94*LESS_FOR_L)))
                                    )*IF(R94=0,1,R94))))))+Z94), 0.25)</f>
        <v>16.5</v>
      </c>
      <c r="Z94" s="25"/>
      <c r="AA94" s="169">
        <f>Y94+Y94*VLOOKUP(I94,EXTRAS_ARRAY,2,FALSE)</f>
        <v>16.5</v>
      </c>
      <c r="AB94" s="23"/>
      <c r="AC94" s="37"/>
      <c r="AD94" s="26" t="str">
        <f>IF(J94&lt;&gt;"Yes",
IF(S94&lt;=0,"Error: Effort value is not defined or is invalid.",
IF(AND(SUM(U94:W94)&gt;0,SUM(U94:W94)&lt;&gt;1),"Error: Complexity % distribution should sum to 100%.",
IF(AND(P94=AS_DEV_EFFORT,X94&lt;&gt;0),"Error: PDs should not be defined when defining as dev effort %.",
IF(AND(P94=AS_DURATION_EFFORT,X94&lt;&gt;0),"Error: PDs should not be defined when defining as duration effort %.","")))))</f>
        <v/>
      </c>
    </row>
    <row r="95" spans="1:30" ht="29" hidden="1" outlineLevel="2" x14ac:dyDescent="0.35">
      <c r="A95" s="93" t="s">
        <v>0</v>
      </c>
      <c r="B95" s="21"/>
      <c r="C95" s="85"/>
      <c r="D95" s="85"/>
      <c r="E95" s="85"/>
      <c r="F95" s="86"/>
      <c r="G95" s="22" t="s">
        <v>23</v>
      </c>
      <c r="H95" s="22" t="s">
        <v>23</v>
      </c>
      <c r="I95" s="23" t="s">
        <v>23</v>
      </c>
      <c r="J95" s="22" t="s">
        <v>23</v>
      </c>
      <c r="K95" s="38"/>
      <c r="L95" s="22"/>
      <c r="M95" s="286">
        <f ca="1">IFERROR(OFFSET(M95,-1,,1,1)+0.1,OFFSET(M95,-1,-1,1,1)&amp;".1")</f>
        <v>1.2000000000000002</v>
      </c>
      <c r="N95" s="23" t="s">
        <v>480</v>
      </c>
      <c r="O95" s="23"/>
      <c r="P95" s="23" t="s">
        <v>582</v>
      </c>
      <c r="Q95" s="144">
        <v>4</v>
      </c>
      <c r="R95" s="137">
        <v>2</v>
      </c>
      <c r="S95" s="169">
        <f>CEILING((IF(J95="Yes", 0, IF(H95="-",AA95,AA95+AA95*VLOOKUP(H95,BUFFERS_BY_TYPE,2,FALSE)))) +
   (IF(J95="Yes", 0, IF(H95="-",AA95,AA95+AA95*VLOOKUP(H95,BUFFERS_BY_TYPE,2,FALSE))))*VLOOKUP($S$5, SALES_CALL_SCALE_ARRAY, 2,FALSE),0.25)</f>
        <v>8.75</v>
      </c>
      <c r="T95" s="170"/>
      <c r="U95" s="24">
        <v>0.3</v>
      </c>
      <c r="V95" s="24">
        <v>0.4</v>
      </c>
      <c r="W95" s="24">
        <v>0.3</v>
      </c>
      <c r="X95" s="168">
        <v>1</v>
      </c>
      <c r="Y95" s="169">
        <f>CEILING((IF(P95=AS_DEV_EFFORT, DEV_EFFORT*Q95%,
                           IF(P95=AS_DURATION_EFFORT, (MANUAL_DURATION*5)*Q95%,
                                    (IF(Q95&lt;=1,X95,
                                          IF(SUM(U95:W95)=0,(Q95*X95),
                                               (((Q95*U95)*(X95+(X95*EXTRA_FOR_H)))+
                                               ((Q95*V95)*X95)+
                                               ((Q95*W95)*(X95-(X95*LESS_FOR_L)))
                                    )*IF(R95=0,1,R95))))))+Z95), 0.25)</f>
        <v>8.75</v>
      </c>
      <c r="Z95" s="25"/>
      <c r="AA95" s="169">
        <f>Y95+Y95*VLOOKUP(I95,EXTRAS_ARRAY,2,FALSE)</f>
        <v>8.75</v>
      </c>
      <c r="AB95" s="23"/>
      <c r="AC95" s="37"/>
      <c r="AD95" s="26" t="str">
        <f>IF(J95&lt;&gt;"Yes",
IF(S95&lt;=0,"Error: Effort value is not defined or is invalid.",
IF(AND(SUM(U95:W95)&gt;0,SUM(U95:W95)&lt;&gt;1),"Error: Complexity % distribution should sum to 100%.",
IF(AND(P95=AS_DEV_EFFORT,X95&lt;&gt;0),"Error: PDs should not be defined when defining as dev effort %.",
IF(AND(P95=AS_DURATION_EFFORT,X95&lt;&gt;0),"Error: PDs should not be defined when defining as duration effort %.","")))))</f>
        <v/>
      </c>
    </row>
    <row r="96" spans="1:30" ht="29" hidden="1" outlineLevel="2" x14ac:dyDescent="0.35">
      <c r="A96" s="93" t="s">
        <v>0</v>
      </c>
      <c r="B96" s="21"/>
      <c r="C96" s="85"/>
      <c r="D96" s="85"/>
      <c r="E96" s="85"/>
      <c r="F96" s="86"/>
      <c r="G96" s="22" t="s">
        <v>23</v>
      </c>
      <c r="H96" s="22" t="s">
        <v>23</v>
      </c>
      <c r="I96" s="23" t="s">
        <v>23</v>
      </c>
      <c r="J96" s="22" t="s">
        <v>23</v>
      </c>
      <c r="K96" s="38"/>
      <c r="L96" s="22"/>
      <c r="M96" s="286">
        <f ca="1">IFERROR(OFFSET(M96,-1,,1,1)+0.1,OFFSET(M96,-1,-1,1,1)&amp;".1")</f>
        <v>1.3000000000000003</v>
      </c>
      <c r="N96" s="23" t="s">
        <v>481</v>
      </c>
      <c r="O96" s="23"/>
      <c r="P96" s="23" t="s">
        <v>582</v>
      </c>
      <c r="Q96" s="144">
        <v>8</v>
      </c>
      <c r="R96" s="137">
        <v>2</v>
      </c>
      <c r="S96" s="169">
        <f>CEILING((IF(J96="Yes", 0, IF(H96="-",AA96,AA96+AA96*VLOOKUP(H96,BUFFERS_BY_TYPE,2,FALSE)))) +
   (IF(J96="Yes", 0, IF(H96="-",AA96,AA96+AA96*VLOOKUP(H96,BUFFERS_BY_TYPE,2,FALSE))))*VLOOKUP($S$5, SALES_CALL_SCALE_ARRAY, 2,FALSE),0.25)</f>
        <v>10.5</v>
      </c>
      <c r="T96" s="170"/>
      <c r="U96" s="24">
        <v>0.3</v>
      </c>
      <c r="V96" s="24">
        <v>0.4</v>
      </c>
      <c r="W96" s="24">
        <v>0.3</v>
      </c>
      <c r="X96" s="168">
        <v>0.6</v>
      </c>
      <c r="Y96" s="169">
        <f>CEILING((IF(P96=AS_DEV_EFFORT, DEV_EFFORT*Q96%,
                           IF(P96=AS_DURATION_EFFORT, (MANUAL_DURATION*5)*Q96%,
                                    (IF(Q96&lt;=1,X96,
                                          IF(SUM(U96:W96)=0,(Q96*X96),
                                               (((Q96*U96)*(X96+(X96*EXTRA_FOR_H)))+
                                               ((Q96*V96)*X96)+
                                               ((Q96*W96)*(X96-(X96*LESS_FOR_L)))
                                    )*IF(R96=0,1,R96))))))+Z96), 0.25)</f>
        <v>10.5</v>
      </c>
      <c r="Z96" s="25"/>
      <c r="AA96" s="169">
        <f>Y96+Y96*VLOOKUP(I96,EXTRAS_ARRAY,2,FALSE)</f>
        <v>10.5</v>
      </c>
      <c r="AB96" s="23"/>
      <c r="AC96" s="37"/>
      <c r="AD96" s="26" t="str">
        <f>IF(J96&lt;&gt;"Yes",
IF(S96&lt;=0,"Error: Effort value is not defined or is invalid.",
IF(AND(SUM(U96:W96)&gt;0,SUM(U96:W96)&lt;&gt;1),"Error: Complexity % distribution should sum to 100%.",
IF(AND(P96=AS_DEV_EFFORT,X96&lt;&gt;0),"Error: PDs should not be defined when defining as dev effort %.",
IF(AND(P96=AS_DURATION_EFFORT,X96&lt;&gt;0),"Error: PDs should not be defined when defining as duration effort %.","")))))</f>
        <v/>
      </c>
    </row>
    <row r="97" spans="1:30" ht="29" hidden="1" outlineLevel="2" x14ac:dyDescent="0.35">
      <c r="A97" s="93" t="s">
        <v>0</v>
      </c>
      <c r="B97" s="21"/>
      <c r="C97" s="85"/>
      <c r="D97" s="85"/>
      <c r="E97" s="85"/>
      <c r="F97" s="86"/>
      <c r="G97" s="22" t="s">
        <v>23</v>
      </c>
      <c r="H97" s="22" t="s">
        <v>23</v>
      </c>
      <c r="I97" s="23" t="s">
        <v>23</v>
      </c>
      <c r="J97" s="22" t="s">
        <v>23</v>
      </c>
      <c r="K97" s="38"/>
      <c r="L97" s="22"/>
      <c r="M97" s="286">
        <f ca="1">IFERROR(OFFSET(M97,-1,,1,1)+0.1,OFFSET(M97,-1,-1,1,1)&amp;".1")</f>
        <v>1.4000000000000004</v>
      </c>
      <c r="N97" s="23" t="s">
        <v>482</v>
      </c>
      <c r="O97" s="23"/>
      <c r="P97" s="23" t="s">
        <v>582</v>
      </c>
      <c r="Q97" s="144">
        <v>5</v>
      </c>
      <c r="R97" s="137">
        <v>1</v>
      </c>
      <c r="S97" s="169">
        <f>CEILING((IF(J97="Yes", 0, IF(H97="-",AA97,AA97+AA97*VLOOKUP(H97,BUFFERS_BY_TYPE,2,FALSE)))) +
   (IF(J97="Yes", 0, IF(H97="-",AA97,AA97+AA97*VLOOKUP(H97,BUFFERS_BY_TYPE,2,FALSE))))*VLOOKUP($S$5, SALES_CALL_SCALE_ARRAY, 2,FALSE),0.25)</f>
        <v>10</v>
      </c>
      <c r="T97" s="170"/>
      <c r="U97" s="24">
        <v>0</v>
      </c>
      <c r="V97" s="24">
        <v>1</v>
      </c>
      <c r="W97" s="24">
        <v>0</v>
      </c>
      <c r="X97" s="168">
        <v>2</v>
      </c>
      <c r="Y97" s="169">
        <f>CEILING((IF(P97=AS_DEV_EFFORT, DEV_EFFORT*Q97%,
                           IF(P97=AS_DURATION_EFFORT, (MANUAL_DURATION*5)*Q97%,
                                    (IF(Q97&lt;=1,X97,
                                          IF(SUM(U97:W97)=0,(Q97*X97),
                                               (((Q97*U97)*(X97+(X97*EXTRA_FOR_H)))+
                                               ((Q97*V97)*X97)+
                                               ((Q97*W97)*(X97-(X97*LESS_FOR_L)))
                                    )*IF(R97=0,1,R97))))))+Z97), 0.25)</f>
        <v>10</v>
      </c>
      <c r="Z97" s="25"/>
      <c r="AA97" s="169">
        <f>Y97+Y97*VLOOKUP(I97,EXTRAS_ARRAY,2,FALSE)</f>
        <v>10</v>
      </c>
      <c r="AB97" s="23"/>
      <c r="AC97" s="37"/>
      <c r="AD97" s="26" t="str">
        <f>IF(J97&lt;&gt;"Yes",
IF(S97&lt;=0,"Error: Effort value is not defined or is invalid.",
IF(AND(SUM(U97:W97)&gt;0,SUM(U97:W97)&lt;&gt;1),"Error: Complexity % distribution should sum to 100%.",
IF(AND(P97=AS_DEV_EFFORT,X97&lt;&gt;0),"Error: PDs should not be defined when defining as dev effort %.",
IF(AND(P97=AS_DURATION_EFFORT,X97&lt;&gt;0),"Error: PDs should not be defined when defining as duration effort %.","")))))</f>
        <v/>
      </c>
    </row>
    <row r="98" spans="1:30" s="11" customFormat="1" ht="7.5" hidden="1" customHeight="1" outlineLevel="2" x14ac:dyDescent="0.35">
      <c r="A98" s="93" t="s">
        <v>132</v>
      </c>
      <c r="B98" s="18"/>
      <c r="C98" s="78"/>
      <c r="D98" s="78"/>
      <c r="E98" s="78"/>
      <c r="F98" s="78"/>
      <c r="G98" s="10"/>
      <c r="H98" s="10"/>
      <c r="I98" s="10"/>
      <c r="J98" s="10"/>
      <c r="K98" s="10"/>
      <c r="L98" s="10"/>
      <c r="M98" s="287"/>
      <c r="N98" s="10"/>
      <c r="O98" s="10"/>
      <c r="P98" s="10"/>
      <c r="Q98" s="10"/>
      <c r="R98" s="10"/>
      <c r="S98" s="10"/>
      <c r="T98" s="18"/>
      <c r="U98" s="10"/>
      <c r="V98" s="10"/>
      <c r="W98" s="10"/>
      <c r="X98" s="18"/>
      <c r="Y98" s="10"/>
      <c r="Z98" s="10"/>
      <c r="AA98" s="10"/>
      <c r="AB98" s="60"/>
      <c r="AC98" s="60"/>
      <c r="AD98" s="12"/>
    </row>
    <row r="99" spans="1:30" s="17" customFormat="1" ht="15.5" hidden="1" outlineLevel="1" collapsed="1" x14ac:dyDescent="0.35">
      <c r="A99" s="93" t="s">
        <v>100</v>
      </c>
      <c r="B99" s="21"/>
      <c r="C99" s="84"/>
      <c r="D99" s="84"/>
      <c r="E99" s="84"/>
      <c r="F99" s="83"/>
      <c r="G99" s="32"/>
      <c r="H99" s="32"/>
      <c r="I99" s="32"/>
      <c r="J99" s="32"/>
      <c r="K99" s="32"/>
      <c r="L99" s="20">
        <f ca="1">LOOKUP(1000,INDIRECT("L1:"&amp;CELL("address",INDIRECT("R[-1]C",FALSE))))+1</f>
        <v>2</v>
      </c>
      <c r="M99" s="298" t="s">
        <v>449</v>
      </c>
      <c r="N99" s="298"/>
      <c r="O99" s="5"/>
      <c r="P99" s="33"/>
      <c r="Q99" s="33"/>
      <c r="R99" s="33"/>
      <c r="S99" s="33"/>
      <c r="T99" s="167">
        <f>IF($S$6="Exclude", SUMIFS(S100:S106, J100:J106, "&lt;&gt;Yes", G100:G106, "&lt;&gt;Yes"), SUMIFS(S100:S106, J100:J106, "&lt;&gt;Yes"))</f>
        <v>50</v>
      </c>
      <c r="U99" s="33"/>
      <c r="V99" s="33"/>
      <c r="W99" s="33"/>
      <c r="X99" s="34"/>
      <c r="Y99" s="35"/>
      <c r="Z99" s="35"/>
      <c r="AA99" s="35"/>
      <c r="AB99" s="240"/>
      <c r="AC99" s="36"/>
      <c r="AD99" s="26" t="str">
        <f>IF(M99="", "Error: Task name cannot be empty.", "")</f>
        <v/>
      </c>
    </row>
    <row r="100" spans="1:30" s="15" customFormat="1" ht="1.5" hidden="1" customHeight="1" outlineLevel="2" x14ac:dyDescent="0.35">
      <c r="A100" s="93" t="s">
        <v>101</v>
      </c>
      <c r="B100" s="21"/>
      <c r="C100" s="84"/>
      <c r="D100" s="84"/>
      <c r="E100" s="84"/>
      <c r="F100" s="83"/>
      <c r="G100" s="32"/>
      <c r="H100" s="32"/>
      <c r="I100" s="32"/>
      <c r="J100" s="32"/>
      <c r="K100" s="32"/>
      <c r="L100" s="175">
        <f ca="1">L99</f>
        <v>2</v>
      </c>
      <c r="M100" s="176" t="s">
        <v>105</v>
      </c>
      <c r="N100" s="173"/>
      <c r="O100" s="174"/>
      <c r="P100" s="33"/>
      <c r="Q100" s="33"/>
      <c r="R100" s="33"/>
      <c r="S100" s="33"/>
      <c r="T100" s="167"/>
      <c r="U100" s="33"/>
      <c r="V100" s="33"/>
      <c r="W100" s="33"/>
      <c r="X100" s="34"/>
      <c r="Y100" s="35"/>
      <c r="Z100" s="35"/>
      <c r="AA100" s="35"/>
      <c r="AB100" s="36"/>
      <c r="AC100" s="36"/>
      <c r="AD100" s="26"/>
    </row>
    <row r="101" spans="1:30" ht="43.5" hidden="1" outlineLevel="2" x14ac:dyDescent="0.35">
      <c r="A101" s="93" t="s">
        <v>0</v>
      </c>
      <c r="B101" s="21"/>
      <c r="C101" s="85"/>
      <c r="D101" s="85"/>
      <c r="E101" s="85"/>
      <c r="F101" s="86"/>
      <c r="G101" s="22" t="s">
        <v>23</v>
      </c>
      <c r="H101" s="22" t="s">
        <v>23</v>
      </c>
      <c r="I101" s="23" t="s">
        <v>23</v>
      </c>
      <c r="J101" s="22" t="s">
        <v>23</v>
      </c>
      <c r="K101" s="38"/>
      <c r="L101" s="22"/>
      <c r="M101" s="286" t="str">
        <f ca="1">IFERROR(OFFSET(M101,-1,,1,1)+0.1,OFFSET(M101,-1,-1,1,1)&amp;".1")</f>
        <v>2.1</v>
      </c>
      <c r="N101" s="23" t="s">
        <v>483</v>
      </c>
      <c r="O101" s="23"/>
      <c r="P101" s="23" t="s">
        <v>582</v>
      </c>
      <c r="Q101" s="144">
        <v>1</v>
      </c>
      <c r="R101" s="137">
        <v>1</v>
      </c>
      <c r="S101" s="169">
        <f>CEILING((IF(J101="Yes", 0, IF(H101="-",AA101,AA101+AA101*VLOOKUP(H101,BUFFERS_BY_TYPE,2,FALSE)))) +
   (IF(J101="Yes", 0, IF(H101="-",AA101,AA101+AA101*VLOOKUP(H101,BUFFERS_BY_TYPE,2,FALSE))))*VLOOKUP($S$5, SALES_CALL_SCALE_ARRAY, 2,FALSE),0.25)</f>
        <v>15</v>
      </c>
      <c r="T101" s="170"/>
      <c r="U101" s="24">
        <v>0</v>
      </c>
      <c r="V101" s="24">
        <v>1</v>
      </c>
      <c r="W101" s="24">
        <v>0</v>
      </c>
      <c r="X101" s="168">
        <v>15</v>
      </c>
      <c r="Y101" s="169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15</v>
      </c>
      <c r="Z101" s="25"/>
      <c r="AA101" s="169">
        <f>Y101+Y101*VLOOKUP(I101,EXTRAS_ARRAY,2,FALSE)</f>
        <v>15</v>
      </c>
      <c r="AB101" s="23" t="s">
        <v>581</v>
      </c>
      <c r="AC101" s="37"/>
      <c r="AD101" s="26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ht="29" hidden="1" outlineLevel="2" x14ac:dyDescent="0.35">
      <c r="A102" s="93" t="s">
        <v>0</v>
      </c>
      <c r="B102" s="21"/>
      <c r="C102" s="85"/>
      <c r="D102" s="85"/>
      <c r="E102" s="85"/>
      <c r="F102" s="86"/>
      <c r="G102" s="22" t="s">
        <v>23</v>
      </c>
      <c r="H102" s="22" t="s">
        <v>23</v>
      </c>
      <c r="I102" s="23" t="s">
        <v>23</v>
      </c>
      <c r="J102" s="22" t="s">
        <v>23</v>
      </c>
      <c r="K102" s="38"/>
      <c r="L102" s="22"/>
      <c r="M102" s="286">
        <f ca="1">IFERROR(OFFSET(M102,-1,,1,1)+0.1,OFFSET(M102,-1,-1,1,1)&amp;".1")</f>
        <v>2.2000000000000002</v>
      </c>
      <c r="N102" s="23" t="s">
        <v>484</v>
      </c>
      <c r="O102" s="23"/>
      <c r="P102" s="23" t="s">
        <v>582</v>
      </c>
      <c r="Q102" s="144">
        <v>1</v>
      </c>
      <c r="R102" s="137">
        <v>1</v>
      </c>
      <c r="S102" s="169">
        <f>CEILING((IF(J102="Yes", 0, IF(H102="-",AA102,AA102+AA102*VLOOKUP(H102,BUFFERS_BY_TYPE,2,FALSE)))) +
   (IF(J102="Yes", 0, IF(H102="-",AA102,AA102+AA102*VLOOKUP(H102,BUFFERS_BY_TYPE,2,FALSE))))*VLOOKUP($S$5, SALES_CALL_SCALE_ARRAY, 2,FALSE),0.25)</f>
        <v>5</v>
      </c>
      <c r="T102" s="170"/>
      <c r="U102" s="24">
        <v>0</v>
      </c>
      <c r="V102" s="24">
        <v>1</v>
      </c>
      <c r="W102" s="24">
        <v>0</v>
      </c>
      <c r="X102" s="168">
        <v>5</v>
      </c>
      <c r="Y102" s="169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>5</v>
      </c>
      <c r="Z102" s="25"/>
      <c r="AA102" s="169">
        <f>Y102+Y102*VLOOKUP(I102,EXTRAS_ARRAY,2,FALSE)</f>
        <v>5</v>
      </c>
      <c r="AB102" s="23" t="s">
        <v>581</v>
      </c>
      <c r="AC102" s="37"/>
      <c r="AD102" s="26" t="str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spans="1:30" ht="29" hidden="1" outlineLevel="2" x14ac:dyDescent="0.35">
      <c r="A103" s="93" t="s">
        <v>0</v>
      </c>
      <c r="B103" s="21"/>
      <c r="C103" s="85"/>
      <c r="D103" s="85"/>
      <c r="E103" s="85"/>
      <c r="F103" s="86"/>
      <c r="G103" s="22" t="s">
        <v>23</v>
      </c>
      <c r="H103" s="22" t="s">
        <v>23</v>
      </c>
      <c r="I103" s="23" t="s">
        <v>23</v>
      </c>
      <c r="J103" s="22" t="s">
        <v>23</v>
      </c>
      <c r="K103" s="38"/>
      <c r="L103" s="22"/>
      <c r="M103" s="286">
        <f ca="1">IFERROR(OFFSET(M103,-1,,1,1)+0.1,OFFSET(M103,-1,-1,1,1)&amp;".1")</f>
        <v>2.3000000000000003</v>
      </c>
      <c r="N103" s="23" t="s">
        <v>485</v>
      </c>
      <c r="O103" s="23"/>
      <c r="P103" s="23" t="s">
        <v>582</v>
      </c>
      <c r="Q103" s="144">
        <v>2</v>
      </c>
      <c r="R103" s="137">
        <v>2</v>
      </c>
      <c r="S103" s="169">
        <f>CEILING((IF(J103="Yes", 0, IF(H103="-",AA103,AA103+AA103*VLOOKUP(H103,BUFFERS_BY_TYPE,2,FALSE)))) +
   (IF(J103="Yes", 0, IF(H103="-",AA103,AA103+AA103*VLOOKUP(H103,BUFFERS_BY_TYPE,2,FALSE))))*VLOOKUP($S$5, SALES_CALL_SCALE_ARRAY, 2,FALSE),0.25)</f>
        <v>16</v>
      </c>
      <c r="T103" s="170"/>
      <c r="U103" s="24">
        <v>0</v>
      </c>
      <c r="V103" s="24">
        <v>1</v>
      </c>
      <c r="W103" s="24">
        <v>0</v>
      </c>
      <c r="X103" s="168">
        <v>4</v>
      </c>
      <c r="Y103" s="169">
        <f>CEILING((IF(P103=AS_DEV_EFFORT, DEV_EFFORT*Q103%,
                           IF(P103=AS_DURATION_EFFORT, (MANUAL_DURATION*5)*Q103%,
                                    (IF(Q103&lt;=1,X103,
                                          IF(SUM(U103:W103)=0,(Q103*X103),
                                               (((Q103*U103)*(X103+(X103*EXTRA_FOR_H)))+
                                               ((Q103*V103)*X103)+
                                               ((Q103*W103)*(X103-(X103*LESS_FOR_L)))
                                    )*IF(R103=0,1,R103))))))+Z103), 0.25)</f>
        <v>16</v>
      </c>
      <c r="Z103" s="25"/>
      <c r="AA103" s="169">
        <f>Y103+Y103*VLOOKUP(I103,EXTRAS_ARRAY,2,FALSE)</f>
        <v>16</v>
      </c>
      <c r="AB103" s="23" t="s">
        <v>581</v>
      </c>
      <c r="AC103" s="37"/>
      <c r="AD103" s="26" t="str">
        <f>IF(J103&lt;&gt;"Yes",
IF(S103&lt;=0,"Error: Effort value is not defined or is invalid.",
IF(AND(SUM(U103:W103)&gt;0,SUM(U103:W103)&lt;&gt;1),"Error: Complexity % distribution should sum to 100%.",
IF(AND(P103=AS_DEV_EFFORT,X103&lt;&gt;0),"Error: PDs should not be defined when defining as dev effort %.",
IF(AND(P103=AS_DURATION_EFFORT,X103&lt;&gt;0),"Error: PDs should not be defined when defining as duration effort %.","")))))</f>
        <v/>
      </c>
    </row>
    <row r="104" spans="1:30" ht="29" hidden="1" outlineLevel="2" x14ac:dyDescent="0.35">
      <c r="A104" s="93" t="s">
        <v>0</v>
      </c>
      <c r="B104" s="21"/>
      <c r="C104" s="85"/>
      <c r="D104" s="85"/>
      <c r="E104" s="85"/>
      <c r="F104" s="86"/>
      <c r="G104" s="22" t="s">
        <v>23</v>
      </c>
      <c r="H104" s="22" t="s">
        <v>23</v>
      </c>
      <c r="I104" s="23" t="s">
        <v>23</v>
      </c>
      <c r="J104" s="22" t="s">
        <v>23</v>
      </c>
      <c r="K104" s="38"/>
      <c r="L104" s="22"/>
      <c r="M104" s="286">
        <f ca="1">IFERROR(OFFSET(M104,-1,,1,1)+0.1,OFFSET(M104,-1,-1,1,1)&amp;".1")</f>
        <v>2.4000000000000004</v>
      </c>
      <c r="N104" s="23" t="s">
        <v>486</v>
      </c>
      <c r="O104" s="23"/>
      <c r="P104" s="23" t="s">
        <v>582</v>
      </c>
      <c r="Q104" s="144">
        <v>1</v>
      </c>
      <c r="R104" s="137">
        <v>2</v>
      </c>
      <c r="S104" s="169">
        <f>CEILING((IF(J104="Yes", 0, IF(H104="-",AA104,AA104+AA104*VLOOKUP(H104,BUFFERS_BY_TYPE,2,FALSE)))) +
   (IF(J104="Yes", 0, IF(H104="-",AA104,AA104+AA104*VLOOKUP(H104,BUFFERS_BY_TYPE,2,FALSE))))*VLOOKUP($S$5, SALES_CALL_SCALE_ARRAY, 2,FALSE),0.25)</f>
        <v>7</v>
      </c>
      <c r="T104" s="170"/>
      <c r="U104" s="24">
        <v>0</v>
      </c>
      <c r="V104" s="24">
        <v>1</v>
      </c>
      <c r="W104" s="24">
        <v>0</v>
      </c>
      <c r="X104" s="168">
        <v>7</v>
      </c>
      <c r="Y104" s="169">
        <f>CEILING((IF(P104=AS_DEV_EFFORT, DEV_EFFORT*Q104%,
                           IF(P104=AS_DURATION_EFFORT, (MANUAL_DURATION*5)*Q104%,
                                    (IF(Q104&lt;=1,X104,
                                          IF(SUM(U104:W104)=0,(Q104*X104),
                                               (((Q104*U104)*(X104+(X104*EXTRA_FOR_H)))+
                                               ((Q104*V104)*X104)+
                                               ((Q104*W104)*(X104-(X104*LESS_FOR_L)))
                                    )*IF(R104=0,1,R104))))))+Z104), 0.25)</f>
        <v>7</v>
      </c>
      <c r="Z104" s="25"/>
      <c r="AA104" s="169">
        <f>Y104+Y104*VLOOKUP(I104,EXTRAS_ARRAY,2,FALSE)</f>
        <v>7</v>
      </c>
      <c r="AB104" s="23"/>
      <c r="AC104" s="37"/>
      <c r="AD104" s="26" t="str">
        <f>IF(J104&lt;&gt;"Yes",
IF(S104&lt;=0,"Error: Effort value is not defined or is invalid.",
IF(AND(SUM(U104:W104)&gt;0,SUM(U104:W104)&lt;&gt;1),"Error: Complexity % distribution should sum to 100%.",
IF(AND(P104=AS_DEV_EFFORT,X104&lt;&gt;0),"Error: PDs should not be defined when defining as dev effort %.",
IF(AND(P104=AS_DURATION_EFFORT,X104&lt;&gt;0),"Error: PDs should not be defined when defining as duration effort %.","")))))</f>
        <v/>
      </c>
    </row>
    <row r="105" spans="1:30" ht="29" hidden="1" outlineLevel="2" x14ac:dyDescent="0.35">
      <c r="A105" s="93" t="s">
        <v>0</v>
      </c>
      <c r="B105" s="21"/>
      <c r="C105" s="85"/>
      <c r="D105" s="85"/>
      <c r="E105" s="85"/>
      <c r="F105" s="86"/>
      <c r="G105" s="22" t="s">
        <v>23</v>
      </c>
      <c r="H105" s="22" t="s">
        <v>23</v>
      </c>
      <c r="I105" s="23" t="s">
        <v>23</v>
      </c>
      <c r="J105" s="22" t="s">
        <v>23</v>
      </c>
      <c r="K105" s="38"/>
      <c r="L105" s="22"/>
      <c r="M105" s="286">
        <f ca="1">IFERROR(OFFSET(M105,-1,,1,1)+0.1,OFFSET(M105,-1,-1,1,1)&amp;".1")</f>
        <v>2.5000000000000004</v>
      </c>
      <c r="N105" s="23" t="s">
        <v>487</v>
      </c>
      <c r="O105" s="23"/>
      <c r="P105" s="23" t="s">
        <v>582</v>
      </c>
      <c r="Q105" s="144">
        <v>1</v>
      </c>
      <c r="R105" s="137">
        <v>3</v>
      </c>
      <c r="S105" s="169">
        <f>CEILING((IF(J105="Yes", 0, IF(H105="-",AA105,AA105+AA105*VLOOKUP(H105,BUFFERS_BY_TYPE,2,FALSE)))) +
   (IF(J105="Yes", 0, IF(H105="-",AA105,AA105+AA105*VLOOKUP(H105,BUFFERS_BY_TYPE,2,FALSE))))*VLOOKUP($S$5, SALES_CALL_SCALE_ARRAY, 2,FALSE),0.25)</f>
        <v>7</v>
      </c>
      <c r="T105" s="170"/>
      <c r="U105" s="24">
        <v>0</v>
      </c>
      <c r="V105" s="24">
        <v>1</v>
      </c>
      <c r="W105" s="24">
        <v>0</v>
      </c>
      <c r="X105" s="168">
        <v>7</v>
      </c>
      <c r="Y105" s="169">
        <f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7</v>
      </c>
      <c r="Z105" s="25"/>
      <c r="AA105" s="169">
        <f>Y105+Y105*VLOOKUP(I105,EXTRAS_ARRAY,2,FALSE)</f>
        <v>7</v>
      </c>
      <c r="AB105" s="23" t="s">
        <v>581</v>
      </c>
      <c r="AC105" s="37"/>
      <c r="AD105" s="26" t="str">
        <f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s="11" customFormat="1" ht="7.5" hidden="1" customHeight="1" outlineLevel="2" x14ac:dyDescent="0.35">
      <c r="A106" s="93" t="s">
        <v>132</v>
      </c>
      <c r="B106" s="18"/>
      <c r="C106" s="78"/>
      <c r="D106" s="78"/>
      <c r="E106" s="78"/>
      <c r="F106" s="78"/>
      <c r="G106" s="10"/>
      <c r="H106" s="10"/>
      <c r="I106" s="10"/>
      <c r="J106" s="10"/>
      <c r="K106" s="10"/>
      <c r="L106" s="10"/>
      <c r="M106" s="287"/>
      <c r="N106" s="10"/>
      <c r="O106" s="10"/>
      <c r="P106" s="10"/>
      <c r="Q106" s="10"/>
      <c r="R106" s="10"/>
      <c r="S106" s="10"/>
      <c r="T106" s="18"/>
      <c r="U106" s="10"/>
      <c r="V106" s="10"/>
      <c r="W106" s="10"/>
      <c r="X106" s="18"/>
      <c r="Y106" s="10"/>
      <c r="Z106" s="10"/>
      <c r="AA106" s="10"/>
      <c r="AB106" s="60"/>
      <c r="AC106" s="60"/>
      <c r="AD106" s="12"/>
    </row>
    <row r="107" spans="1:30" s="17" customFormat="1" ht="15.5" hidden="1" outlineLevel="1" x14ac:dyDescent="0.35">
      <c r="A107" s="93" t="s">
        <v>107</v>
      </c>
      <c r="B107" s="21"/>
      <c r="C107" s="84"/>
      <c r="D107" s="84"/>
      <c r="E107" s="84"/>
      <c r="F107" s="83"/>
      <c r="G107" s="185"/>
      <c r="H107" s="185"/>
      <c r="I107" s="185"/>
      <c r="J107" s="185"/>
      <c r="K107" s="185"/>
      <c r="L107" s="92" t="s">
        <v>109</v>
      </c>
      <c r="M107" s="316" t="s">
        <v>124</v>
      </c>
      <c r="N107" s="316"/>
      <c r="O107" s="87"/>
      <c r="P107" s="88"/>
      <c r="Q107" s="88"/>
      <c r="R107" s="88"/>
      <c r="S107" s="300">
        <f>SUMGROUP(ROW(), "T")</f>
        <v>86.25</v>
      </c>
      <c r="T107" s="300"/>
      <c r="U107" s="309"/>
      <c r="V107" s="309"/>
      <c r="W107" s="309"/>
      <c r="X107" s="89"/>
      <c r="Y107" s="90"/>
      <c r="Z107" s="90"/>
      <c r="AA107" s="90"/>
      <c r="AB107" s="243"/>
      <c r="AC107" s="91"/>
      <c r="AD107" s="26" t="str">
        <f>IF(M107="", "Error: Module name cannot be empty.", "")</f>
        <v/>
      </c>
    </row>
    <row r="108" spans="1:30" s="17" customFormat="1" ht="15.5" hidden="1" outlineLevel="1" collapsed="1" x14ac:dyDescent="0.35">
      <c r="A108" s="93" t="s">
        <v>100</v>
      </c>
      <c r="B108" s="21"/>
      <c r="C108" s="84"/>
      <c r="D108" s="84"/>
      <c r="E108" s="84"/>
      <c r="F108" s="83"/>
      <c r="G108" s="32"/>
      <c r="H108" s="32"/>
      <c r="I108" s="32"/>
      <c r="J108" s="32"/>
      <c r="K108" s="32"/>
      <c r="L108" s="20">
        <f ca="1">LOOKUP(1000,INDIRECT("L1:"&amp;CELL("address",INDIRECT("R[-1]C",FALSE))))+1</f>
        <v>3</v>
      </c>
      <c r="M108" s="298" t="s">
        <v>586</v>
      </c>
      <c r="N108" s="298"/>
      <c r="O108" s="5"/>
      <c r="P108" s="33"/>
      <c r="Q108" s="33"/>
      <c r="R108" s="33"/>
      <c r="S108" s="33"/>
      <c r="T108" s="167">
        <f>IF($S$6="Exclude", SUMIFS(S109:S114, J109:J114, "&lt;&gt;Yes", G109:G114, "&lt;&gt;Yes"), SUMIFS(S109:S114, J109:J114, "&lt;&gt;Yes"))</f>
        <v>2.25</v>
      </c>
      <c r="U108" s="33"/>
      <c r="V108" s="33"/>
      <c r="W108" s="33"/>
      <c r="X108" s="34"/>
      <c r="Y108" s="35"/>
      <c r="Z108" s="35"/>
      <c r="AA108" s="35"/>
      <c r="AB108" s="240"/>
      <c r="AC108" s="36"/>
      <c r="AD108" s="26" t="str">
        <f>IF(M108="", "Error: Task name cannot be empty.", "")</f>
        <v/>
      </c>
    </row>
    <row r="109" spans="1:30" s="15" customFormat="1" ht="1.5" hidden="1" customHeight="1" outlineLevel="2" x14ac:dyDescent="0.35">
      <c r="A109" s="93" t="s">
        <v>101</v>
      </c>
      <c r="B109" s="21"/>
      <c r="C109" s="84"/>
      <c r="D109" s="84"/>
      <c r="E109" s="84"/>
      <c r="F109" s="83"/>
      <c r="G109" s="32"/>
      <c r="H109" s="32"/>
      <c r="I109" s="32"/>
      <c r="J109" s="32"/>
      <c r="K109" s="32"/>
      <c r="L109" s="175">
        <f ca="1">L108</f>
        <v>3</v>
      </c>
      <c r="M109" s="176" t="s">
        <v>105</v>
      </c>
      <c r="N109" s="173"/>
      <c r="O109" s="174"/>
      <c r="P109" s="33"/>
      <c r="Q109" s="33"/>
      <c r="R109" s="33"/>
      <c r="S109" s="33"/>
      <c r="T109" s="167"/>
      <c r="U109" s="33"/>
      <c r="V109" s="33"/>
      <c r="W109" s="33"/>
      <c r="X109" s="34"/>
      <c r="Y109" s="35"/>
      <c r="Z109" s="35"/>
      <c r="AA109" s="35"/>
      <c r="AB109" s="36"/>
      <c r="AC109" s="36"/>
      <c r="AD109" s="26"/>
    </row>
    <row r="110" spans="1:30" ht="43.5" hidden="1" outlineLevel="2" x14ac:dyDescent="0.35">
      <c r="A110" s="93" t="s">
        <v>0</v>
      </c>
      <c r="B110" s="21"/>
      <c r="C110" s="85"/>
      <c r="D110" s="85"/>
      <c r="E110" s="85"/>
      <c r="F110" s="86"/>
      <c r="G110" s="22" t="s">
        <v>23</v>
      </c>
      <c r="H110" s="22" t="s">
        <v>23</v>
      </c>
      <c r="I110" s="23" t="s">
        <v>23</v>
      </c>
      <c r="J110" s="22" t="s">
        <v>23</v>
      </c>
      <c r="K110" s="38"/>
      <c r="L110" s="22"/>
      <c r="M110" s="286" t="str">
        <f ca="1">IFERROR(OFFSET(M110,-1,,1,1)+0.1,OFFSET(M110,-1,-1,1,1)&amp;".1")</f>
        <v>3.1</v>
      </c>
      <c r="N110" s="23" t="s">
        <v>587</v>
      </c>
      <c r="O110" s="23"/>
      <c r="P110" s="23"/>
      <c r="Q110" s="144"/>
      <c r="R110" s="137"/>
      <c r="S110" s="169">
        <f>CEILING((IF(J110="Yes", 0, IF(H110="-",AA110,AA110+AA110*VLOOKUP(H110,BUFFERS_BY_TYPE,2,FALSE)))) +
   (IF(J110="Yes", 0, IF(H110="-",AA110,AA110+AA110*VLOOKUP(H110,BUFFERS_BY_TYPE,2,FALSE))))*VLOOKUP($S$5, SALES_CALL_SCALE_ARRAY, 2,FALSE),0.25)</f>
        <v>0.5</v>
      </c>
      <c r="T110" s="170"/>
      <c r="U110" s="24">
        <v>0</v>
      </c>
      <c r="V110" s="24">
        <v>1</v>
      </c>
      <c r="W110" s="24">
        <v>0</v>
      </c>
      <c r="X110" s="168">
        <v>0.5</v>
      </c>
      <c r="Y110" s="169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>0.5</v>
      </c>
      <c r="Z110" s="25"/>
      <c r="AA110" s="169">
        <f>Y110+Y110*VLOOKUP(I110,EXTRAS_ARRAY,2,FALSE)</f>
        <v>0.5</v>
      </c>
      <c r="AB110" s="23"/>
      <c r="AC110" s="37"/>
      <c r="AD110" s="26" t="str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spans="1:30" ht="43.5" hidden="1" outlineLevel="2" x14ac:dyDescent="0.35">
      <c r="A111" s="93" t="s">
        <v>0</v>
      </c>
      <c r="B111" s="21"/>
      <c r="C111" s="85"/>
      <c r="D111" s="85"/>
      <c r="E111" s="85"/>
      <c r="F111" s="86"/>
      <c r="G111" s="22" t="s">
        <v>23</v>
      </c>
      <c r="H111" s="22" t="s">
        <v>23</v>
      </c>
      <c r="I111" s="23" t="s">
        <v>23</v>
      </c>
      <c r="J111" s="22" t="s">
        <v>23</v>
      </c>
      <c r="K111" s="38"/>
      <c r="L111" s="22"/>
      <c r="M111" s="286">
        <f ca="1">IFERROR(OFFSET(M111,-1,,1,1)+0.1,OFFSET(M111,-1,-1,1,1)&amp;".1")</f>
        <v>3.2</v>
      </c>
      <c r="N111" s="23" t="s">
        <v>588</v>
      </c>
      <c r="O111" s="23"/>
      <c r="P111" s="23"/>
      <c r="Q111" s="144"/>
      <c r="R111" s="137"/>
      <c r="S111" s="169">
        <f>CEILING((IF(J111="Yes", 0, IF(H111="-",AA111,AA111+AA111*VLOOKUP(H111,BUFFERS_BY_TYPE,2,FALSE)))) +
   (IF(J111="Yes", 0, IF(H111="-",AA111,AA111+AA111*VLOOKUP(H111,BUFFERS_BY_TYPE,2,FALSE))))*VLOOKUP($S$5, SALES_CALL_SCALE_ARRAY, 2,FALSE),0.25)</f>
        <v>0.5</v>
      </c>
      <c r="T111" s="170"/>
      <c r="U111" s="24">
        <v>0</v>
      </c>
      <c r="V111" s="24">
        <v>1</v>
      </c>
      <c r="W111" s="24">
        <v>0</v>
      </c>
      <c r="X111" s="168">
        <v>0.5</v>
      </c>
      <c r="Y111" s="169">
        <f>CEILING((IF(P111=AS_DEV_EFFORT, DEV_EFFORT*Q111%,
                           IF(P111=AS_DURATION_EFFORT, (MANUAL_DURATION*5)*Q111%,
                                    (IF(Q111&lt;=1,X111,
                                          IF(SUM(U111:W111)=0,(Q111*X111),
                                               (((Q111*U111)*(X111+(X111*EXTRA_FOR_H)))+
                                               ((Q111*V111)*X111)+
                                               ((Q111*W111)*(X111-(X111*LESS_FOR_L)))
                                    )*IF(R111=0,1,R111))))))+Z111), 0.25)</f>
        <v>0.5</v>
      </c>
      <c r="Z111" s="25"/>
      <c r="AA111" s="169">
        <f>Y111+Y111*VLOOKUP(I111,EXTRAS_ARRAY,2,FALSE)</f>
        <v>0.5</v>
      </c>
      <c r="AB111" s="23"/>
      <c r="AC111" s="37"/>
      <c r="AD111" s="26" t="str">
        <f>IF(J111&lt;&gt;"Yes",
IF(S111&lt;=0,"Error: Effort value is not defined or is invalid.",
IF(AND(SUM(U111:W111)&gt;0,SUM(U111:W111)&lt;&gt;1),"Error: Complexity % distribution should sum to 100%.",
IF(AND(P111=AS_DEV_EFFORT,X111&lt;&gt;0),"Error: PDs should not be defined when defining as dev effort %.",
IF(AND(P111=AS_DURATION_EFFORT,X111&lt;&gt;0),"Error: PDs should not be defined when defining as duration effort %.","")))))</f>
        <v/>
      </c>
    </row>
    <row r="112" spans="1:30" ht="43.5" hidden="1" outlineLevel="2" x14ac:dyDescent="0.35">
      <c r="A112" s="93" t="s">
        <v>0</v>
      </c>
      <c r="B112" s="21"/>
      <c r="C112" s="85"/>
      <c r="D112" s="85"/>
      <c r="E112" s="85"/>
      <c r="F112" s="86"/>
      <c r="G112" s="22" t="s">
        <v>23</v>
      </c>
      <c r="H112" s="22" t="s">
        <v>23</v>
      </c>
      <c r="I112" s="23" t="s">
        <v>23</v>
      </c>
      <c r="J112" s="22" t="s">
        <v>23</v>
      </c>
      <c r="K112" s="38"/>
      <c r="L112" s="22"/>
      <c r="M112" s="286">
        <f ca="1">IFERROR(OFFSET(M112,-1,,1,1)+0.1,OFFSET(M112,-1,-1,1,1)&amp;".1")</f>
        <v>3.3000000000000003</v>
      </c>
      <c r="N112" s="23" t="s">
        <v>589</v>
      </c>
      <c r="O112" s="23"/>
      <c r="P112" s="23"/>
      <c r="Q112" s="144"/>
      <c r="R112" s="137"/>
      <c r="S112" s="169">
        <f>CEILING((IF(J112="Yes", 0, IF(H112="-",AA112,AA112+AA112*VLOOKUP(H112,BUFFERS_BY_TYPE,2,FALSE)))) +
   (IF(J112="Yes", 0, IF(H112="-",AA112,AA112+AA112*VLOOKUP(H112,BUFFERS_BY_TYPE,2,FALSE))))*VLOOKUP($S$5, SALES_CALL_SCALE_ARRAY, 2,FALSE),0.25)</f>
        <v>0.25</v>
      </c>
      <c r="T112" s="170"/>
      <c r="U112" s="24">
        <v>0</v>
      </c>
      <c r="V112" s="24">
        <v>1</v>
      </c>
      <c r="W112" s="24">
        <v>0</v>
      </c>
      <c r="X112" s="168">
        <v>0.1</v>
      </c>
      <c r="Y112" s="169">
        <f>CEILING((IF(P112=AS_DEV_EFFORT, DEV_EFFORT*Q112%,
                           IF(P112=AS_DURATION_EFFORT, (MANUAL_DURATION*5)*Q112%,
                                    (IF(Q112&lt;=1,X112,
                                          IF(SUM(U112:W112)=0,(Q112*X112),
                                               (((Q112*U112)*(X112+(X112*EXTRA_FOR_H)))+
                                               ((Q112*V112)*X112)+
                                               ((Q112*W112)*(X112-(X112*LESS_FOR_L)))
                                    )*IF(R112=0,1,R112))))))+Z112), 0.25)</f>
        <v>0.25</v>
      </c>
      <c r="Z112" s="25"/>
      <c r="AA112" s="169">
        <f>Y112+Y112*VLOOKUP(I112,EXTRAS_ARRAY,2,FALSE)</f>
        <v>0.25</v>
      </c>
      <c r="AB112" s="23" t="s">
        <v>445</v>
      </c>
      <c r="AC112" s="37"/>
      <c r="AD112" s="26" t="str">
        <f>IF(J112&lt;&gt;"Yes",
IF(S112&lt;=0,"Error: Effort value is not defined or is invalid.",
IF(AND(SUM(U112:W112)&gt;0,SUM(U112:W112)&lt;&gt;1),"Error: Complexity % distribution should sum to 100%.",
IF(AND(P112=AS_DEV_EFFORT,X112&lt;&gt;0),"Error: PDs should not be defined when defining as dev effort %.",
IF(AND(P112=AS_DURATION_EFFORT,X112&lt;&gt;0),"Error: PDs should not be defined when defining as duration effort %.","")))))</f>
        <v/>
      </c>
    </row>
    <row r="113" spans="1:30" ht="58" hidden="1" outlineLevel="2" x14ac:dyDescent="0.35">
      <c r="A113" s="93" t="s">
        <v>0</v>
      </c>
      <c r="B113" s="21"/>
      <c r="C113" s="85"/>
      <c r="D113" s="85"/>
      <c r="E113" s="85"/>
      <c r="F113" s="86"/>
      <c r="G113" s="22" t="s">
        <v>23</v>
      </c>
      <c r="H113" s="22" t="s">
        <v>23</v>
      </c>
      <c r="I113" s="23" t="s">
        <v>23</v>
      </c>
      <c r="J113" s="22" t="s">
        <v>23</v>
      </c>
      <c r="K113" s="38"/>
      <c r="L113" s="22"/>
      <c r="M113" s="286">
        <f ca="1">IFERROR(OFFSET(M113,-1,,1,1)+0.1,OFFSET(M113,-1,-1,1,1)&amp;".1")</f>
        <v>3.4000000000000004</v>
      </c>
      <c r="N113" s="23" t="s">
        <v>590</v>
      </c>
      <c r="O113" s="23"/>
      <c r="P113" s="23"/>
      <c r="Q113" s="144"/>
      <c r="R113" s="137"/>
      <c r="S113" s="169">
        <f>CEILING((IF(J113="Yes", 0, IF(H113="-",AA113,AA113+AA113*VLOOKUP(H113,BUFFERS_BY_TYPE,2,FALSE)))) +
   (IF(J113="Yes", 0, IF(H113="-",AA113,AA113+AA113*VLOOKUP(H113,BUFFERS_BY_TYPE,2,FALSE))))*VLOOKUP($S$5, SALES_CALL_SCALE_ARRAY, 2,FALSE),0.25)</f>
        <v>1</v>
      </c>
      <c r="T113" s="170"/>
      <c r="U113" s="24">
        <v>0</v>
      </c>
      <c r="V113" s="24">
        <v>1</v>
      </c>
      <c r="W113" s="24">
        <v>0</v>
      </c>
      <c r="X113" s="168">
        <v>1</v>
      </c>
      <c r="Y113" s="169">
        <f>CEILING((IF(P113=AS_DEV_EFFORT, DEV_EFFORT*Q113%,
                           IF(P113=AS_DURATION_EFFORT, (MANUAL_DURATION*5)*Q113%,
                                    (IF(Q113&lt;=1,X113,
                                          IF(SUM(U113:W113)=0,(Q113*X113),
                                               (((Q113*U113)*(X113+(X113*EXTRA_FOR_H)))+
                                               ((Q113*V113)*X113)+
                                               ((Q113*W113)*(X113-(X113*LESS_FOR_L)))
                                    )*IF(R113=0,1,R113))))))+Z113), 0.25)</f>
        <v>1</v>
      </c>
      <c r="Z113" s="25"/>
      <c r="AA113" s="169">
        <f>Y113+Y113*VLOOKUP(I113,EXTRAS_ARRAY,2,FALSE)</f>
        <v>1</v>
      </c>
      <c r="AB113" s="23" t="s">
        <v>445</v>
      </c>
      <c r="AC113" s="37"/>
      <c r="AD113" s="26" t="str">
        <f>IF(J113&lt;&gt;"Yes",
IF(S113&lt;=0,"Error: Effort value is not defined or is invalid.",
IF(AND(SUM(U113:W113)&gt;0,SUM(U113:W113)&lt;&gt;1),"Error: Complexity % distribution should sum to 100%.",
IF(AND(P113=AS_DEV_EFFORT,X113&lt;&gt;0),"Error: PDs should not be defined when defining as dev effort %.",
IF(AND(P113=AS_DURATION_EFFORT,X113&lt;&gt;0),"Error: PDs should not be defined when defining as duration effort %.","")))))</f>
        <v/>
      </c>
    </row>
    <row r="114" spans="1:30" s="11" customFormat="1" ht="7.5" hidden="1" customHeight="1" outlineLevel="2" x14ac:dyDescent="0.35">
      <c r="A114" s="93" t="s">
        <v>132</v>
      </c>
      <c r="B114" s="18"/>
      <c r="C114" s="78"/>
      <c r="D114" s="78"/>
      <c r="E114" s="78"/>
      <c r="F114" s="78"/>
      <c r="G114" s="10"/>
      <c r="H114" s="10"/>
      <c r="I114" s="10"/>
      <c r="J114" s="10"/>
      <c r="K114" s="10"/>
      <c r="L114" s="10"/>
      <c r="M114" s="287"/>
      <c r="N114" s="10"/>
      <c r="O114" s="10"/>
      <c r="P114" s="10"/>
      <c r="Q114" s="10"/>
      <c r="R114" s="10"/>
      <c r="S114" s="10"/>
      <c r="T114" s="18"/>
      <c r="U114" s="10"/>
      <c r="V114" s="10"/>
      <c r="W114" s="10"/>
      <c r="X114" s="18"/>
      <c r="Y114" s="10"/>
      <c r="Z114" s="10"/>
      <c r="AA114" s="10"/>
      <c r="AB114" s="60"/>
      <c r="AC114" s="60"/>
      <c r="AD114" s="12"/>
    </row>
    <row r="115" spans="1:30" s="17" customFormat="1" ht="15.5" hidden="1" outlineLevel="1" collapsed="1" x14ac:dyDescent="0.35">
      <c r="A115" s="93" t="s">
        <v>100</v>
      </c>
      <c r="B115" s="21"/>
      <c r="C115" s="84"/>
      <c r="D115" s="84"/>
      <c r="E115" s="84"/>
      <c r="F115" s="83"/>
      <c r="G115" s="32"/>
      <c r="H115" s="32"/>
      <c r="I115" s="32"/>
      <c r="J115" s="32"/>
      <c r="K115" s="32"/>
      <c r="L115" s="20">
        <f ca="1">LOOKUP(1000,INDIRECT("L1:"&amp;CELL("address",INDIRECT("R[-1]C",FALSE))))+1</f>
        <v>4</v>
      </c>
      <c r="M115" s="298" t="s">
        <v>608</v>
      </c>
      <c r="N115" s="298"/>
      <c r="O115" s="5"/>
      <c r="P115" s="33"/>
      <c r="Q115" s="33"/>
      <c r="R115" s="33"/>
      <c r="S115" s="33"/>
      <c r="T115" s="167">
        <f>IF($S$6="Exclude", SUMIFS(S116:S118, J116:J118, "&lt;&gt;Yes", G116:G118, "&lt;&gt;Yes"), SUMIFS(S116:S118, J116:J118, "&lt;&gt;Yes"))</f>
        <v>1.5</v>
      </c>
      <c r="U115" s="33"/>
      <c r="V115" s="33"/>
      <c r="W115" s="33"/>
      <c r="X115" s="34"/>
      <c r="Y115" s="35"/>
      <c r="Z115" s="35"/>
      <c r="AA115" s="35"/>
      <c r="AB115" s="240" t="s">
        <v>443</v>
      </c>
      <c r="AC115" s="36"/>
      <c r="AD115" s="26" t="str">
        <f>IF(M115="", "Error: Task name cannot be empty.", "")</f>
        <v/>
      </c>
    </row>
    <row r="116" spans="1:30" s="15" customFormat="1" ht="1.5" hidden="1" customHeight="1" outlineLevel="2" x14ac:dyDescent="0.35">
      <c r="A116" s="93" t="s">
        <v>101</v>
      </c>
      <c r="B116" s="21"/>
      <c r="C116" s="84"/>
      <c r="D116" s="84"/>
      <c r="E116" s="84"/>
      <c r="F116" s="83"/>
      <c r="G116" s="32"/>
      <c r="H116" s="32"/>
      <c r="I116" s="32"/>
      <c r="J116" s="32"/>
      <c r="K116" s="32"/>
      <c r="L116" s="175">
        <f ca="1">L115</f>
        <v>4</v>
      </c>
      <c r="M116" s="176" t="s">
        <v>105</v>
      </c>
      <c r="N116" s="173"/>
      <c r="O116" s="174"/>
      <c r="P116" s="33"/>
      <c r="Q116" s="33"/>
      <c r="R116" s="33"/>
      <c r="S116" s="33"/>
      <c r="T116" s="167"/>
      <c r="U116" s="33"/>
      <c r="V116" s="33"/>
      <c r="W116" s="33"/>
      <c r="X116" s="34"/>
      <c r="Y116" s="35"/>
      <c r="Z116" s="35"/>
      <c r="AA116" s="35"/>
      <c r="AB116" s="36"/>
      <c r="AC116" s="36"/>
      <c r="AD116" s="26"/>
    </row>
    <row r="117" spans="1:30" ht="58" hidden="1" outlineLevel="2" x14ac:dyDescent="0.35">
      <c r="A117" s="93" t="s">
        <v>0</v>
      </c>
      <c r="B117" s="21"/>
      <c r="C117" s="85"/>
      <c r="D117" s="85"/>
      <c r="E117" s="85"/>
      <c r="F117" s="86"/>
      <c r="G117" s="22" t="s">
        <v>23</v>
      </c>
      <c r="H117" s="22" t="s">
        <v>23</v>
      </c>
      <c r="I117" s="23" t="s">
        <v>23</v>
      </c>
      <c r="J117" s="22" t="s">
        <v>23</v>
      </c>
      <c r="K117" s="38"/>
      <c r="L117" s="22"/>
      <c r="M117" s="286" t="str">
        <f ca="1">IFERROR(OFFSET(M117,-1,,1,1)+0.1,OFFSET(M117,-1,-1,1,1)&amp;".1")</f>
        <v>4.1</v>
      </c>
      <c r="N117" s="23" t="s">
        <v>609</v>
      </c>
      <c r="O117" s="23"/>
      <c r="P117" s="23"/>
      <c r="Q117" s="144"/>
      <c r="R117" s="137"/>
      <c r="S117" s="169">
        <f>CEILING((IF(J117="Yes", 0, IF(H117="-",AA117,AA117+AA117*VLOOKUP(H117,BUFFERS_BY_TYPE,2,FALSE)))) +
   (IF(J117="Yes", 0, IF(H117="-",AA117,AA117+AA117*VLOOKUP(H117,BUFFERS_BY_TYPE,2,FALSE))))*VLOOKUP($S$5, SALES_CALL_SCALE_ARRAY, 2,FALSE),0.25)</f>
        <v>1.5</v>
      </c>
      <c r="T117" s="170"/>
      <c r="U117" s="24">
        <v>0</v>
      </c>
      <c r="V117" s="24">
        <v>1</v>
      </c>
      <c r="W117" s="24">
        <v>0</v>
      </c>
      <c r="X117" s="168">
        <v>1.5</v>
      </c>
      <c r="Y117" s="169">
        <f>CEILING((IF(P117=AS_DEV_EFFORT, DEV_EFFORT*Q117%,
                           IF(P117=AS_DURATION_EFFORT, (MANUAL_DURATION*5)*Q117%,
                                    (IF(Q117&lt;=1,X117,
                                          IF(SUM(U117:W117)=0,(Q117*X117),
                                               (((Q117*U117)*(X117+(X117*EXTRA_FOR_H)))+
                                               ((Q117*V117)*X117)+
                                               ((Q117*W117)*(X117-(X117*LESS_FOR_L)))
                                    )*IF(R117=0,1,R117))))))+Z117), 0.25)</f>
        <v>1.5</v>
      </c>
      <c r="Z117" s="25"/>
      <c r="AA117" s="169">
        <f>Y117+Y117*VLOOKUP(I117,EXTRAS_ARRAY,2,FALSE)</f>
        <v>1.5</v>
      </c>
      <c r="AB117" s="23" t="s">
        <v>445</v>
      </c>
      <c r="AC117" s="37"/>
      <c r="AD117" s="26" t="str">
        <f>IF(J117&lt;&gt;"Yes",
IF(S117&lt;=0,"Error: Effort value is not defined or is invalid.",
IF(AND(SUM(U117:W117)&gt;0,SUM(U117:W117)&lt;&gt;1),"Error: Complexity % distribution should sum to 100%.",
IF(AND(P117=AS_DEV_EFFORT,X117&lt;&gt;0),"Error: PDs should not be defined when defining as dev effort %.",
IF(AND(P117=AS_DURATION_EFFORT,X117&lt;&gt;0),"Error: PDs should not be defined when defining as duration effort %.","")))))</f>
        <v/>
      </c>
    </row>
    <row r="118" spans="1:30" s="11" customFormat="1" ht="7.5" hidden="1" customHeight="1" outlineLevel="2" x14ac:dyDescent="0.35">
      <c r="A118" s="93" t="s">
        <v>132</v>
      </c>
      <c r="B118" s="18"/>
      <c r="C118" s="78"/>
      <c r="D118" s="78"/>
      <c r="E118" s="78"/>
      <c r="F118" s="78"/>
      <c r="G118" s="10"/>
      <c r="H118" s="10"/>
      <c r="I118" s="10"/>
      <c r="J118" s="10"/>
      <c r="K118" s="10"/>
      <c r="L118" s="10"/>
      <c r="M118" s="287"/>
      <c r="N118" s="10"/>
      <c r="O118" s="10"/>
      <c r="P118" s="10"/>
      <c r="Q118" s="10"/>
      <c r="R118" s="10"/>
      <c r="S118" s="10"/>
      <c r="T118" s="18"/>
      <c r="U118" s="10"/>
      <c r="V118" s="10"/>
      <c r="W118" s="10"/>
      <c r="X118" s="18"/>
      <c r="Y118" s="10"/>
      <c r="Z118" s="10"/>
      <c r="AA118" s="10"/>
      <c r="AB118" s="60"/>
      <c r="AC118" s="60"/>
      <c r="AD118" s="12"/>
    </row>
    <row r="119" spans="1:30" s="17" customFormat="1" ht="15.5" hidden="1" outlineLevel="1" collapsed="1" x14ac:dyDescent="0.35">
      <c r="A119" s="93" t="s">
        <v>100</v>
      </c>
      <c r="B119" s="21"/>
      <c r="C119" s="84"/>
      <c r="D119" s="84"/>
      <c r="E119" s="84"/>
      <c r="F119" s="83"/>
      <c r="G119" s="32"/>
      <c r="H119" s="32"/>
      <c r="I119" s="32"/>
      <c r="J119" s="32"/>
      <c r="K119" s="32"/>
      <c r="L119" s="20">
        <f ca="1">LOOKUP(1000,INDIRECT("L1:"&amp;CELL("address",INDIRECT("R[-1]C",FALSE))))+1</f>
        <v>5</v>
      </c>
      <c r="M119" s="298" t="s">
        <v>610</v>
      </c>
      <c r="N119" s="298"/>
      <c r="O119" s="5"/>
      <c r="P119" s="33"/>
      <c r="Q119" s="33"/>
      <c r="R119" s="33"/>
      <c r="S119" s="33"/>
      <c r="T119" s="167">
        <f>IF($S$6="Exclude", SUMIFS(S120:S123, J120:J123, "&lt;&gt;Yes", G120:G123, "&lt;&gt;Yes"), SUMIFS(S120:S123, J120:J123, "&lt;&gt;Yes"))</f>
        <v>4</v>
      </c>
      <c r="U119" s="33"/>
      <c r="V119" s="33"/>
      <c r="W119" s="33"/>
      <c r="X119" s="34"/>
      <c r="Y119" s="35"/>
      <c r="Z119" s="35"/>
      <c r="AA119" s="35"/>
      <c r="AB119" s="240" t="s">
        <v>443</v>
      </c>
      <c r="AC119" s="36"/>
      <c r="AD119" s="26" t="str">
        <f>IF(M119="", "Error: Task name cannot be empty.", "")</f>
        <v/>
      </c>
    </row>
    <row r="120" spans="1:30" s="15" customFormat="1" ht="1.5" hidden="1" customHeight="1" outlineLevel="2" x14ac:dyDescent="0.35">
      <c r="A120" s="93" t="s">
        <v>101</v>
      </c>
      <c r="B120" s="21"/>
      <c r="C120" s="84"/>
      <c r="D120" s="84"/>
      <c r="E120" s="84"/>
      <c r="F120" s="83"/>
      <c r="G120" s="32"/>
      <c r="H120" s="32"/>
      <c r="I120" s="32"/>
      <c r="J120" s="32"/>
      <c r="K120" s="32"/>
      <c r="L120" s="175">
        <f ca="1">L119</f>
        <v>5</v>
      </c>
      <c r="M120" s="176" t="s">
        <v>105</v>
      </c>
      <c r="N120" s="173"/>
      <c r="O120" s="174"/>
      <c r="P120" s="33"/>
      <c r="Q120" s="33"/>
      <c r="R120" s="33"/>
      <c r="S120" s="33"/>
      <c r="T120" s="167"/>
      <c r="U120" s="33"/>
      <c r="V120" s="33"/>
      <c r="W120" s="33"/>
      <c r="X120" s="34"/>
      <c r="Y120" s="35"/>
      <c r="Z120" s="35"/>
      <c r="AA120" s="35"/>
      <c r="AB120" s="36"/>
      <c r="AC120" s="36"/>
      <c r="AD120" s="26"/>
    </row>
    <row r="121" spans="1:30" ht="43.5" hidden="1" outlineLevel="2" x14ac:dyDescent="0.35">
      <c r="A121" s="93" t="s">
        <v>0</v>
      </c>
      <c r="B121" s="21"/>
      <c r="C121" s="85"/>
      <c r="D121" s="85"/>
      <c r="E121" s="85"/>
      <c r="F121" s="86"/>
      <c r="G121" s="22" t="s">
        <v>23</v>
      </c>
      <c r="H121" s="22" t="s">
        <v>23</v>
      </c>
      <c r="I121" s="23" t="s">
        <v>23</v>
      </c>
      <c r="J121" s="22" t="s">
        <v>23</v>
      </c>
      <c r="K121" s="38"/>
      <c r="L121" s="22"/>
      <c r="M121" s="286" t="str">
        <f ca="1">IFERROR(OFFSET(M121,-1,,1,1)+0.1,OFFSET(M121,-1,-1,1,1)&amp;".1")</f>
        <v>5.1</v>
      </c>
      <c r="N121" s="23" t="s">
        <v>611</v>
      </c>
      <c r="O121" s="23"/>
      <c r="P121" s="23"/>
      <c r="Q121" s="144"/>
      <c r="R121" s="137"/>
      <c r="S121" s="169">
        <f>CEILING((IF(J121="Yes", 0, IF(H121="-",AA121,AA121+AA121*VLOOKUP(H121,BUFFERS_BY_TYPE,2,FALSE)))) +
   (IF(J121="Yes", 0, IF(H121="-",AA121,AA121+AA121*VLOOKUP(H121,BUFFERS_BY_TYPE,2,FALSE))))*VLOOKUP($S$5, SALES_CALL_SCALE_ARRAY, 2,FALSE),0.25)</f>
        <v>2</v>
      </c>
      <c r="T121" s="170"/>
      <c r="U121" s="24">
        <v>0</v>
      </c>
      <c r="V121" s="24">
        <v>1</v>
      </c>
      <c r="W121" s="24">
        <v>0</v>
      </c>
      <c r="X121" s="168">
        <v>2</v>
      </c>
      <c r="Y121" s="169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>2</v>
      </c>
      <c r="Z121" s="25"/>
      <c r="AA121" s="169">
        <f>Y121+Y121*VLOOKUP(I121,EXTRAS_ARRAY,2,FALSE)</f>
        <v>2</v>
      </c>
      <c r="AB121" s="23" t="s">
        <v>445</v>
      </c>
      <c r="AC121" s="37"/>
      <c r="AD121" s="26" t="str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/>
      </c>
    </row>
    <row r="122" spans="1:30" ht="58" hidden="1" outlineLevel="2" x14ac:dyDescent="0.35">
      <c r="A122" s="93" t="s">
        <v>0</v>
      </c>
      <c r="B122" s="21"/>
      <c r="C122" s="85"/>
      <c r="D122" s="85"/>
      <c r="E122" s="85"/>
      <c r="F122" s="86"/>
      <c r="G122" s="22" t="s">
        <v>23</v>
      </c>
      <c r="H122" s="22" t="s">
        <v>23</v>
      </c>
      <c r="I122" s="23" t="s">
        <v>23</v>
      </c>
      <c r="J122" s="22" t="s">
        <v>23</v>
      </c>
      <c r="K122" s="38"/>
      <c r="L122" s="22"/>
      <c r="M122" s="286">
        <f ca="1">IFERROR(OFFSET(M122,-1,,1,1)+0.1,OFFSET(M122,-1,-1,1,1)&amp;".1")</f>
        <v>5.1999999999999993</v>
      </c>
      <c r="N122" s="23" t="s">
        <v>612</v>
      </c>
      <c r="O122" s="23"/>
      <c r="P122" s="23"/>
      <c r="Q122" s="144"/>
      <c r="R122" s="137"/>
      <c r="S122" s="169">
        <f>CEILING((IF(J122="Yes", 0, IF(H122="-",AA122,AA122+AA122*VLOOKUP(H122,BUFFERS_BY_TYPE,2,FALSE)))) +
   (IF(J122="Yes", 0, IF(H122="-",AA122,AA122+AA122*VLOOKUP(H122,BUFFERS_BY_TYPE,2,FALSE))))*VLOOKUP($S$5, SALES_CALL_SCALE_ARRAY, 2,FALSE),0.25)</f>
        <v>2</v>
      </c>
      <c r="T122" s="170"/>
      <c r="U122" s="24">
        <v>0</v>
      </c>
      <c r="V122" s="24">
        <v>1</v>
      </c>
      <c r="W122" s="24">
        <v>0</v>
      </c>
      <c r="X122" s="168">
        <v>2</v>
      </c>
      <c r="Y122" s="169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>2</v>
      </c>
      <c r="Z122" s="25"/>
      <c r="AA122" s="169">
        <f>Y122+Y122*VLOOKUP(I122,EXTRAS_ARRAY,2,FALSE)</f>
        <v>2</v>
      </c>
      <c r="AB122" s="23" t="s">
        <v>445</v>
      </c>
      <c r="AC122" s="37"/>
      <c r="AD122" s="26" t="str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/>
      </c>
    </row>
    <row r="123" spans="1:30" s="11" customFormat="1" ht="7.5" hidden="1" customHeight="1" outlineLevel="2" x14ac:dyDescent="0.35">
      <c r="A123" s="93" t="s">
        <v>132</v>
      </c>
      <c r="B123" s="18"/>
      <c r="C123" s="78"/>
      <c r="D123" s="78"/>
      <c r="E123" s="78"/>
      <c r="F123" s="78"/>
      <c r="G123" s="10"/>
      <c r="H123" s="10"/>
      <c r="I123" s="10"/>
      <c r="J123" s="10"/>
      <c r="K123" s="10"/>
      <c r="L123" s="10"/>
      <c r="M123" s="287"/>
      <c r="N123" s="10"/>
      <c r="O123" s="10"/>
      <c r="P123" s="10"/>
      <c r="Q123" s="10"/>
      <c r="R123" s="10"/>
      <c r="S123" s="10"/>
      <c r="T123" s="18"/>
      <c r="U123" s="10"/>
      <c r="V123" s="10"/>
      <c r="W123" s="10"/>
      <c r="X123" s="18"/>
      <c r="Y123" s="10"/>
      <c r="Z123" s="10"/>
      <c r="AA123" s="10"/>
      <c r="AB123" s="60"/>
      <c r="AC123" s="60"/>
      <c r="AD123" s="12"/>
    </row>
    <row r="124" spans="1:30" s="17" customFormat="1" ht="15.5" hidden="1" outlineLevel="1" collapsed="1" x14ac:dyDescent="0.35">
      <c r="A124" s="93" t="s">
        <v>100</v>
      </c>
      <c r="B124" s="21"/>
      <c r="C124" s="84"/>
      <c r="D124" s="84"/>
      <c r="E124" s="84"/>
      <c r="F124" s="83"/>
      <c r="G124" s="32"/>
      <c r="H124" s="32"/>
      <c r="I124" s="32"/>
      <c r="J124" s="32"/>
      <c r="K124" s="32"/>
      <c r="L124" s="20">
        <f ca="1">LOOKUP(1000,INDIRECT("L1:"&amp;CELL("address",INDIRECT("R[-1]C",FALSE))))+1</f>
        <v>6</v>
      </c>
      <c r="M124" s="298" t="s">
        <v>613</v>
      </c>
      <c r="N124" s="298"/>
      <c r="O124" s="5"/>
      <c r="P124" s="33"/>
      <c r="Q124" s="33"/>
      <c r="R124" s="33"/>
      <c r="S124" s="33"/>
      <c r="T124" s="167">
        <f>IF($S$6="Exclude", SUMIFS(S125:S128, J125:J128, "&lt;&gt;Yes", G125:G128, "&lt;&gt;Yes"), SUMIFS(S125:S128, J125:J128, "&lt;&gt;Yes"))</f>
        <v>1.5</v>
      </c>
      <c r="U124" s="33"/>
      <c r="V124" s="33"/>
      <c r="W124" s="33"/>
      <c r="X124" s="34"/>
      <c r="Y124" s="35"/>
      <c r="Z124" s="35"/>
      <c r="AA124" s="35"/>
      <c r="AB124" s="240" t="s">
        <v>443</v>
      </c>
      <c r="AC124" s="36"/>
      <c r="AD124" s="26" t="str">
        <f>IF(M124="", "Error: Task name cannot be empty.", "")</f>
        <v/>
      </c>
    </row>
    <row r="125" spans="1:30" s="15" customFormat="1" ht="1.5" hidden="1" customHeight="1" outlineLevel="2" x14ac:dyDescent="0.35">
      <c r="A125" s="93" t="s">
        <v>101</v>
      </c>
      <c r="B125" s="21"/>
      <c r="C125" s="84"/>
      <c r="D125" s="84"/>
      <c r="E125" s="84"/>
      <c r="F125" s="83"/>
      <c r="G125" s="32"/>
      <c r="H125" s="32"/>
      <c r="I125" s="32"/>
      <c r="J125" s="32"/>
      <c r="K125" s="32"/>
      <c r="L125" s="175">
        <f ca="1">L124</f>
        <v>6</v>
      </c>
      <c r="M125" s="176" t="s">
        <v>105</v>
      </c>
      <c r="N125" s="173"/>
      <c r="O125" s="174"/>
      <c r="P125" s="33"/>
      <c r="Q125" s="33"/>
      <c r="R125" s="33"/>
      <c r="S125" s="33"/>
      <c r="T125" s="167"/>
      <c r="U125" s="33"/>
      <c r="V125" s="33"/>
      <c r="W125" s="33"/>
      <c r="X125" s="34"/>
      <c r="Y125" s="35"/>
      <c r="Z125" s="35"/>
      <c r="AA125" s="35"/>
      <c r="AB125" s="36"/>
      <c r="AC125" s="36"/>
      <c r="AD125" s="26"/>
    </row>
    <row r="126" spans="1:30" ht="43.5" hidden="1" outlineLevel="2" x14ac:dyDescent="0.35">
      <c r="A126" s="93" t="s">
        <v>0</v>
      </c>
      <c r="B126" s="21"/>
      <c r="C126" s="85"/>
      <c r="D126" s="85"/>
      <c r="E126" s="85"/>
      <c r="F126" s="86"/>
      <c r="G126" s="22" t="s">
        <v>23</v>
      </c>
      <c r="H126" s="22" t="s">
        <v>23</v>
      </c>
      <c r="I126" s="23" t="s">
        <v>23</v>
      </c>
      <c r="J126" s="22" t="s">
        <v>23</v>
      </c>
      <c r="K126" s="38"/>
      <c r="L126" s="22"/>
      <c r="M126" s="286" t="str">
        <f ca="1">IFERROR(OFFSET(M126,-1,,1,1)+0.1,OFFSET(M126,-1,-1,1,1)&amp;".1")</f>
        <v>6.1</v>
      </c>
      <c r="N126" s="23" t="s">
        <v>614</v>
      </c>
      <c r="O126" s="23"/>
      <c r="P126" s="23"/>
      <c r="Q126" s="144"/>
      <c r="R126" s="137"/>
      <c r="S126" s="169">
        <f>CEILING((IF(J126="Yes", 0, IF(H126="-",AA126,AA126+AA126*VLOOKUP(H126,BUFFERS_BY_TYPE,2,FALSE)))) +
   (IF(J126="Yes", 0, IF(H126="-",AA126,AA126+AA126*VLOOKUP(H126,BUFFERS_BY_TYPE,2,FALSE))))*VLOOKUP($S$5, SALES_CALL_SCALE_ARRAY, 2,FALSE),0.25)</f>
        <v>0.5</v>
      </c>
      <c r="T126" s="170"/>
      <c r="U126" s="24">
        <v>0</v>
      </c>
      <c r="V126" s="24">
        <v>1</v>
      </c>
      <c r="W126" s="24">
        <v>0</v>
      </c>
      <c r="X126" s="168">
        <v>0.5</v>
      </c>
      <c r="Y126" s="169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0.5</v>
      </c>
      <c r="Z126" s="25"/>
      <c r="AA126" s="169">
        <f>Y126+Y126*VLOOKUP(I126,EXTRAS_ARRAY,2,FALSE)</f>
        <v>0.5</v>
      </c>
      <c r="AB126" s="23" t="s">
        <v>445</v>
      </c>
      <c r="AC126" s="37"/>
      <c r="AD126" s="26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58" hidden="1" outlineLevel="2" x14ac:dyDescent="0.35">
      <c r="A127" s="93" t="s">
        <v>0</v>
      </c>
      <c r="B127" s="21"/>
      <c r="C127" s="85"/>
      <c r="D127" s="85"/>
      <c r="E127" s="85"/>
      <c r="F127" s="86"/>
      <c r="G127" s="22" t="s">
        <v>23</v>
      </c>
      <c r="H127" s="22" t="s">
        <v>23</v>
      </c>
      <c r="I127" s="23" t="s">
        <v>23</v>
      </c>
      <c r="J127" s="22" t="s">
        <v>23</v>
      </c>
      <c r="K127" s="38"/>
      <c r="L127" s="22"/>
      <c r="M127" s="286">
        <f ca="1">IFERROR(OFFSET(M127,-1,,1,1)+0.1,OFFSET(M127,-1,-1,1,1)&amp;".1")</f>
        <v>6.1999999999999993</v>
      </c>
      <c r="N127" s="23" t="s">
        <v>615</v>
      </c>
      <c r="O127" s="23"/>
      <c r="P127" s="23"/>
      <c r="Q127" s="144"/>
      <c r="R127" s="137"/>
      <c r="S127" s="169">
        <f>CEILING((IF(J127="Yes", 0, IF(H127="-",AA127,AA127+AA127*VLOOKUP(H127,BUFFERS_BY_TYPE,2,FALSE)))) +
   (IF(J127="Yes", 0, IF(H127="-",AA127,AA127+AA127*VLOOKUP(H127,BUFFERS_BY_TYPE,2,FALSE))))*VLOOKUP($S$5, SALES_CALL_SCALE_ARRAY, 2,FALSE),0.25)</f>
        <v>1</v>
      </c>
      <c r="T127" s="170"/>
      <c r="U127" s="24">
        <v>0</v>
      </c>
      <c r="V127" s="24">
        <v>1</v>
      </c>
      <c r="W127" s="24">
        <v>0</v>
      </c>
      <c r="X127" s="168">
        <v>1</v>
      </c>
      <c r="Y127" s="169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1</v>
      </c>
      <c r="Z127" s="25"/>
      <c r="AA127" s="169">
        <f>Y127+Y127*VLOOKUP(I127,EXTRAS_ARRAY,2,FALSE)</f>
        <v>1</v>
      </c>
      <c r="AB127" s="23" t="s">
        <v>445</v>
      </c>
      <c r="AC127" s="37"/>
      <c r="AD127" s="26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s="11" customFormat="1" ht="7.5" hidden="1" customHeight="1" outlineLevel="2" x14ac:dyDescent="0.35">
      <c r="A128" s="93" t="s">
        <v>132</v>
      </c>
      <c r="B128" s="18"/>
      <c r="C128" s="78"/>
      <c r="D128" s="78"/>
      <c r="E128" s="78"/>
      <c r="F128" s="78"/>
      <c r="G128" s="10"/>
      <c r="H128" s="10"/>
      <c r="I128" s="10"/>
      <c r="J128" s="10"/>
      <c r="K128" s="10"/>
      <c r="L128" s="10"/>
      <c r="M128" s="287"/>
      <c r="N128" s="10"/>
      <c r="O128" s="10"/>
      <c r="P128" s="10"/>
      <c r="Q128" s="10"/>
      <c r="R128" s="10"/>
      <c r="S128" s="10"/>
      <c r="T128" s="18"/>
      <c r="U128" s="10"/>
      <c r="V128" s="10"/>
      <c r="W128" s="10"/>
      <c r="X128" s="18"/>
      <c r="Y128" s="10"/>
      <c r="Z128" s="10"/>
      <c r="AA128" s="10"/>
      <c r="AB128" s="60"/>
      <c r="AC128" s="60"/>
      <c r="AD128" s="12"/>
    </row>
    <row r="129" spans="1:30" s="17" customFormat="1" ht="15.5" hidden="1" outlineLevel="1" collapsed="1" x14ac:dyDescent="0.35">
      <c r="A129" s="93" t="s">
        <v>100</v>
      </c>
      <c r="B129" s="21"/>
      <c r="C129" s="84"/>
      <c r="D129" s="84"/>
      <c r="E129" s="84"/>
      <c r="F129" s="83"/>
      <c r="G129" s="32"/>
      <c r="H129" s="32"/>
      <c r="I129" s="32"/>
      <c r="J129" s="32"/>
      <c r="K129" s="32"/>
      <c r="L129" s="20">
        <f ca="1">LOOKUP(1000,INDIRECT("L1:"&amp;CELL("address",INDIRECT("R[-1]C",FALSE))))+1</f>
        <v>7</v>
      </c>
      <c r="M129" s="298" t="s">
        <v>616</v>
      </c>
      <c r="N129" s="298"/>
      <c r="O129" s="5"/>
      <c r="P129" s="33"/>
      <c r="Q129" s="33"/>
      <c r="R129" s="33"/>
      <c r="S129" s="33"/>
      <c r="T129" s="167">
        <f>IF($S$6="Exclude", SUMIFS(S130:S132, J130:J132, "&lt;&gt;Yes", G130:G132, "&lt;&gt;Yes"), SUMIFS(S130:S132, J130:J132, "&lt;&gt;Yes"))</f>
        <v>1</v>
      </c>
      <c r="U129" s="33"/>
      <c r="V129" s="33"/>
      <c r="W129" s="33"/>
      <c r="X129" s="34"/>
      <c r="Y129" s="35"/>
      <c r="Z129" s="35"/>
      <c r="AA129" s="35"/>
      <c r="AB129" s="240" t="s">
        <v>443</v>
      </c>
      <c r="AC129" s="36"/>
      <c r="AD129" s="26" t="str">
        <f>IF(M129="", "Error: Task name cannot be empty.", "")</f>
        <v/>
      </c>
    </row>
    <row r="130" spans="1:30" s="15" customFormat="1" ht="1.5" hidden="1" customHeight="1" outlineLevel="2" x14ac:dyDescent="0.35">
      <c r="A130" s="93" t="s">
        <v>101</v>
      </c>
      <c r="B130" s="21"/>
      <c r="C130" s="84"/>
      <c r="D130" s="84"/>
      <c r="E130" s="84"/>
      <c r="F130" s="83"/>
      <c r="G130" s="32"/>
      <c r="H130" s="32"/>
      <c r="I130" s="32"/>
      <c r="J130" s="32"/>
      <c r="K130" s="32"/>
      <c r="L130" s="175">
        <f ca="1">L129</f>
        <v>7</v>
      </c>
      <c r="M130" s="176" t="s">
        <v>105</v>
      </c>
      <c r="N130" s="173"/>
      <c r="O130" s="174"/>
      <c r="P130" s="33"/>
      <c r="Q130" s="33"/>
      <c r="R130" s="33"/>
      <c r="S130" s="33"/>
      <c r="T130" s="167"/>
      <c r="U130" s="33"/>
      <c r="V130" s="33"/>
      <c r="W130" s="33"/>
      <c r="X130" s="34"/>
      <c r="Y130" s="35"/>
      <c r="Z130" s="35"/>
      <c r="AA130" s="35"/>
      <c r="AB130" s="36"/>
      <c r="AC130" s="36"/>
      <c r="AD130" s="26"/>
    </row>
    <row r="131" spans="1:30" ht="43.5" hidden="1" outlineLevel="2" x14ac:dyDescent="0.35">
      <c r="A131" s="93" t="s">
        <v>0</v>
      </c>
      <c r="B131" s="21"/>
      <c r="C131" s="85"/>
      <c r="D131" s="85"/>
      <c r="E131" s="85"/>
      <c r="F131" s="86"/>
      <c r="G131" s="22" t="s">
        <v>23</v>
      </c>
      <c r="H131" s="22" t="s">
        <v>23</v>
      </c>
      <c r="I131" s="23" t="s">
        <v>23</v>
      </c>
      <c r="J131" s="22" t="s">
        <v>23</v>
      </c>
      <c r="K131" s="38"/>
      <c r="L131" s="22"/>
      <c r="M131" s="286" t="str">
        <f ca="1">IFERROR(OFFSET(M131,-1,,1,1)+0.1,OFFSET(M131,-1,-1,1,1)&amp;".1")</f>
        <v>7.1</v>
      </c>
      <c r="N131" s="23" t="s">
        <v>617</v>
      </c>
      <c r="O131" s="23"/>
      <c r="P131" s="23"/>
      <c r="Q131" s="144"/>
      <c r="R131" s="137"/>
      <c r="S131" s="169">
        <f>CEILING((IF(J131="Yes", 0, IF(H131="-",AA131,AA131+AA131*VLOOKUP(H131,BUFFERS_BY_TYPE,2,FALSE)))) +
   (IF(J131="Yes", 0, IF(H131="-",AA131,AA131+AA131*VLOOKUP(H131,BUFFERS_BY_TYPE,2,FALSE))))*VLOOKUP($S$5, SALES_CALL_SCALE_ARRAY, 2,FALSE),0.25)</f>
        <v>1</v>
      </c>
      <c r="T131" s="170"/>
      <c r="U131" s="24">
        <v>0</v>
      </c>
      <c r="V131" s="24">
        <v>1</v>
      </c>
      <c r="W131" s="24">
        <v>0</v>
      </c>
      <c r="X131" s="168">
        <v>1</v>
      </c>
      <c r="Y131" s="169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1</v>
      </c>
      <c r="Z131" s="25"/>
      <c r="AA131" s="169">
        <f>Y131+Y131*VLOOKUP(I131,EXTRAS_ARRAY,2,FALSE)</f>
        <v>1</v>
      </c>
      <c r="AB131" s="23" t="s">
        <v>445</v>
      </c>
      <c r="AC131" s="37"/>
      <c r="AD131" s="26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spans="1:30" s="11" customFormat="1" ht="7.5" hidden="1" customHeight="1" outlineLevel="2" x14ac:dyDescent="0.35">
      <c r="A132" s="93" t="s">
        <v>132</v>
      </c>
      <c r="B132" s="18"/>
      <c r="C132" s="78"/>
      <c r="D132" s="78"/>
      <c r="E132" s="78"/>
      <c r="F132" s="78"/>
      <c r="G132" s="10"/>
      <c r="H132" s="10"/>
      <c r="I132" s="10"/>
      <c r="J132" s="10"/>
      <c r="K132" s="10"/>
      <c r="L132" s="10"/>
      <c r="M132" s="287"/>
      <c r="N132" s="10"/>
      <c r="O132" s="10"/>
      <c r="P132" s="10"/>
      <c r="Q132" s="10"/>
      <c r="R132" s="10"/>
      <c r="S132" s="10"/>
      <c r="T132" s="18"/>
      <c r="U132" s="10"/>
      <c r="V132" s="10"/>
      <c r="W132" s="10"/>
      <c r="X132" s="18"/>
      <c r="Y132" s="10"/>
      <c r="Z132" s="10"/>
      <c r="AA132" s="10"/>
      <c r="AB132" s="60"/>
      <c r="AC132" s="60"/>
      <c r="AD132" s="12"/>
    </row>
    <row r="133" spans="1:30" s="17" customFormat="1" ht="15.5" hidden="1" outlineLevel="1" collapsed="1" x14ac:dyDescent="0.35">
      <c r="A133" s="93" t="s">
        <v>100</v>
      </c>
      <c r="B133" s="21"/>
      <c r="C133" s="84"/>
      <c r="D133" s="84"/>
      <c r="E133" s="84"/>
      <c r="F133" s="83"/>
      <c r="G133" s="32"/>
      <c r="H133" s="32"/>
      <c r="I133" s="32"/>
      <c r="J133" s="32"/>
      <c r="K133" s="32"/>
      <c r="L133" s="20">
        <f ca="1">LOOKUP(1000,INDIRECT("L1:"&amp;CELL("address",INDIRECT("R[-1]C",FALSE))))+1</f>
        <v>8</v>
      </c>
      <c r="M133" s="298" t="s">
        <v>618</v>
      </c>
      <c r="N133" s="298"/>
      <c r="O133" s="5"/>
      <c r="P133" s="33"/>
      <c r="Q133" s="33"/>
      <c r="R133" s="33"/>
      <c r="S133" s="33"/>
      <c r="T133" s="167">
        <f>IF($S$6="Exclude", SUMIFS(S134:S136, J134:J136, "&lt;&gt;Yes", G134:G136, "&lt;&gt;Yes"), SUMIFS(S134:S136, J134:J136, "&lt;&gt;Yes"))</f>
        <v>1.5</v>
      </c>
      <c r="U133" s="33"/>
      <c r="V133" s="33"/>
      <c r="W133" s="33"/>
      <c r="X133" s="34"/>
      <c r="Y133" s="35"/>
      <c r="Z133" s="35"/>
      <c r="AA133" s="35"/>
      <c r="AB133" s="240" t="s">
        <v>443</v>
      </c>
      <c r="AC133" s="36"/>
      <c r="AD133" s="26" t="str">
        <f>IF(M133="", "Error: Task name cannot be empty.", "")</f>
        <v/>
      </c>
    </row>
    <row r="134" spans="1:30" s="15" customFormat="1" ht="1.5" hidden="1" customHeight="1" outlineLevel="2" x14ac:dyDescent="0.35">
      <c r="A134" s="93" t="s">
        <v>101</v>
      </c>
      <c r="B134" s="21"/>
      <c r="C134" s="84"/>
      <c r="D134" s="84"/>
      <c r="E134" s="84"/>
      <c r="F134" s="83"/>
      <c r="G134" s="32"/>
      <c r="H134" s="32"/>
      <c r="I134" s="32"/>
      <c r="J134" s="32"/>
      <c r="K134" s="32"/>
      <c r="L134" s="175">
        <f ca="1">L133</f>
        <v>8</v>
      </c>
      <c r="M134" s="176" t="s">
        <v>105</v>
      </c>
      <c r="N134" s="173"/>
      <c r="O134" s="174"/>
      <c r="P134" s="33"/>
      <c r="Q134" s="33"/>
      <c r="R134" s="33"/>
      <c r="S134" s="33"/>
      <c r="T134" s="167"/>
      <c r="U134" s="33"/>
      <c r="V134" s="33"/>
      <c r="W134" s="33"/>
      <c r="X134" s="34"/>
      <c r="Y134" s="35"/>
      <c r="Z134" s="35"/>
      <c r="AA134" s="35"/>
      <c r="AB134" s="36"/>
      <c r="AC134" s="36"/>
      <c r="AD134" s="26"/>
    </row>
    <row r="135" spans="1:30" ht="43.5" hidden="1" outlineLevel="2" x14ac:dyDescent="0.35">
      <c r="A135" s="93" t="s">
        <v>0</v>
      </c>
      <c r="B135" s="21"/>
      <c r="C135" s="85"/>
      <c r="D135" s="85"/>
      <c r="E135" s="85"/>
      <c r="F135" s="86"/>
      <c r="G135" s="22" t="s">
        <v>23</v>
      </c>
      <c r="H135" s="22" t="s">
        <v>23</v>
      </c>
      <c r="I135" s="23" t="s">
        <v>23</v>
      </c>
      <c r="J135" s="22" t="s">
        <v>23</v>
      </c>
      <c r="K135" s="38"/>
      <c r="L135" s="22"/>
      <c r="M135" s="286" t="str">
        <f ca="1">IFERROR(OFFSET(M135,-1,,1,1)+0.1,OFFSET(M135,-1,-1,1,1)&amp;".1")</f>
        <v>8.1</v>
      </c>
      <c r="N135" s="23" t="s">
        <v>619</v>
      </c>
      <c r="O135" s="23"/>
      <c r="P135" s="23"/>
      <c r="Q135" s="144"/>
      <c r="R135" s="137"/>
      <c r="S135" s="169">
        <f>CEILING((IF(J135="Yes", 0, IF(H135="-",AA135,AA135+AA135*VLOOKUP(H135,BUFFERS_BY_TYPE,2,FALSE)))) +
   (IF(J135="Yes", 0, IF(H135="-",AA135,AA135+AA135*VLOOKUP(H135,BUFFERS_BY_TYPE,2,FALSE))))*VLOOKUP($S$5, SALES_CALL_SCALE_ARRAY, 2,FALSE),0.25)</f>
        <v>1.5</v>
      </c>
      <c r="T135" s="170"/>
      <c r="U135" s="24">
        <v>0</v>
      </c>
      <c r="V135" s="24">
        <v>1</v>
      </c>
      <c r="W135" s="24">
        <v>0</v>
      </c>
      <c r="X135" s="168">
        <v>1.5</v>
      </c>
      <c r="Y135" s="169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1.5</v>
      </c>
      <c r="Z135" s="25"/>
      <c r="AA135" s="169">
        <f>Y135+Y135*VLOOKUP(I135,EXTRAS_ARRAY,2,FALSE)</f>
        <v>1.5</v>
      </c>
      <c r="AB135" s="23" t="s">
        <v>445</v>
      </c>
      <c r="AC135" s="37"/>
      <c r="AD135" s="26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s="11" customFormat="1" ht="7.5" hidden="1" customHeight="1" outlineLevel="2" x14ac:dyDescent="0.35">
      <c r="A136" s="93" t="s">
        <v>132</v>
      </c>
      <c r="B136" s="18"/>
      <c r="C136" s="78"/>
      <c r="D136" s="78"/>
      <c r="E136" s="78"/>
      <c r="F136" s="78"/>
      <c r="G136" s="10"/>
      <c r="H136" s="10"/>
      <c r="I136" s="10"/>
      <c r="J136" s="10"/>
      <c r="K136" s="10"/>
      <c r="L136" s="10"/>
      <c r="M136" s="287"/>
      <c r="N136" s="10"/>
      <c r="O136" s="10"/>
      <c r="P136" s="10"/>
      <c r="Q136" s="10"/>
      <c r="R136" s="10"/>
      <c r="S136" s="10"/>
      <c r="T136" s="18"/>
      <c r="U136" s="10"/>
      <c r="V136" s="10"/>
      <c r="W136" s="10"/>
      <c r="X136" s="18"/>
      <c r="Y136" s="10"/>
      <c r="Z136" s="10"/>
      <c r="AA136" s="10"/>
      <c r="AB136" s="60"/>
      <c r="AC136" s="60"/>
      <c r="AD136" s="12"/>
    </row>
    <row r="137" spans="1:30" s="17" customFormat="1" ht="15.5" hidden="1" outlineLevel="1" collapsed="1" x14ac:dyDescent="0.35">
      <c r="A137" s="93" t="s">
        <v>100</v>
      </c>
      <c r="B137" s="21"/>
      <c r="C137" s="84"/>
      <c r="D137" s="84"/>
      <c r="E137" s="84"/>
      <c r="F137" s="83"/>
      <c r="G137" s="32"/>
      <c r="H137" s="32"/>
      <c r="I137" s="32"/>
      <c r="J137" s="32"/>
      <c r="K137" s="32"/>
      <c r="L137" s="20">
        <f ca="1">LOOKUP(1000,INDIRECT("L1:"&amp;CELL("address",INDIRECT("R[-1]C",FALSE))))+1</f>
        <v>9</v>
      </c>
      <c r="M137" s="298" t="s">
        <v>620</v>
      </c>
      <c r="N137" s="298"/>
      <c r="O137" s="5"/>
      <c r="P137" s="33"/>
      <c r="Q137" s="33"/>
      <c r="R137" s="33"/>
      <c r="S137" s="33"/>
      <c r="T137" s="167">
        <f>IF($S$6="Exclude", SUMIFS(S138:S141, J138:J141, "&lt;&gt;Yes", G138:G141, "&lt;&gt;Yes"), SUMIFS(S138:S141, J138:J141, "&lt;&gt;Yes"))</f>
        <v>2.5</v>
      </c>
      <c r="U137" s="33"/>
      <c r="V137" s="33"/>
      <c r="W137" s="33"/>
      <c r="X137" s="34"/>
      <c r="Y137" s="35"/>
      <c r="Z137" s="35"/>
      <c r="AA137" s="35"/>
      <c r="AB137" s="240" t="s">
        <v>443</v>
      </c>
      <c r="AC137" s="36"/>
      <c r="AD137" s="26" t="str">
        <f>IF(M137="", "Error: Task name cannot be empty.", "")</f>
        <v/>
      </c>
    </row>
    <row r="138" spans="1:30" s="15" customFormat="1" ht="1.5" hidden="1" customHeight="1" outlineLevel="2" x14ac:dyDescent="0.35">
      <c r="A138" s="93" t="s">
        <v>101</v>
      </c>
      <c r="B138" s="21"/>
      <c r="C138" s="84"/>
      <c r="D138" s="84"/>
      <c r="E138" s="84"/>
      <c r="F138" s="83"/>
      <c r="G138" s="32"/>
      <c r="H138" s="32"/>
      <c r="I138" s="32"/>
      <c r="J138" s="32"/>
      <c r="K138" s="32"/>
      <c r="L138" s="175">
        <f ca="1">L137</f>
        <v>9</v>
      </c>
      <c r="M138" s="176" t="s">
        <v>105</v>
      </c>
      <c r="N138" s="173"/>
      <c r="O138" s="174"/>
      <c r="P138" s="33"/>
      <c r="Q138" s="33"/>
      <c r="R138" s="33"/>
      <c r="S138" s="33"/>
      <c r="T138" s="167"/>
      <c r="U138" s="33"/>
      <c r="V138" s="33"/>
      <c r="W138" s="33"/>
      <c r="X138" s="34"/>
      <c r="Y138" s="35"/>
      <c r="Z138" s="35"/>
      <c r="AA138" s="35"/>
      <c r="AB138" s="36"/>
      <c r="AC138" s="36"/>
      <c r="AD138" s="26"/>
    </row>
    <row r="139" spans="1:30" ht="58" hidden="1" outlineLevel="2" x14ac:dyDescent="0.35">
      <c r="A139" s="93" t="s">
        <v>0</v>
      </c>
      <c r="B139" s="21"/>
      <c r="C139" s="85"/>
      <c r="D139" s="85"/>
      <c r="E139" s="85"/>
      <c r="F139" s="86"/>
      <c r="G139" s="22" t="s">
        <v>23</v>
      </c>
      <c r="H139" s="22" t="s">
        <v>23</v>
      </c>
      <c r="I139" s="23" t="s">
        <v>23</v>
      </c>
      <c r="J139" s="22" t="s">
        <v>23</v>
      </c>
      <c r="K139" s="38"/>
      <c r="L139" s="22"/>
      <c r="M139" s="286" t="str">
        <f ca="1">IFERROR(OFFSET(M139,-1,,1,1)+0.1,OFFSET(M139,-1,-1,1,1)&amp;".1")</f>
        <v>9.1</v>
      </c>
      <c r="N139" s="23" t="s">
        <v>621</v>
      </c>
      <c r="O139" s="23"/>
      <c r="P139" s="23"/>
      <c r="Q139" s="144"/>
      <c r="R139" s="137"/>
      <c r="S139" s="169">
        <f>CEILING((IF(J139="Yes", 0, IF(H139="-",AA139,AA139+AA139*VLOOKUP(H139,BUFFERS_BY_TYPE,2,FALSE)))) +
   (IF(J139="Yes", 0, IF(H139="-",AA139,AA139+AA139*VLOOKUP(H139,BUFFERS_BY_TYPE,2,FALSE))))*VLOOKUP($S$5, SALES_CALL_SCALE_ARRAY, 2,FALSE),0.25)</f>
        <v>2</v>
      </c>
      <c r="T139" s="170"/>
      <c r="U139" s="24">
        <v>0</v>
      </c>
      <c r="V139" s="24">
        <v>1</v>
      </c>
      <c r="W139" s="24">
        <v>0</v>
      </c>
      <c r="X139" s="168">
        <v>2</v>
      </c>
      <c r="Y139" s="169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2</v>
      </c>
      <c r="Z139" s="25"/>
      <c r="AA139" s="169">
        <f>Y139+Y139*VLOOKUP(I139,EXTRAS_ARRAY,2,FALSE)</f>
        <v>2</v>
      </c>
      <c r="AB139" s="23" t="s">
        <v>445</v>
      </c>
      <c r="AC139" s="37"/>
      <c r="AD139" s="26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/>
      </c>
    </row>
    <row r="140" spans="1:30" ht="43.5" hidden="1" outlineLevel="2" x14ac:dyDescent="0.35">
      <c r="A140" s="93" t="s">
        <v>0</v>
      </c>
      <c r="B140" s="21"/>
      <c r="C140" s="85"/>
      <c r="D140" s="85"/>
      <c r="E140" s="85"/>
      <c r="F140" s="86"/>
      <c r="G140" s="22" t="s">
        <v>23</v>
      </c>
      <c r="H140" s="22" t="s">
        <v>23</v>
      </c>
      <c r="I140" s="23" t="s">
        <v>23</v>
      </c>
      <c r="J140" s="22" t="s">
        <v>23</v>
      </c>
      <c r="K140" s="38"/>
      <c r="L140" s="22"/>
      <c r="M140" s="286">
        <f ca="1">IFERROR(OFFSET(M140,-1,,1,1)+0.1,OFFSET(M140,-1,-1,1,1)&amp;".1")</f>
        <v>9.1999999999999993</v>
      </c>
      <c r="N140" s="23" t="s">
        <v>622</v>
      </c>
      <c r="O140" s="23"/>
      <c r="P140" s="23"/>
      <c r="Q140" s="144"/>
      <c r="R140" s="137"/>
      <c r="S140" s="169">
        <f>CEILING((IF(J140="Yes", 0, IF(H140="-",AA140,AA140+AA140*VLOOKUP(H140,BUFFERS_BY_TYPE,2,FALSE)))) +
   (IF(J140="Yes", 0, IF(H140="-",AA140,AA140+AA140*VLOOKUP(H140,BUFFERS_BY_TYPE,2,FALSE))))*VLOOKUP($S$5, SALES_CALL_SCALE_ARRAY, 2,FALSE),0.25)</f>
        <v>0.5</v>
      </c>
      <c r="T140" s="170"/>
      <c r="U140" s="24">
        <v>0</v>
      </c>
      <c r="V140" s="24">
        <v>1</v>
      </c>
      <c r="W140" s="24">
        <v>0</v>
      </c>
      <c r="X140" s="168">
        <v>0.5</v>
      </c>
      <c r="Y140" s="169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0.5</v>
      </c>
      <c r="Z140" s="25"/>
      <c r="AA140" s="169">
        <f>Y140+Y140*VLOOKUP(I140,EXTRAS_ARRAY,2,FALSE)</f>
        <v>0.5</v>
      </c>
      <c r="AB140" s="23" t="s">
        <v>445</v>
      </c>
      <c r="AC140" s="37"/>
      <c r="AD140" s="26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s="11" customFormat="1" ht="7.5" hidden="1" customHeight="1" outlineLevel="2" x14ac:dyDescent="0.35">
      <c r="A141" s="93" t="s">
        <v>132</v>
      </c>
      <c r="B141" s="18"/>
      <c r="C141" s="78"/>
      <c r="D141" s="78"/>
      <c r="E141" s="78"/>
      <c r="F141" s="78"/>
      <c r="G141" s="10"/>
      <c r="H141" s="10"/>
      <c r="I141" s="10"/>
      <c r="J141" s="10"/>
      <c r="K141" s="10"/>
      <c r="L141" s="10"/>
      <c r="M141" s="287"/>
      <c r="N141" s="10"/>
      <c r="O141" s="10"/>
      <c r="P141" s="10"/>
      <c r="Q141" s="10"/>
      <c r="R141" s="10"/>
      <c r="S141" s="10"/>
      <c r="T141" s="18"/>
      <c r="U141" s="10"/>
      <c r="V141" s="10"/>
      <c r="W141" s="10"/>
      <c r="X141" s="18"/>
      <c r="Y141" s="10"/>
      <c r="Z141" s="10"/>
      <c r="AA141" s="10"/>
      <c r="AB141" s="60"/>
      <c r="AC141" s="60"/>
      <c r="AD141" s="12"/>
    </row>
    <row r="142" spans="1:30" s="17" customFormat="1" ht="15.5" hidden="1" outlineLevel="1" collapsed="1" x14ac:dyDescent="0.35">
      <c r="A142" s="93" t="s">
        <v>100</v>
      </c>
      <c r="B142" s="21"/>
      <c r="C142" s="84"/>
      <c r="D142" s="84"/>
      <c r="E142" s="84"/>
      <c r="F142" s="83"/>
      <c r="G142" s="32"/>
      <c r="H142" s="32"/>
      <c r="I142" s="32"/>
      <c r="J142" s="32"/>
      <c r="K142" s="32"/>
      <c r="L142" s="20">
        <f ca="1">LOOKUP(1000,INDIRECT("L1:"&amp;CELL("address",INDIRECT("R[-1]C",FALSE))))+1</f>
        <v>10</v>
      </c>
      <c r="M142" s="298" t="s">
        <v>624</v>
      </c>
      <c r="N142" s="298"/>
      <c r="O142" s="5"/>
      <c r="P142" s="33"/>
      <c r="Q142" s="33"/>
      <c r="R142" s="33"/>
      <c r="S142" s="33"/>
      <c r="T142" s="167">
        <f>IF($S$6="Exclude", SUMIFS(S143:S145, J143:J145, "&lt;&gt;Yes", G143:G145, "&lt;&gt;Yes"), SUMIFS(S143:S145, J143:J145, "&lt;&gt;Yes"))</f>
        <v>2</v>
      </c>
      <c r="U142" s="33"/>
      <c r="V142" s="33"/>
      <c r="W142" s="33"/>
      <c r="X142" s="34"/>
      <c r="Y142" s="35"/>
      <c r="Z142" s="35"/>
      <c r="AA142" s="35"/>
      <c r="AB142" s="240" t="s">
        <v>443</v>
      </c>
      <c r="AC142" s="36"/>
      <c r="AD142" s="26" t="str">
        <f>IF(M142="", "Error: Task name cannot be empty.", "")</f>
        <v/>
      </c>
    </row>
    <row r="143" spans="1:30" s="15" customFormat="1" ht="1.5" hidden="1" customHeight="1" outlineLevel="2" x14ac:dyDescent="0.35">
      <c r="A143" s="93" t="s">
        <v>101</v>
      </c>
      <c r="B143" s="21"/>
      <c r="C143" s="84"/>
      <c r="D143" s="84"/>
      <c r="E143" s="84"/>
      <c r="F143" s="83"/>
      <c r="G143" s="32"/>
      <c r="H143" s="32"/>
      <c r="I143" s="32"/>
      <c r="J143" s="32"/>
      <c r="K143" s="32"/>
      <c r="L143" s="175">
        <f ca="1">L142</f>
        <v>10</v>
      </c>
      <c r="M143" s="176" t="s">
        <v>105</v>
      </c>
      <c r="N143" s="173"/>
      <c r="O143" s="174"/>
      <c r="P143" s="33"/>
      <c r="Q143" s="33"/>
      <c r="R143" s="33"/>
      <c r="S143" s="33"/>
      <c r="T143" s="167"/>
      <c r="U143" s="33"/>
      <c r="V143" s="33"/>
      <c r="W143" s="33"/>
      <c r="X143" s="34"/>
      <c r="Y143" s="35"/>
      <c r="Z143" s="35"/>
      <c r="AA143" s="35"/>
      <c r="AB143" s="36"/>
      <c r="AC143" s="36"/>
      <c r="AD143" s="26"/>
    </row>
    <row r="144" spans="1:30" ht="58" hidden="1" outlineLevel="2" x14ac:dyDescent="0.35">
      <c r="A144" s="93" t="s">
        <v>0</v>
      </c>
      <c r="B144" s="21"/>
      <c r="C144" s="85"/>
      <c r="D144" s="85"/>
      <c r="E144" s="85"/>
      <c r="F144" s="86"/>
      <c r="G144" s="22" t="s">
        <v>23</v>
      </c>
      <c r="H144" s="22" t="s">
        <v>23</v>
      </c>
      <c r="I144" s="23" t="s">
        <v>23</v>
      </c>
      <c r="J144" s="22" t="s">
        <v>23</v>
      </c>
      <c r="K144" s="38"/>
      <c r="L144" s="22"/>
      <c r="M144" s="286" t="str">
        <f ca="1">IFERROR(OFFSET(M144,-1,,1,1)+0.1,OFFSET(M144,-1,-1,1,1)&amp;".1")</f>
        <v>10.1</v>
      </c>
      <c r="N144" s="23" t="s">
        <v>625</v>
      </c>
      <c r="O144" s="23"/>
      <c r="P144" s="23"/>
      <c r="Q144" s="144"/>
      <c r="R144" s="137"/>
      <c r="S144" s="169">
        <f>CEILING((IF(J144="Yes", 0, IF(H144="-",AA144,AA144+AA144*VLOOKUP(H144,BUFFERS_BY_TYPE,2,FALSE)))) +
   (IF(J144="Yes", 0, IF(H144="-",AA144,AA144+AA144*VLOOKUP(H144,BUFFERS_BY_TYPE,2,FALSE))))*VLOOKUP($S$5, SALES_CALL_SCALE_ARRAY, 2,FALSE),0.25)</f>
        <v>2</v>
      </c>
      <c r="T144" s="170"/>
      <c r="U144" s="24">
        <v>0</v>
      </c>
      <c r="V144" s="24">
        <v>1</v>
      </c>
      <c r="W144" s="24">
        <v>0</v>
      </c>
      <c r="X144" s="168">
        <v>2</v>
      </c>
      <c r="Y144" s="169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2</v>
      </c>
      <c r="Z144" s="25"/>
      <c r="AA144" s="169">
        <f>Y144+Y144*VLOOKUP(I144,EXTRAS_ARRAY,2,FALSE)</f>
        <v>2</v>
      </c>
      <c r="AB144" s="23" t="s">
        <v>445</v>
      </c>
      <c r="AC144" s="37"/>
      <c r="AD144" s="26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s="11" customFormat="1" ht="7.5" hidden="1" customHeight="1" outlineLevel="2" x14ac:dyDescent="0.35">
      <c r="A145" s="93" t="s">
        <v>132</v>
      </c>
      <c r="B145" s="18"/>
      <c r="C145" s="78"/>
      <c r="D145" s="78"/>
      <c r="E145" s="78"/>
      <c r="F145" s="78"/>
      <c r="G145" s="10"/>
      <c r="H145" s="10"/>
      <c r="I145" s="10"/>
      <c r="J145" s="10"/>
      <c r="K145" s="10"/>
      <c r="L145" s="10"/>
      <c r="M145" s="287"/>
      <c r="N145" s="10"/>
      <c r="O145" s="10"/>
      <c r="P145" s="10"/>
      <c r="Q145" s="10"/>
      <c r="R145" s="10"/>
      <c r="S145" s="10"/>
      <c r="T145" s="18"/>
      <c r="U145" s="10"/>
      <c r="V145" s="10"/>
      <c r="W145" s="10"/>
      <c r="X145" s="18"/>
      <c r="Y145" s="10"/>
      <c r="Z145" s="10"/>
      <c r="AA145" s="10"/>
      <c r="AB145" s="60"/>
      <c r="AC145" s="60"/>
      <c r="AD145" s="12"/>
    </row>
    <row r="146" spans="1:30" s="17" customFormat="1" ht="15.5" hidden="1" outlineLevel="1" collapsed="1" x14ac:dyDescent="0.35">
      <c r="A146" s="93" t="s">
        <v>100</v>
      </c>
      <c r="B146" s="21"/>
      <c r="C146" s="84"/>
      <c r="D146" s="84"/>
      <c r="E146" s="84"/>
      <c r="F146" s="83"/>
      <c r="G146" s="32"/>
      <c r="H146" s="32"/>
      <c r="I146" s="32"/>
      <c r="J146" s="32"/>
      <c r="K146" s="32"/>
      <c r="L146" s="20">
        <f ca="1">LOOKUP(1000,INDIRECT("L1:"&amp;CELL("address",INDIRECT("R[-1]C",FALSE))))+1</f>
        <v>11</v>
      </c>
      <c r="M146" s="298" t="s">
        <v>626</v>
      </c>
      <c r="N146" s="298"/>
      <c r="O146" s="5"/>
      <c r="P146" s="33"/>
      <c r="Q146" s="33"/>
      <c r="R146" s="33"/>
      <c r="S146" s="33"/>
      <c r="T146" s="167">
        <f>IF($S$6="Exclude", SUMIFS(S147:S149, J147:J149, "&lt;&gt;Yes", G147:G149, "&lt;&gt;Yes"), SUMIFS(S147:S149, J147:J149, "&lt;&gt;Yes"))</f>
        <v>3</v>
      </c>
      <c r="U146" s="33"/>
      <c r="V146" s="33"/>
      <c r="W146" s="33"/>
      <c r="X146" s="34"/>
      <c r="Y146" s="35"/>
      <c r="Z146" s="35"/>
      <c r="AA146" s="35"/>
      <c r="AB146" s="240" t="s">
        <v>443</v>
      </c>
      <c r="AC146" s="36"/>
      <c r="AD146" s="26" t="str">
        <f>IF(M146="", "Error: Task name cannot be empty.", "")</f>
        <v/>
      </c>
    </row>
    <row r="147" spans="1:30" s="15" customFormat="1" ht="1.5" hidden="1" customHeight="1" outlineLevel="2" x14ac:dyDescent="0.35">
      <c r="A147" s="93" t="s">
        <v>101</v>
      </c>
      <c r="B147" s="21"/>
      <c r="C147" s="84"/>
      <c r="D147" s="84"/>
      <c r="E147" s="84"/>
      <c r="F147" s="83"/>
      <c r="G147" s="32"/>
      <c r="H147" s="32"/>
      <c r="I147" s="32"/>
      <c r="J147" s="32"/>
      <c r="K147" s="32"/>
      <c r="L147" s="175">
        <f ca="1">L146</f>
        <v>11</v>
      </c>
      <c r="M147" s="176" t="s">
        <v>105</v>
      </c>
      <c r="N147" s="173"/>
      <c r="O147" s="174"/>
      <c r="P147" s="33"/>
      <c r="Q147" s="33"/>
      <c r="R147" s="33"/>
      <c r="S147" s="33"/>
      <c r="T147" s="167"/>
      <c r="U147" s="33"/>
      <c r="V147" s="33"/>
      <c r="W147" s="33"/>
      <c r="X147" s="34"/>
      <c r="Y147" s="35"/>
      <c r="Z147" s="35"/>
      <c r="AA147" s="35"/>
      <c r="AB147" s="36"/>
      <c r="AC147" s="36"/>
      <c r="AD147" s="26"/>
    </row>
    <row r="148" spans="1:30" ht="58" hidden="1" outlineLevel="2" x14ac:dyDescent="0.35">
      <c r="A148" s="93" t="s">
        <v>0</v>
      </c>
      <c r="B148" s="21"/>
      <c r="C148" s="85"/>
      <c r="D148" s="85"/>
      <c r="E148" s="85"/>
      <c r="F148" s="86"/>
      <c r="G148" s="22" t="s">
        <v>23</v>
      </c>
      <c r="H148" s="22" t="s">
        <v>23</v>
      </c>
      <c r="I148" s="23" t="s">
        <v>23</v>
      </c>
      <c r="J148" s="22" t="s">
        <v>23</v>
      </c>
      <c r="K148" s="38"/>
      <c r="L148" s="22"/>
      <c r="M148" s="286" t="str">
        <f ca="1">IFERROR(OFFSET(M148,-1,,1,1)+0.1,OFFSET(M148,-1,-1,1,1)&amp;".1")</f>
        <v>11.1</v>
      </c>
      <c r="N148" s="23" t="s">
        <v>627</v>
      </c>
      <c r="O148" s="23"/>
      <c r="P148" s="23"/>
      <c r="Q148" s="144"/>
      <c r="R148" s="137"/>
      <c r="S148" s="169">
        <f>CEILING((IF(J148="Yes", 0, IF(H148="-",AA148,AA148+AA148*VLOOKUP(H148,BUFFERS_BY_TYPE,2,FALSE)))) +
   (IF(J148="Yes", 0, IF(H148="-",AA148,AA148+AA148*VLOOKUP(H148,BUFFERS_BY_TYPE,2,FALSE))))*VLOOKUP($S$5, SALES_CALL_SCALE_ARRAY, 2,FALSE),0.25)</f>
        <v>3</v>
      </c>
      <c r="T148" s="170"/>
      <c r="U148" s="24">
        <v>0</v>
      </c>
      <c r="V148" s="24">
        <v>1</v>
      </c>
      <c r="W148" s="24">
        <v>0</v>
      </c>
      <c r="X148" s="168">
        <v>3</v>
      </c>
      <c r="Y148" s="169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3</v>
      </c>
      <c r="Z148" s="25"/>
      <c r="AA148" s="169">
        <f>Y148+Y148*VLOOKUP(I148,EXTRAS_ARRAY,2,FALSE)</f>
        <v>3</v>
      </c>
      <c r="AB148" s="23" t="s">
        <v>445</v>
      </c>
      <c r="AC148" s="37"/>
      <c r="AD148" s="26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spans="1:30" s="11" customFormat="1" ht="7.5" hidden="1" customHeight="1" outlineLevel="2" x14ac:dyDescent="0.35">
      <c r="A149" s="93" t="s">
        <v>132</v>
      </c>
      <c r="B149" s="18"/>
      <c r="C149" s="78"/>
      <c r="D149" s="78"/>
      <c r="E149" s="78"/>
      <c r="F149" s="78"/>
      <c r="G149" s="10"/>
      <c r="H149" s="10"/>
      <c r="I149" s="10"/>
      <c r="J149" s="10"/>
      <c r="K149" s="10"/>
      <c r="L149" s="10"/>
      <c r="M149" s="287"/>
      <c r="N149" s="10"/>
      <c r="O149" s="10"/>
      <c r="P149" s="10"/>
      <c r="Q149" s="10"/>
      <c r="R149" s="10"/>
      <c r="S149" s="10"/>
      <c r="T149" s="18"/>
      <c r="U149" s="10"/>
      <c r="V149" s="10"/>
      <c r="W149" s="10"/>
      <c r="X149" s="18"/>
      <c r="Y149" s="10"/>
      <c r="Z149" s="10"/>
      <c r="AA149" s="10"/>
      <c r="AB149" s="60"/>
      <c r="AC149" s="60"/>
      <c r="AD149" s="12"/>
    </row>
    <row r="150" spans="1:30" s="17" customFormat="1" ht="15.5" hidden="1" outlineLevel="1" collapsed="1" x14ac:dyDescent="0.35">
      <c r="A150" s="93" t="s">
        <v>100</v>
      </c>
      <c r="B150" s="21"/>
      <c r="C150" s="84"/>
      <c r="D150" s="84"/>
      <c r="E150" s="84"/>
      <c r="F150" s="83"/>
      <c r="G150" s="32"/>
      <c r="H150" s="32"/>
      <c r="I150" s="32"/>
      <c r="J150" s="32"/>
      <c r="K150" s="32"/>
      <c r="L150" s="20">
        <f ca="1">LOOKUP(1000,INDIRECT("L1:"&amp;CELL("address",INDIRECT("R[-1]C",FALSE))))+1</f>
        <v>12</v>
      </c>
      <c r="M150" s="298" t="s">
        <v>628</v>
      </c>
      <c r="N150" s="298"/>
      <c r="O150" s="5"/>
      <c r="P150" s="33"/>
      <c r="Q150" s="33"/>
      <c r="R150" s="33"/>
      <c r="S150" s="33"/>
      <c r="T150" s="167">
        <f>IF($S$6="Exclude", SUMIFS(S151:S155, J151:J155, "&lt;&gt;Yes", G151:G155, "&lt;&gt;Yes"), SUMIFS(S151:S155, J151:J155, "&lt;&gt;Yes"))</f>
        <v>5</v>
      </c>
      <c r="U150" s="33"/>
      <c r="V150" s="33"/>
      <c r="W150" s="33"/>
      <c r="X150" s="34"/>
      <c r="Y150" s="35"/>
      <c r="Z150" s="35"/>
      <c r="AA150" s="35"/>
      <c r="AB150" s="240" t="s">
        <v>443</v>
      </c>
      <c r="AC150" s="36"/>
      <c r="AD150" s="26" t="str">
        <f>IF(M150="", "Error: Task name cannot be empty.", "")</f>
        <v/>
      </c>
    </row>
    <row r="151" spans="1:30" s="15" customFormat="1" ht="1.5" hidden="1" customHeight="1" outlineLevel="2" x14ac:dyDescent="0.35">
      <c r="A151" s="93" t="s">
        <v>101</v>
      </c>
      <c r="B151" s="21"/>
      <c r="C151" s="84"/>
      <c r="D151" s="84"/>
      <c r="E151" s="84"/>
      <c r="F151" s="83"/>
      <c r="G151" s="32"/>
      <c r="H151" s="32"/>
      <c r="I151" s="32"/>
      <c r="J151" s="32"/>
      <c r="K151" s="32"/>
      <c r="L151" s="175">
        <f ca="1">L150</f>
        <v>12</v>
      </c>
      <c r="M151" s="176" t="s">
        <v>105</v>
      </c>
      <c r="N151" s="173"/>
      <c r="O151" s="174"/>
      <c r="P151" s="33"/>
      <c r="Q151" s="33"/>
      <c r="R151" s="33"/>
      <c r="S151" s="33"/>
      <c r="T151" s="167"/>
      <c r="U151" s="33"/>
      <c r="V151" s="33"/>
      <c r="W151" s="33"/>
      <c r="X151" s="34"/>
      <c r="Y151" s="35"/>
      <c r="Z151" s="35"/>
      <c r="AA151" s="35"/>
      <c r="AB151" s="36"/>
      <c r="AC151" s="36"/>
      <c r="AD151" s="26"/>
    </row>
    <row r="152" spans="1:30" ht="58" hidden="1" outlineLevel="2" x14ac:dyDescent="0.35">
      <c r="A152" s="93" t="s">
        <v>0</v>
      </c>
      <c r="B152" s="21"/>
      <c r="C152" s="85"/>
      <c r="D152" s="85"/>
      <c r="E152" s="85"/>
      <c r="F152" s="86"/>
      <c r="G152" s="22" t="s">
        <v>23</v>
      </c>
      <c r="H152" s="22" t="s">
        <v>23</v>
      </c>
      <c r="I152" s="23" t="s">
        <v>23</v>
      </c>
      <c r="J152" s="22" t="s">
        <v>23</v>
      </c>
      <c r="K152" s="38"/>
      <c r="L152" s="22"/>
      <c r="M152" s="286" t="str">
        <f ca="1">IFERROR(OFFSET(M152,-1,,1,1)+0.1,OFFSET(M152,-1,-1,1,1)&amp;".1")</f>
        <v>12.1</v>
      </c>
      <c r="N152" s="23" t="s">
        <v>629</v>
      </c>
      <c r="O152" s="23"/>
      <c r="P152" s="23"/>
      <c r="Q152" s="144"/>
      <c r="R152" s="137"/>
      <c r="S152" s="169">
        <f>CEILING((IF(J152="Yes", 0, IF(H152="-",AA152,AA152+AA152*VLOOKUP(H152,BUFFERS_BY_TYPE,2,FALSE)))) +
   (IF(J152="Yes", 0, IF(H152="-",AA152,AA152+AA152*VLOOKUP(H152,BUFFERS_BY_TYPE,2,FALSE))))*VLOOKUP($S$5, SALES_CALL_SCALE_ARRAY, 2,FALSE),0.25)</f>
        <v>1</v>
      </c>
      <c r="T152" s="170"/>
      <c r="U152" s="24">
        <v>0</v>
      </c>
      <c r="V152" s="24">
        <v>1</v>
      </c>
      <c r="W152" s="24">
        <v>0</v>
      </c>
      <c r="X152" s="168">
        <v>1</v>
      </c>
      <c r="Y152" s="169">
        <f>CEILING((IF(P152=AS_DEV_EFFORT, DEV_EFFORT*Q152%,
                           IF(P152=AS_DURATION_EFFORT, (MANUAL_DURATION*5)*Q152%,
                                    (IF(Q152&lt;=1,X152,
                                          IF(SUM(U152:W152)=0,(Q152*X152),
                                               (((Q152*U152)*(X152+(X152*EXTRA_FOR_H)))+
                                               ((Q152*V152)*X152)+
                                               ((Q152*W152)*(X152-(X152*LESS_FOR_L)))
                                    )*IF(R152=0,1,R152))))))+Z152), 0.25)</f>
        <v>1</v>
      </c>
      <c r="Z152" s="25"/>
      <c r="AA152" s="169">
        <f>Y152+Y152*VLOOKUP(I152,EXTRAS_ARRAY,2,FALSE)</f>
        <v>1</v>
      </c>
      <c r="AB152" s="23" t="s">
        <v>445</v>
      </c>
      <c r="AC152" s="37"/>
      <c r="AD152" s="26" t="str">
        <f>IF(J152&lt;&gt;"Yes",
IF(S152&lt;=0,"Error: Effort value is not defined or is invalid.",
IF(AND(SUM(U152:W152)&gt;0,SUM(U152:W152)&lt;&gt;1),"Error: Complexity % distribution should sum to 100%.",
IF(AND(P152=AS_DEV_EFFORT,X152&lt;&gt;0),"Error: PDs should not be defined when defining as dev effort %.",
IF(AND(P152=AS_DURATION_EFFORT,X152&lt;&gt;0),"Error: PDs should not be defined when defining as duration effort %.","")))))</f>
        <v/>
      </c>
    </row>
    <row r="153" spans="1:30" ht="43.5" hidden="1" outlineLevel="2" x14ac:dyDescent="0.35">
      <c r="A153" s="93" t="s">
        <v>0</v>
      </c>
      <c r="B153" s="21"/>
      <c r="C153" s="85"/>
      <c r="D153" s="85"/>
      <c r="E153" s="85"/>
      <c r="F153" s="86"/>
      <c r="G153" s="22" t="s">
        <v>23</v>
      </c>
      <c r="H153" s="22" t="s">
        <v>23</v>
      </c>
      <c r="I153" s="23" t="s">
        <v>23</v>
      </c>
      <c r="J153" s="22" t="s">
        <v>23</v>
      </c>
      <c r="K153" s="38"/>
      <c r="L153" s="22"/>
      <c r="M153" s="286">
        <f ca="1">IFERROR(OFFSET(M153,-1,,1,1)+0.1,OFFSET(M153,-1,-1,1,1)&amp;".1")</f>
        <v>12.2</v>
      </c>
      <c r="N153" s="23" t="s">
        <v>630</v>
      </c>
      <c r="O153" s="23"/>
      <c r="P153" s="23"/>
      <c r="Q153" s="144"/>
      <c r="R153" s="137"/>
      <c r="S153" s="169">
        <f>CEILING((IF(J153="Yes", 0, IF(H153="-",AA153,AA153+AA153*VLOOKUP(H153,BUFFERS_BY_TYPE,2,FALSE)))) +
   (IF(J153="Yes", 0, IF(H153="-",AA153,AA153+AA153*VLOOKUP(H153,BUFFERS_BY_TYPE,2,FALSE))))*VLOOKUP($S$5, SALES_CALL_SCALE_ARRAY, 2,FALSE),0.25)</f>
        <v>1.5</v>
      </c>
      <c r="T153" s="170"/>
      <c r="U153" s="24">
        <v>0</v>
      </c>
      <c r="V153" s="24">
        <v>1</v>
      </c>
      <c r="W153" s="24">
        <v>0</v>
      </c>
      <c r="X153" s="168">
        <v>1.5</v>
      </c>
      <c r="Y153" s="169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1.5</v>
      </c>
      <c r="Z153" s="25"/>
      <c r="AA153" s="169">
        <f>Y153+Y153*VLOOKUP(I153,EXTRAS_ARRAY,2,FALSE)</f>
        <v>1.5</v>
      </c>
      <c r="AB153" s="23" t="s">
        <v>445</v>
      </c>
      <c r="AC153" s="37"/>
      <c r="AD153" s="26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58" hidden="1" outlineLevel="2" x14ac:dyDescent="0.35">
      <c r="A154" s="93" t="s">
        <v>0</v>
      </c>
      <c r="B154" s="21"/>
      <c r="C154" s="85"/>
      <c r="D154" s="85"/>
      <c r="E154" s="85"/>
      <c r="F154" s="86"/>
      <c r="G154" s="22" t="s">
        <v>23</v>
      </c>
      <c r="H154" s="22" t="s">
        <v>23</v>
      </c>
      <c r="I154" s="23" t="s">
        <v>23</v>
      </c>
      <c r="J154" s="22" t="s">
        <v>23</v>
      </c>
      <c r="K154" s="38"/>
      <c r="L154" s="22"/>
      <c r="M154" s="286">
        <f ca="1">IFERROR(OFFSET(M154,-1,,1,1)+0.1,OFFSET(M154,-1,-1,1,1)&amp;".1")</f>
        <v>12.299999999999999</v>
      </c>
      <c r="N154" s="23" t="s">
        <v>631</v>
      </c>
      <c r="O154" s="23"/>
      <c r="P154" s="23"/>
      <c r="Q154" s="144"/>
      <c r="R154" s="137"/>
      <c r="S154" s="169">
        <f>CEILING((IF(J154="Yes", 0, IF(H154="-",AA154,AA154+AA154*VLOOKUP(H154,BUFFERS_BY_TYPE,2,FALSE)))) +
   (IF(J154="Yes", 0, IF(H154="-",AA154,AA154+AA154*VLOOKUP(H154,BUFFERS_BY_TYPE,2,FALSE))))*VLOOKUP($S$5, SALES_CALL_SCALE_ARRAY, 2,FALSE),0.25)</f>
        <v>2.5</v>
      </c>
      <c r="T154" s="170"/>
      <c r="U154" s="24">
        <v>0</v>
      </c>
      <c r="V154" s="24">
        <v>1</v>
      </c>
      <c r="W154" s="24">
        <v>0</v>
      </c>
      <c r="X154" s="168">
        <v>2.5</v>
      </c>
      <c r="Y154" s="169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2.5</v>
      </c>
      <c r="Z154" s="25"/>
      <c r="AA154" s="169">
        <f>Y154+Y154*VLOOKUP(I154,EXTRAS_ARRAY,2,FALSE)</f>
        <v>2.5</v>
      </c>
      <c r="AB154" s="23" t="s">
        <v>445</v>
      </c>
      <c r="AC154" s="37"/>
      <c r="AD154" s="26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s="11" customFormat="1" ht="7.5" hidden="1" customHeight="1" outlineLevel="2" x14ac:dyDescent="0.35">
      <c r="A155" s="93" t="s">
        <v>132</v>
      </c>
      <c r="B155" s="18"/>
      <c r="C155" s="78"/>
      <c r="D155" s="78"/>
      <c r="E155" s="78"/>
      <c r="F155" s="78"/>
      <c r="G155" s="10"/>
      <c r="H155" s="10"/>
      <c r="I155" s="10"/>
      <c r="J155" s="10"/>
      <c r="K155" s="10"/>
      <c r="L155" s="10"/>
      <c r="M155" s="287"/>
      <c r="N155" s="10"/>
      <c r="O155" s="10"/>
      <c r="P155" s="10"/>
      <c r="Q155" s="10"/>
      <c r="R155" s="10"/>
      <c r="S155" s="10"/>
      <c r="T155" s="18"/>
      <c r="U155" s="10"/>
      <c r="V155" s="10"/>
      <c r="W155" s="10"/>
      <c r="X155" s="18"/>
      <c r="Y155" s="10"/>
      <c r="Z155" s="10"/>
      <c r="AA155" s="10"/>
      <c r="AB155" s="60"/>
      <c r="AC155" s="60"/>
      <c r="AD155" s="12"/>
    </row>
    <row r="156" spans="1:30" s="17" customFormat="1" ht="15.5" hidden="1" outlineLevel="1" collapsed="1" x14ac:dyDescent="0.35">
      <c r="A156" s="93" t="s">
        <v>100</v>
      </c>
      <c r="B156" s="21"/>
      <c r="C156" s="84"/>
      <c r="D156" s="84"/>
      <c r="E156" s="84"/>
      <c r="F156" s="83"/>
      <c r="G156" s="32"/>
      <c r="H156" s="32"/>
      <c r="I156" s="32"/>
      <c r="J156" s="32"/>
      <c r="K156" s="32"/>
      <c r="L156" s="20">
        <f ca="1">LOOKUP(1000,INDIRECT("L1:"&amp;CELL("address",INDIRECT("R[-1]C",FALSE))))+1</f>
        <v>13</v>
      </c>
      <c r="M156" s="298" t="s">
        <v>632</v>
      </c>
      <c r="N156" s="298"/>
      <c r="O156" s="5"/>
      <c r="P156" s="33"/>
      <c r="Q156" s="33"/>
      <c r="R156" s="33"/>
      <c r="S156" s="33"/>
      <c r="T156" s="167">
        <f>IF($S$6="Exclude", SUMIFS(S157:S160, J157:J160, "&lt;&gt;Yes", G157:G160, "&lt;&gt;Yes"), SUMIFS(S157:S160, J157:J160, "&lt;&gt;Yes"))</f>
        <v>4</v>
      </c>
      <c r="U156" s="33"/>
      <c r="V156" s="33"/>
      <c r="W156" s="33"/>
      <c r="X156" s="34"/>
      <c r="Y156" s="35"/>
      <c r="Z156" s="35"/>
      <c r="AA156" s="35"/>
      <c r="AB156" s="240" t="s">
        <v>443</v>
      </c>
      <c r="AC156" s="36"/>
      <c r="AD156" s="26" t="str">
        <f>IF(M156="", "Error: Task name cannot be empty.", "")</f>
        <v/>
      </c>
    </row>
    <row r="157" spans="1:30" s="15" customFormat="1" ht="1.5" hidden="1" customHeight="1" outlineLevel="2" x14ac:dyDescent="0.35">
      <c r="A157" s="93" t="s">
        <v>101</v>
      </c>
      <c r="B157" s="21"/>
      <c r="C157" s="84"/>
      <c r="D157" s="84"/>
      <c r="E157" s="84"/>
      <c r="F157" s="83"/>
      <c r="G157" s="32"/>
      <c r="H157" s="32"/>
      <c r="I157" s="32"/>
      <c r="J157" s="32"/>
      <c r="K157" s="32"/>
      <c r="L157" s="175">
        <f ca="1">L156</f>
        <v>13</v>
      </c>
      <c r="M157" s="176" t="s">
        <v>105</v>
      </c>
      <c r="N157" s="173"/>
      <c r="O157" s="174"/>
      <c r="P157" s="33"/>
      <c r="Q157" s="33"/>
      <c r="R157" s="33"/>
      <c r="S157" s="33"/>
      <c r="T157" s="167"/>
      <c r="U157" s="33"/>
      <c r="V157" s="33"/>
      <c r="W157" s="33"/>
      <c r="X157" s="34"/>
      <c r="Y157" s="35"/>
      <c r="Z157" s="35"/>
      <c r="AA157" s="35"/>
      <c r="AB157" s="36"/>
      <c r="AC157" s="36"/>
      <c r="AD157" s="26"/>
    </row>
    <row r="158" spans="1:30" ht="58" hidden="1" outlineLevel="2" x14ac:dyDescent="0.35">
      <c r="A158" s="93" t="s">
        <v>0</v>
      </c>
      <c r="B158" s="21"/>
      <c r="C158" s="85"/>
      <c r="D158" s="85"/>
      <c r="E158" s="85"/>
      <c r="F158" s="86"/>
      <c r="G158" s="22" t="s">
        <v>23</v>
      </c>
      <c r="H158" s="22" t="s">
        <v>23</v>
      </c>
      <c r="I158" s="23" t="s">
        <v>23</v>
      </c>
      <c r="J158" s="22" t="s">
        <v>23</v>
      </c>
      <c r="K158" s="38"/>
      <c r="L158" s="22"/>
      <c r="M158" s="286" t="str">
        <f ca="1">IFERROR(OFFSET(M158,-1,,1,1)+0.1,OFFSET(M158,-1,-1,1,1)&amp;".1")</f>
        <v>13.1</v>
      </c>
      <c r="N158" s="23" t="s">
        <v>633</v>
      </c>
      <c r="O158" s="23"/>
      <c r="P158" s="23"/>
      <c r="Q158" s="144"/>
      <c r="R158" s="137"/>
      <c r="S158" s="169">
        <f>CEILING((IF(J158="Yes", 0, IF(H158="-",AA158,AA158+AA158*VLOOKUP(H158,BUFFERS_BY_TYPE,2,FALSE)))) +
   (IF(J158="Yes", 0, IF(H158="-",AA158,AA158+AA158*VLOOKUP(H158,BUFFERS_BY_TYPE,2,FALSE))))*VLOOKUP($S$5, SALES_CALL_SCALE_ARRAY, 2,FALSE),0.25)</f>
        <v>3</v>
      </c>
      <c r="T158" s="170"/>
      <c r="U158" s="24">
        <v>0</v>
      </c>
      <c r="V158" s="24">
        <v>1</v>
      </c>
      <c r="W158" s="24">
        <v>0</v>
      </c>
      <c r="X158" s="168">
        <v>3</v>
      </c>
      <c r="Y158" s="169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3</v>
      </c>
      <c r="Z158" s="25"/>
      <c r="AA158" s="169">
        <f>Y158+Y158*VLOOKUP(I158,EXTRAS_ARRAY,2,FALSE)</f>
        <v>3</v>
      </c>
      <c r="AB158" s="23" t="s">
        <v>445</v>
      </c>
      <c r="AC158" s="37"/>
      <c r="AD158" s="26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spans="1:30" ht="43.5" hidden="1" outlineLevel="2" x14ac:dyDescent="0.35">
      <c r="A159" s="93" t="s">
        <v>0</v>
      </c>
      <c r="B159" s="21"/>
      <c r="C159" s="85"/>
      <c r="D159" s="85"/>
      <c r="E159" s="85"/>
      <c r="F159" s="86"/>
      <c r="G159" s="22" t="s">
        <v>23</v>
      </c>
      <c r="H159" s="22" t="s">
        <v>23</v>
      </c>
      <c r="I159" s="23" t="s">
        <v>23</v>
      </c>
      <c r="J159" s="22" t="s">
        <v>23</v>
      </c>
      <c r="K159" s="38"/>
      <c r="L159" s="22"/>
      <c r="M159" s="286">
        <f ca="1">IFERROR(OFFSET(M159,-1,,1,1)+0.1,OFFSET(M159,-1,-1,1,1)&amp;".1")</f>
        <v>13.2</v>
      </c>
      <c r="N159" s="23" t="s">
        <v>634</v>
      </c>
      <c r="O159" s="23"/>
      <c r="P159" s="23"/>
      <c r="Q159" s="144"/>
      <c r="R159" s="137"/>
      <c r="S159" s="169">
        <f>CEILING((IF(J159="Yes", 0, IF(H159="-",AA159,AA159+AA159*VLOOKUP(H159,BUFFERS_BY_TYPE,2,FALSE)))) +
   (IF(J159="Yes", 0, IF(H159="-",AA159,AA159+AA159*VLOOKUP(H159,BUFFERS_BY_TYPE,2,FALSE))))*VLOOKUP($S$5, SALES_CALL_SCALE_ARRAY, 2,FALSE),0.25)</f>
        <v>1</v>
      </c>
      <c r="T159" s="170"/>
      <c r="U159" s="24">
        <v>0</v>
      </c>
      <c r="V159" s="24">
        <v>1</v>
      </c>
      <c r="W159" s="24">
        <v>0</v>
      </c>
      <c r="X159" s="168">
        <v>1</v>
      </c>
      <c r="Y159" s="169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1</v>
      </c>
      <c r="Z159" s="25"/>
      <c r="AA159" s="169">
        <f>Y159+Y159*VLOOKUP(I159,EXTRAS_ARRAY,2,FALSE)</f>
        <v>1</v>
      </c>
      <c r="AB159" s="23" t="s">
        <v>445</v>
      </c>
      <c r="AC159" s="37"/>
      <c r="AD159" s="26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s="11" customFormat="1" ht="7.5" hidden="1" customHeight="1" outlineLevel="2" x14ac:dyDescent="0.35">
      <c r="A160" s="93" t="s">
        <v>132</v>
      </c>
      <c r="B160" s="18"/>
      <c r="C160" s="78"/>
      <c r="D160" s="78"/>
      <c r="E160" s="78"/>
      <c r="F160" s="78"/>
      <c r="G160" s="10"/>
      <c r="H160" s="10"/>
      <c r="I160" s="10"/>
      <c r="J160" s="10"/>
      <c r="K160" s="10"/>
      <c r="L160" s="10"/>
      <c r="M160" s="287"/>
      <c r="N160" s="10"/>
      <c r="O160" s="10"/>
      <c r="P160" s="10"/>
      <c r="Q160" s="10"/>
      <c r="R160" s="10"/>
      <c r="S160" s="10"/>
      <c r="T160" s="18"/>
      <c r="U160" s="10"/>
      <c r="V160" s="10"/>
      <c r="W160" s="10"/>
      <c r="X160" s="18"/>
      <c r="Y160" s="10"/>
      <c r="Z160" s="10"/>
      <c r="AA160" s="10"/>
      <c r="AB160" s="60"/>
      <c r="AC160" s="60"/>
      <c r="AD160" s="12"/>
    </row>
    <row r="161" spans="1:30" s="17" customFormat="1" ht="15.5" hidden="1" outlineLevel="1" collapsed="1" x14ac:dyDescent="0.35">
      <c r="A161" s="93" t="s">
        <v>100</v>
      </c>
      <c r="B161" s="21"/>
      <c r="C161" s="84"/>
      <c r="D161" s="84"/>
      <c r="E161" s="84"/>
      <c r="F161" s="83"/>
      <c r="G161" s="32"/>
      <c r="H161" s="32"/>
      <c r="I161" s="32"/>
      <c r="J161" s="32"/>
      <c r="K161" s="32"/>
      <c r="L161" s="20">
        <f ca="1">LOOKUP(1000,INDIRECT("L1:"&amp;CELL("address",INDIRECT("R[-1]C",FALSE))))+1</f>
        <v>14</v>
      </c>
      <c r="M161" s="298" t="s">
        <v>623</v>
      </c>
      <c r="N161" s="298"/>
      <c r="O161" s="5"/>
      <c r="P161" s="33"/>
      <c r="Q161" s="33"/>
      <c r="R161" s="33"/>
      <c r="S161" s="33"/>
      <c r="T161" s="167">
        <f>IF($S$6="Exclude", SUMIFS(S162:S164, J162:J164, "&lt;&gt;Yes", G162:G164, "&lt;&gt;Yes"), SUMIFS(S162:S164, J162:J164, "&lt;&gt;Yes"))</f>
        <v>3</v>
      </c>
      <c r="U161" s="33"/>
      <c r="V161" s="33"/>
      <c r="W161" s="33"/>
      <c r="X161" s="34"/>
      <c r="Y161" s="35"/>
      <c r="Z161" s="35"/>
      <c r="AA161" s="35"/>
      <c r="AB161" s="240" t="s">
        <v>443</v>
      </c>
      <c r="AC161" s="36"/>
      <c r="AD161" s="26" t="str">
        <f>IF(M161="", "Error: Task name cannot be empty.", "")</f>
        <v/>
      </c>
    </row>
    <row r="162" spans="1:30" s="15" customFormat="1" ht="1.5" hidden="1" customHeight="1" outlineLevel="2" x14ac:dyDescent="0.35">
      <c r="A162" s="93" t="s">
        <v>101</v>
      </c>
      <c r="B162" s="21"/>
      <c r="C162" s="84"/>
      <c r="D162" s="84"/>
      <c r="E162" s="84"/>
      <c r="F162" s="83"/>
      <c r="G162" s="32"/>
      <c r="H162" s="32"/>
      <c r="I162" s="32"/>
      <c r="J162" s="32"/>
      <c r="K162" s="32"/>
      <c r="L162" s="175">
        <f ca="1">L161</f>
        <v>14</v>
      </c>
      <c r="M162" s="176" t="s">
        <v>105</v>
      </c>
      <c r="N162" s="173"/>
      <c r="O162" s="174"/>
      <c r="P162" s="33"/>
      <c r="Q162" s="33"/>
      <c r="R162" s="33"/>
      <c r="S162" s="33"/>
      <c r="T162" s="167"/>
      <c r="U162" s="33"/>
      <c r="V162" s="33"/>
      <c r="W162" s="33"/>
      <c r="X162" s="34"/>
      <c r="Y162" s="35"/>
      <c r="Z162" s="35"/>
      <c r="AA162" s="35"/>
      <c r="AB162" s="36"/>
      <c r="AC162" s="36"/>
      <c r="AD162" s="26"/>
    </row>
    <row r="163" spans="1:30" ht="58" hidden="1" outlineLevel="2" x14ac:dyDescent="0.35">
      <c r="A163" s="93" t="s">
        <v>0</v>
      </c>
      <c r="B163" s="21"/>
      <c r="C163" s="85"/>
      <c r="D163" s="85"/>
      <c r="E163" s="85"/>
      <c r="F163" s="86"/>
      <c r="G163" s="22" t="s">
        <v>23</v>
      </c>
      <c r="H163" s="22" t="s">
        <v>23</v>
      </c>
      <c r="I163" s="23" t="s">
        <v>23</v>
      </c>
      <c r="J163" s="22" t="s">
        <v>23</v>
      </c>
      <c r="K163" s="38"/>
      <c r="L163" s="22"/>
      <c r="M163" s="286" t="str">
        <f ca="1">IFERROR(OFFSET(M163,-1,,1,1)+0.1,OFFSET(M163,-1,-1,1,1)&amp;".1")</f>
        <v>14.1</v>
      </c>
      <c r="N163" s="23" t="s">
        <v>635</v>
      </c>
      <c r="O163" s="23"/>
      <c r="P163" s="23"/>
      <c r="Q163" s="144"/>
      <c r="R163" s="137"/>
      <c r="S163" s="169">
        <f>CEILING((IF(J163="Yes", 0, IF(H163="-",AA163,AA163+AA163*VLOOKUP(H163,BUFFERS_BY_TYPE,2,FALSE)))) +
   (IF(J163="Yes", 0, IF(H163="-",AA163,AA163+AA163*VLOOKUP(H163,BUFFERS_BY_TYPE,2,FALSE))))*VLOOKUP($S$5, SALES_CALL_SCALE_ARRAY, 2,FALSE),0.25)</f>
        <v>3</v>
      </c>
      <c r="T163" s="170"/>
      <c r="U163" s="24">
        <v>0</v>
      </c>
      <c r="V163" s="24">
        <v>1</v>
      </c>
      <c r="W163" s="24">
        <v>0</v>
      </c>
      <c r="X163" s="168">
        <v>3</v>
      </c>
      <c r="Y163" s="169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3</v>
      </c>
      <c r="Z163" s="25"/>
      <c r="AA163" s="169">
        <f>Y163+Y163*VLOOKUP(I163,EXTRAS_ARRAY,2,FALSE)</f>
        <v>3</v>
      </c>
      <c r="AB163" s="23" t="s">
        <v>445</v>
      </c>
      <c r="AC163" s="37"/>
      <c r="AD163" s="26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/>
      </c>
    </row>
    <row r="164" spans="1:30" s="11" customFormat="1" ht="7.5" hidden="1" customHeight="1" outlineLevel="2" x14ac:dyDescent="0.35">
      <c r="A164" s="93" t="s">
        <v>132</v>
      </c>
      <c r="B164" s="18"/>
      <c r="C164" s="78"/>
      <c r="D164" s="78"/>
      <c r="E164" s="78"/>
      <c r="F164" s="78"/>
      <c r="G164" s="10"/>
      <c r="H164" s="10"/>
      <c r="I164" s="10"/>
      <c r="J164" s="10"/>
      <c r="K164" s="10"/>
      <c r="L164" s="10"/>
      <c r="M164" s="287"/>
      <c r="N164" s="10"/>
      <c r="O164" s="10"/>
      <c r="P164" s="10"/>
      <c r="Q164" s="10"/>
      <c r="R164" s="10"/>
      <c r="S164" s="10"/>
      <c r="T164" s="18"/>
      <c r="U164" s="10"/>
      <c r="V164" s="10"/>
      <c r="W164" s="10"/>
      <c r="X164" s="18"/>
      <c r="Y164" s="10"/>
      <c r="Z164" s="10"/>
      <c r="AA164" s="10"/>
      <c r="AB164" s="60"/>
      <c r="AC164" s="60"/>
      <c r="AD164" s="12"/>
    </row>
    <row r="165" spans="1:30" s="17" customFormat="1" ht="15.5" hidden="1" outlineLevel="1" collapsed="1" x14ac:dyDescent="0.35">
      <c r="A165" s="93" t="s">
        <v>100</v>
      </c>
      <c r="B165" s="21"/>
      <c r="C165" s="84"/>
      <c r="D165" s="84"/>
      <c r="E165" s="84"/>
      <c r="F165" s="83"/>
      <c r="G165" s="32"/>
      <c r="H165" s="32"/>
      <c r="I165" s="32"/>
      <c r="J165" s="32"/>
      <c r="K165" s="32"/>
      <c r="L165" s="20">
        <f ca="1">LOOKUP(1000,INDIRECT("L1:"&amp;CELL("address",INDIRECT("R[-1]C",FALSE))))+1</f>
        <v>15</v>
      </c>
      <c r="M165" s="298" t="s">
        <v>636</v>
      </c>
      <c r="N165" s="298"/>
      <c r="O165" s="5"/>
      <c r="P165" s="33"/>
      <c r="Q165" s="33"/>
      <c r="R165" s="33"/>
      <c r="S165" s="33"/>
      <c r="T165" s="167">
        <f>IF($S$6="Exclude", SUMIFS(S166:S168, J166:J168, "&lt;&gt;Yes", G166:G168, "&lt;&gt;Yes"), SUMIFS(S166:S168, J166:J168, "&lt;&gt;Yes"))</f>
        <v>1</v>
      </c>
      <c r="U165" s="33"/>
      <c r="V165" s="33"/>
      <c r="W165" s="33"/>
      <c r="X165" s="34"/>
      <c r="Y165" s="35"/>
      <c r="Z165" s="35"/>
      <c r="AA165" s="35"/>
      <c r="AB165" s="240" t="s">
        <v>443</v>
      </c>
      <c r="AC165" s="36"/>
      <c r="AD165" s="26" t="str">
        <f>IF(M165="", "Error: Task name cannot be empty.", "")</f>
        <v/>
      </c>
    </row>
    <row r="166" spans="1:30" s="15" customFormat="1" ht="1.5" hidden="1" customHeight="1" outlineLevel="2" x14ac:dyDescent="0.35">
      <c r="A166" s="93" t="s">
        <v>101</v>
      </c>
      <c r="B166" s="21"/>
      <c r="C166" s="84"/>
      <c r="D166" s="84"/>
      <c r="E166" s="84"/>
      <c r="F166" s="83"/>
      <c r="G166" s="32"/>
      <c r="H166" s="32"/>
      <c r="I166" s="32"/>
      <c r="J166" s="32"/>
      <c r="K166" s="32"/>
      <c r="L166" s="175">
        <f ca="1">L165</f>
        <v>15</v>
      </c>
      <c r="M166" s="176" t="s">
        <v>105</v>
      </c>
      <c r="N166" s="173"/>
      <c r="O166" s="174"/>
      <c r="P166" s="33"/>
      <c r="Q166" s="33"/>
      <c r="R166" s="33"/>
      <c r="S166" s="33"/>
      <c r="T166" s="167"/>
      <c r="U166" s="33"/>
      <c r="V166" s="33"/>
      <c r="W166" s="33"/>
      <c r="X166" s="34"/>
      <c r="Y166" s="35"/>
      <c r="Z166" s="35"/>
      <c r="AA166" s="35"/>
      <c r="AB166" s="36"/>
      <c r="AC166" s="36"/>
      <c r="AD166" s="26"/>
    </row>
    <row r="167" spans="1:30" ht="43.5" hidden="1" outlineLevel="2" x14ac:dyDescent="0.35">
      <c r="A167" s="93" t="s">
        <v>0</v>
      </c>
      <c r="B167" s="21"/>
      <c r="C167" s="85"/>
      <c r="D167" s="85"/>
      <c r="E167" s="85"/>
      <c r="F167" s="86"/>
      <c r="G167" s="22" t="s">
        <v>23</v>
      </c>
      <c r="H167" s="22" t="s">
        <v>23</v>
      </c>
      <c r="I167" s="23" t="s">
        <v>23</v>
      </c>
      <c r="J167" s="22" t="s">
        <v>23</v>
      </c>
      <c r="K167" s="38"/>
      <c r="L167" s="22"/>
      <c r="M167" s="286" t="str">
        <f ca="1">IFERROR(OFFSET(M167,-1,,1,1)+0.1,OFFSET(M167,-1,-1,1,1)&amp;".1")</f>
        <v>15.1</v>
      </c>
      <c r="N167" s="23" t="s">
        <v>637</v>
      </c>
      <c r="O167" s="23"/>
      <c r="P167" s="23"/>
      <c r="Q167" s="144"/>
      <c r="R167" s="137"/>
      <c r="S167" s="169">
        <f>CEILING((IF(J167="Yes", 0, IF(H167="-",AA167,AA167+AA167*VLOOKUP(H167,BUFFERS_BY_TYPE,2,FALSE)))) +
   (IF(J167="Yes", 0, IF(H167="-",AA167,AA167+AA167*VLOOKUP(H167,BUFFERS_BY_TYPE,2,FALSE))))*VLOOKUP($S$5, SALES_CALL_SCALE_ARRAY, 2,FALSE),0.25)</f>
        <v>1</v>
      </c>
      <c r="T167" s="170"/>
      <c r="U167" s="24">
        <v>0</v>
      </c>
      <c r="V167" s="24">
        <v>1</v>
      </c>
      <c r="W167" s="24">
        <v>0</v>
      </c>
      <c r="X167" s="168">
        <v>1</v>
      </c>
      <c r="Y167" s="169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1</v>
      </c>
      <c r="Z167" s="25"/>
      <c r="AA167" s="169">
        <f>Y167+Y167*VLOOKUP(I167,EXTRAS_ARRAY,2,FALSE)</f>
        <v>1</v>
      </c>
      <c r="AB167" s="23" t="s">
        <v>445</v>
      </c>
      <c r="AC167" s="37"/>
      <c r="AD167" s="26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s="11" customFormat="1" ht="7.5" hidden="1" customHeight="1" outlineLevel="2" x14ac:dyDescent="0.35">
      <c r="A168" s="93" t="s">
        <v>132</v>
      </c>
      <c r="B168" s="18"/>
      <c r="C168" s="78"/>
      <c r="D168" s="78"/>
      <c r="E168" s="78"/>
      <c r="F168" s="78"/>
      <c r="G168" s="10"/>
      <c r="H168" s="10"/>
      <c r="I168" s="10"/>
      <c r="J168" s="10"/>
      <c r="K168" s="10"/>
      <c r="L168" s="10"/>
      <c r="M168" s="287"/>
      <c r="N168" s="10"/>
      <c r="O168" s="10"/>
      <c r="P168" s="10"/>
      <c r="Q168" s="10"/>
      <c r="R168" s="10"/>
      <c r="S168" s="10"/>
      <c r="T168" s="18"/>
      <c r="U168" s="10"/>
      <c r="V168" s="10"/>
      <c r="W168" s="10"/>
      <c r="X168" s="18"/>
      <c r="Y168" s="10"/>
      <c r="Z168" s="10"/>
      <c r="AA168" s="10"/>
      <c r="AB168" s="60"/>
      <c r="AC168" s="60"/>
      <c r="AD168" s="12"/>
    </row>
    <row r="169" spans="1:30" s="17" customFormat="1" ht="15.5" hidden="1" outlineLevel="1" collapsed="1" x14ac:dyDescent="0.35">
      <c r="A169" s="93" t="s">
        <v>100</v>
      </c>
      <c r="B169" s="21"/>
      <c r="C169" s="84"/>
      <c r="D169" s="84"/>
      <c r="E169" s="84"/>
      <c r="F169" s="83"/>
      <c r="G169" s="32"/>
      <c r="H169" s="32"/>
      <c r="I169" s="32"/>
      <c r="J169" s="32"/>
      <c r="K169" s="32"/>
      <c r="L169" s="20">
        <f ca="1">LOOKUP(1000,INDIRECT("L1:"&amp;CELL("address",INDIRECT("R[-1]C",FALSE))))+1</f>
        <v>16</v>
      </c>
      <c r="M169" s="298" t="s">
        <v>638</v>
      </c>
      <c r="N169" s="298"/>
      <c r="O169" s="5"/>
      <c r="P169" s="33"/>
      <c r="Q169" s="33"/>
      <c r="R169" s="33"/>
      <c r="S169" s="33"/>
      <c r="T169" s="167">
        <f>IF($S$6="Exclude", SUMIFS(S170:S174, J170:J174, "&lt;&gt;Yes", G170:G174, "&lt;&gt;Yes"), SUMIFS(S170:S174, J170:J174, "&lt;&gt;Yes"))</f>
        <v>4.5</v>
      </c>
      <c r="U169" s="33"/>
      <c r="V169" s="33"/>
      <c r="W169" s="33"/>
      <c r="X169" s="34"/>
      <c r="Y169" s="35"/>
      <c r="Z169" s="35"/>
      <c r="AA169" s="35"/>
      <c r="AB169" s="240" t="s">
        <v>443</v>
      </c>
      <c r="AC169" s="36"/>
      <c r="AD169" s="26" t="str">
        <f>IF(M169="", "Error: Task name cannot be empty.", "")</f>
        <v/>
      </c>
    </row>
    <row r="170" spans="1:30" s="15" customFormat="1" ht="1.5" hidden="1" customHeight="1" outlineLevel="2" x14ac:dyDescent="0.35">
      <c r="A170" s="93" t="s">
        <v>101</v>
      </c>
      <c r="B170" s="21"/>
      <c r="C170" s="84"/>
      <c r="D170" s="84"/>
      <c r="E170" s="84"/>
      <c r="F170" s="83"/>
      <c r="G170" s="32"/>
      <c r="H170" s="32"/>
      <c r="I170" s="32"/>
      <c r="J170" s="32"/>
      <c r="K170" s="32"/>
      <c r="L170" s="175">
        <f ca="1">L169</f>
        <v>16</v>
      </c>
      <c r="M170" s="176" t="s">
        <v>105</v>
      </c>
      <c r="N170" s="173"/>
      <c r="O170" s="174"/>
      <c r="P170" s="33"/>
      <c r="Q170" s="33"/>
      <c r="R170" s="33"/>
      <c r="S170" s="33"/>
      <c r="T170" s="167"/>
      <c r="U170" s="33"/>
      <c r="V170" s="33"/>
      <c r="W170" s="33"/>
      <c r="X170" s="34"/>
      <c r="Y170" s="35"/>
      <c r="Z170" s="35"/>
      <c r="AA170" s="35"/>
      <c r="AB170" s="36"/>
      <c r="AC170" s="36"/>
      <c r="AD170" s="26"/>
    </row>
    <row r="171" spans="1:30" ht="58" hidden="1" outlineLevel="2" x14ac:dyDescent="0.35">
      <c r="A171" s="93" t="s">
        <v>0</v>
      </c>
      <c r="B171" s="21"/>
      <c r="C171" s="85"/>
      <c r="D171" s="85"/>
      <c r="E171" s="85"/>
      <c r="F171" s="86"/>
      <c r="G171" s="22" t="s">
        <v>23</v>
      </c>
      <c r="H171" s="22" t="s">
        <v>23</v>
      </c>
      <c r="I171" s="23" t="s">
        <v>23</v>
      </c>
      <c r="J171" s="22" t="s">
        <v>23</v>
      </c>
      <c r="K171" s="38"/>
      <c r="L171" s="22"/>
      <c r="M171" s="286" t="str">
        <f ca="1">IFERROR(OFFSET(M171,-1,,1,1)+0.1,OFFSET(M171,-1,-1,1,1)&amp;".1")</f>
        <v>16.1</v>
      </c>
      <c r="N171" s="23" t="s">
        <v>639</v>
      </c>
      <c r="O171" s="23"/>
      <c r="P171" s="23"/>
      <c r="Q171" s="144"/>
      <c r="R171" s="137"/>
      <c r="S171" s="169">
        <f>CEILING((IF(J171="Yes", 0, IF(H171="-",AA171,AA171+AA171*VLOOKUP(H171,BUFFERS_BY_TYPE,2,FALSE)))) +
   (IF(J171="Yes", 0, IF(H171="-",AA171,AA171+AA171*VLOOKUP(H171,BUFFERS_BY_TYPE,2,FALSE))))*VLOOKUP($S$5, SALES_CALL_SCALE_ARRAY, 2,FALSE),0.25)</f>
        <v>3</v>
      </c>
      <c r="T171" s="170"/>
      <c r="U171" s="24">
        <v>0</v>
      </c>
      <c r="V171" s="24">
        <v>1</v>
      </c>
      <c r="W171" s="24">
        <v>0</v>
      </c>
      <c r="X171" s="168">
        <v>3</v>
      </c>
      <c r="Y171" s="169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3</v>
      </c>
      <c r="Z171" s="25"/>
      <c r="AA171" s="169">
        <f>Y171+Y171*VLOOKUP(I171,EXTRAS_ARRAY,2,FALSE)</f>
        <v>3</v>
      </c>
      <c r="AB171" s="23" t="s">
        <v>659</v>
      </c>
      <c r="AC171" s="37"/>
      <c r="AD171" s="26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ht="43.5" hidden="1" outlineLevel="2" x14ac:dyDescent="0.35">
      <c r="A172" s="93" t="s">
        <v>0</v>
      </c>
      <c r="B172" s="21"/>
      <c r="C172" s="85"/>
      <c r="D172" s="85"/>
      <c r="E172" s="85"/>
      <c r="F172" s="86"/>
      <c r="G172" s="22" t="s">
        <v>23</v>
      </c>
      <c r="H172" s="22" t="s">
        <v>23</v>
      </c>
      <c r="I172" s="23" t="s">
        <v>23</v>
      </c>
      <c r="J172" s="22" t="s">
        <v>23</v>
      </c>
      <c r="K172" s="38"/>
      <c r="L172" s="22"/>
      <c r="M172" s="286">
        <f ca="1">IFERROR(OFFSET(M172,-1,,1,1)+0.1,OFFSET(M172,-1,-1,1,1)&amp;".1")</f>
        <v>16.200000000000003</v>
      </c>
      <c r="N172" s="23" t="s">
        <v>641</v>
      </c>
      <c r="O172" s="23"/>
      <c r="P172" s="23"/>
      <c r="Q172" s="144"/>
      <c r="R172" s="137"/>
      <c r="S172" s="169">
        <f>CEILING((IF(J172="Yes", 0, IF(H172="-",AA172,AA172+AA172*VLOOKUP(H172,BUFFERS_BY_TYPE,2,FALSE)))) +
   (IF(J172="Yes", 0, IF(H172="-",AA172,AA172+AA172*VLOOKUP(H172,BUFFERS_BY_TYPE,2,FALSE))))*VLOOKUP($S$5, SALES_CALL_SCALE_ARRAY, 2,FALSE),0.25)</f>
        <v>1</v>
      </c>
      <c r="T172" s="170"/>
      <c r="U172" s="24">
        <v>0</v>
      </c>
      <c r="V172" s="24">
        <v>1</v>
      </c>
      <c r="W172" s="24">
        <v>0</v>
      </c>
      <c r="X172" s="168">
        <v>1</v>
      </c>
      <c r="Y172" s="169">
        <f>CEILING((IF(P172=AS_DEV_EFFORT, DEV_EFFORT*Q172%,
                           IF(P172=AS_DURATION_EFFORT, (MANUAL_DURATION*5)*Q172%,
                                    (IF(Q172&lt;=1,X172,
                                          IF(SUM(U172:W172)=0,(Q172*X172),
                                               (((Q172*U172)*(X172+(X172*EXTRA_FOR_H)))+
                                               ((Q172*V172)*X172)+
                                               ((Q172*W172)*(X172-(X172*LESS_FOR_L)))
                                    )*IF(R172=0,1,R172))))))+Z172), 0.25)</f>
        <v>1</v>
      </c>
      <c r="Z172" s="25"/>
      <c r="AA172" s="169">
        <f>Y172+Y172*VLOOKUP(I172,EXTRAS_ARRAY,2,FALSE)</f>
        <v>1</v>
      </c>
      <c r="AB172" s="23" t="s">
        <v>445</v>
      </c>
      <c r="AC172" s="37"/>
      <c r="AD172" s="26" t="str">
        <f>IF(J172&lt;&gt;"Yes",
IF(S172&lt;=0,"Error: Effort value is not defined or is invalid.",
IF(AND(SUM(U172:W172)&gt;0,SUM(U172:W172)&lt;&gt;1),"Error: Complexity % distribution should sum to 100%.",
IF(AND(P172=AS_DEV_EFFORT,X172&lt;&gt;0),"Error: PDs should not be defined when defining as dev effort %.",
IF(AND(P172=AS_DURATION_EFFORT,X172&lt;&gt;0),"Error: PDs should not be defined when defining as duration effort %.","")))))</f>
        <v/>
      </c>
    </row>
    <row r="173" spans="1:30" ht="43.5" hidden="1" outlineLevel="2" x14ac:dyDescent="0.35">
      <c r="A173" s="93" t="s">
        <v>0</v>
      </c>
      <c r="B173" s="21"/>
      <c r="C173" s="85"/>
      <c r="D173" s="85"/>
      <c r="E173" s="85"/>
      <c r="F173" s="86"/>
      <c r="G173" s="22" t="s">
        <v>23</v>
      </c>
      <c r="H173" s="22" t="s">
        <v>23</v>
      </c>
      <c r="I173" s="23" t="s">
        <v>23</v>
      </c>
      <c r="J173" s="22" t="s">
        <v>23</v>
      </c>
      <c r="K173" s="38"/>
      <c r="L173" s="22"/>
      <c r="M173" s="286">
        <f ca="1">IFERROR(OFFSET(M173,-1,,1,1)+0.1,OFFSET(M173,-1,-1,1,1)&amp;".1")</f>
        <v>16.300000000000004</v>
      </c>
      <c r="N173" s="23" t="s">
        <v>640</v>
      </c>
      <c r="O173" s="23"/>
      <c r="P173" s="23"/>
      <c r="Q173" s="144"/>
      <c r="R173" s="137"/>
      <c r="S173" s="169">
        <f>CEILING((IF(J173="Yes", 0, IF(H173="-",AA173,AA173+AA173*VLOOKUP(H173,BUFFERS_BY_TYPE,2,FALSE)))) +
   (IF(J173="Yes", 0, IF(H173="-",AA173,AA173+AA173*VLOOKUP(H173,BUFFERS_BY_TYPE,2,FALSE))))*VLOOKUP($S$5, SALES_CALL_SCALE_ARRAY, 2,FALSE),0.25)</f>
        <v>0.5</v>
      </c>
      <c r="T173" s="170"/>
      <c r="U173" s="24">
        <v>0</v>
      </c>
      <c r="V173" s="24">
        <v>1</v>
      </c>
      <c r="W173" s="24">
        <v>0</v>
      </c>
      <c r="X173" s="168">
        <v>0.5</v>
      </c>
      <c r="Y173" s="169">
        <f>CEILING((IF(P173=AS_DEV_EFFORT, DEV_EFFORT*Q173%,
                           IF(P173=AS_DURATION_EFFORT, (MANUAL_DURATION*5)*Q173%,
                                    (IF(Q173&lt;=1,X173,
                                          IF(SUM(U173:W173)=0,(Q173*X173),
                                               (((Q173*U173)*(X173+(X173*EXTRA_FOR_H)))+
                                               ((Q173*V173)*X173)+
                                               ((Q173*W173)*(X173-(X173*LESS_FOR_L)))
                                    )*IF(R173=0,1,R173))))))+Z173), 0.25)</f>
        <v>0.5</v>
      </c>
      <c r="Z173" s="25"/>
      <c r="AA173" s="169">
        <f>Y173+Y173*VLOOKUP(I173,EXTRAS_ARRAY,2,FALSE)</f>
        <v>0.5</v>
      </c>
      <c r="AB173" s="23" t="s">
        <v>445</v>
      </c>
      <c r="AC173" s="37"/>
      <c r="AD173" s="26" t="str">
        <f>IF(J173&lt;&gt;"Yes",
IF(S173&lt;=0,"Error: Effort value is not defined or is invalid.",
IF(AND(SUM(U173:W173)&gt;0,SUM(U173:W173)&lt;&gt;1),"Error: Complexity % distribution should sum to 100%.",
IF(AND(P173=AS_DEV_EFFORT,X173&lt;&gt;0),"Error: PDs should not be defined when defining as dev effort %.",
IF(AND(P173=AS_DURATION_EFFORT,X173&lt;&gt;0),"Error: PDs should not be defined when defining as duration effort %.","")))))</f>
        <v/>
      </c>
    </row>
    <row r="174" spans="1:30" s="11" customFormat="1" ht="7.5" hidden="1" customHeight="1" outlineLevel="2" x14ac:dyDescent="0.35">
      <c r="A174" s="93" t="s">
        <v>132</v>
      </c>
      <c r="B174" s="18"/>
      <c r="C174" s="78"/>
      <c r="D174" s="78"/>
      <c r="E174" s="78"/>
      <c r="F174" s="78"/>
      <c r="G174" s="10"/>
      <c r="H174" s="10"/>
      <c r="I174" s="10"/>
      <c r="J174" s="10"/>
      <c r="K174" s="10"/>
      <c r="L174" s="10"/>
      <c r="M174" s="287"/>
      <c r="N174" s="10"/>
      <c r="O174" s="10"/>
      <c r="P174" s="10"/>
      <c r="Q174" s="10"/>
      <c r="R174" s="10"/>
      <c r="S174" s="10"/>
      <c r="T174" s="18"/>
      <c r="U174" s="10"/>
      <c r="V174" s="10"/>
      <c r="W174" s="10"/>
      <c r="X174" s="18"/>
      <c r="Y174" s="10"/>
      <c r="Z174" s="10"/>
      <c r="AA174" s="10"/>
      <c r="AB174" s="60"/>
      <c r="AC174" s="60"/>
      <c r="AD174" s="12"/>
    </row>
    <row r="175" spans="1:30" s="17" customFormat="1" ht="15.5" hidden="1" outlineLevel="1" collapsed="1" x14ac:dyDescent="0.35">
      <c r="A175" s="93" t="s">
        <v>100</v>
      </c>
      <c r="B175" s="21"/>
      <c r="C175" s="84"/>
      <c r="D175" s="84"/>
      <c r="E175" s="84"/>
      <c r="F175" s="83"/>
      <c r="G175" s="32"/>
      <c r="H175" s="32"/>
      <c r="I175" s="32"/>
      <c r="J175" s="32"/>
      <c r="K175" s="32"/>
      <c r="L175" s="20">
        <f ca="1">LOOKUP(1000,INDIRECT("L1:"&amp;CELL("address",INDIRECT("R[-1]C",FALSE))))+1</f>
        <v>17</v>
      </c>
      <c r="M175" s="298" t="s">
        <v>644</v>
      </c>
      <c r="N175" s="298"/>
      <c r="O175" s="5"/>
      <c r="P175" s="33"/>
      <c r="Q175" s="33"/>
      <c r="R175" s="33"/>
      <c r="S175" s="33"/>
      <c r="T175" s="167">
        <f>IF($S$6="Exclude", SUMIFS(S176:S178, J176:J178, "&lt;&gt;Yes", G176:G178, "&lt;&gt;Yes"), SUMIFS(S176:S178, J176:J178, "&lt;&gt;Yes"))</f>
        <v>1.5</v>
      </c>
      <c r="U175" s="33"/>
      <c r="V175" s="33"/>
      <c r="W175" s="33"/>
      <c r="X175" s="34"/>
      <c r="Y175" s="35"/>
      <c r="Z175" s="35"/>
      <c r="AA175" s="35"/>
      <c r="AB175" s="240" t="s">
        <v>443</v>
      </c>
      <c r="AC175" s="36"/>
      <c r="AD175" s="26" t="str">
        <f>IF(M175="", "Error: Task name cannot be empty.", "")</f>
        <v/>
      </c>
    </row>
    <row r="176" spans="1:30" s="15" customFormat="1" ht="1.5" hidden="1" customHeight="1" outlineLevel="2" x14ac:dyDescent="0.35">
      <c r="A176" s="93" t="s">
        <v>101</v>
      </c>
      <c r="B176" s="21"/>
      <c r="C176" s="84"/>
      <c r="D176" s="84"/>
      <c r="E176" s="84"/>
      <c r="F176" s="83"/>
      <c r="G176" s="32"/>
      <c r="H176" s="32"/>
      <c r="I176" s="32"/>
      <c r="J176" s="32"/>
      <c r="K176" s="32"/>
      <c r="L176" s="175">
        <f ca="1">L175</f>
        <v>17</v>
      </c>
      <c r="M176" s="176" t="s">
        <v>105</v>
      </c>
      <c r="N176" s="173"/>
      <c r="O176" s="174"/>
      <c r="P176" s="33"/>
      <c r="Q176" s="33"/>
      <c r="R176" s="33"/>
      <c r="S176" s="33"/>
      <c r="T176" s="167"/>
      <c r="U176" s="33"/>
      <c r="V176" s="33"/>
      <c r="W176" s="33"/>
      <c r="X176" s="34"/>
      <c r="Y176" s="35"/>
      <c r="Z176" s="35"/>
      <c r="AA176" s="35"/>
      <c r="AB176" s="36"/>
      <c r="AC176" s="36"/>
      <c r="AD176" s="26"/>
    </row>
    <row r="177" spans="1:30" ht="43.5" hidden="1" outlineLevel="2" x14ac:dyDescent="0.35">
      <c r="A177" s="93" t="s">
        <v>0</v>
      </c>
      <c r="B177" s="21"/>
      <c r="C177" s="85"/>
      <c r="D177" s="85"/>
      <c r="E177" s="85"/>
      <c r="F177" s="86"/>
      <c r="G177" s="22" t="s">
        <v>23</v>
      </c>
      <c r="H177" s="22" t="s">
        <v>23</v>
      </c>
      <c r="I177" s="23" t="s">
        <v>23</v>
      </c>
      <c r="J177" s="22" t="s">
        <v>23</v>
      </c>
      <c r="K177" s="38"/>
      <c r="L177" s="22"/>
      <c r="M177" s="286" t="str">
        <f ca="1">IFERROR(OFFSET(M177,-1,,1,1)+0.1,OFFSET(M177,-1,-1,1,1)&amp;".1")</f>
        <v>17.1</v>
      </c>
      <c r="N177" s="23" t="s">
        <v>642</v>
      </c>
      <c r="O177" s="23"/>
      <c r="P177" s="23"/>
      <c r="Q177" s="144"/>
      <c r="R177" s="137"/>
      <c r="S177" s="169">
        <f>CEILING((IF(J177="Yes", 0, IF(H177="-",AA177,AA177+AA177*VLOOKUP(H177,BUFFERS_BY_TYPE,2,FALSE)))) +
   (IF(J177="Yes", 0, IF(H177="-",AA177,AA177+AA177*VLOOKUP(H177,BUFFERS_BY_TYPE,2,FALSE))))*VLOOKUP($S$5, SALES_CALL_SCALE_ARRAY, 2,FALSE),0.25)</f>
        <v>1.5</v>
      </c>
      <c r="T177" s="170"/>
      <c r="U177" s="24">
        <v>0</v>
      </c>
      <c r="V177" s="24">
        <v>1</v>
      </c>
      <c r="W177" s="24">
        <v>0</v>
      </c>
      <c r="X177" s="168">
        <v>1.5</v>
      </c>
      <c r="Y177" s="169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1.5</v>
      </c>
      <c r="Z177" s="25"/>
      <c r="AA177" s="169">
        <f>Y177+Y177*VLOOKUP(I177,EXTRAS_ARRAY,2,FALSE)</f>
        <v>1.5</v>
      </c>
      <c r="AB177" s="23" t="s">
        <v>445</v>
      </c>
      <c r="AC177" s="37"/>
      <c r="AD177" s="26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s="11" customFormat="1" ht="7.5" hidden="1" customHeight="1" outlineLevel="2" x14ac:dyDescent="0.35">
      <c r="A178" s="93" t="s">
        <v>132</v>
      </c>
      <c r="B178" s="18"/>
      <c r="C178" s="78"/>
      <c r="D178" s="78"/>
      <c r="E178" s="78"/>
      <c r="F178" s="78"/>
      <c r="G178" s="10"/>
      <c r="H178" s="10"/>
      <c r="I178" s="10"/>
      <c r="J178" s="10"/>
      <c r="K178" s="10"/>
      <c r="L178" s="10"/>
      <c r="M178" s="287"/>
      <c r="N178" s="10"/>
      <c r="O178" s="10"/>
      <c r="P178" s="10"/>
      <c r="Q178" s="10"/>
      <c r="R178" s="10"/>
      <c r="S178" s="10"/>
      <c r="T178" s="18"/>
      <c r="U178" s="10"/>
      <c r="V178" s="10"/>
      <c r="W178" s="10"/>
      <c r="X178" s="18"/>
      <c r="Y178" s="10"/>
      <c r="Z178" s="10"/>
      <c r="AA178" s="10"/>
      <c r="AB178" s="60"/>
      <c r="AC178" s="60"/>
      <c r="AD178" s="12"/>
    </row>
    <row r="179" spans="1:30" s="17" customFormat="1" ht="15.5" hidden="1" outlineLevel="1" collapsed="1" x14ac:dyDescent="0.35">
      <c r="A179" s="93" t="s">
        <v>100</v>
      </c>
      <c r="B179" s="21"/>
      <c r="C179" s="84"/>
      <c r="D179" s="84"/>
      <c r="E179" s="84"/>
      <c r="F179" s="83"/>
      <c r="G179" s="32"/>
      <c r="H179" s="32"/>
      <c r="I179" s="32"/>
      <c r="J179" s="32"/>
      <c r="K179" s="32"/>
      <c r="L179" s="20">
        <f ca="1">LOOKUP(1000,INDIRECT("L1:"&amp;CELL("address",INDIRECT("R[-1]C",FALSE))))+1</f>
        <v>18</v>
      </c>
      <c r="M179" s="298" t="s">
        <v>643</v>
      </c>
      <c r="N179" s="298"/>
      <c r="O179" s="5"/>
      <c r="P179" s="33"/>
      <c r="Q179" s="33"/>
      <c r="R179" s="33"/>
      <c r="S179" s="33"/>
      <c r="T179" s="167">
        <f>IF($S$6="Exclude", SUMIFS(S180:S182, J180:J182, "&lt;&gt;Yes", G180:G182, "&lt;&gt;Yes"), SUMIFS(S180:S182, J180:J182, "&lt;&gt;Yes"))</f>
        <v>2</v>
      </c>
      <c r="U179" s="33"/>
      <c r="V179" s="33"/>
      <c r="W179" s="33"/>
      <c r="X179" s="34"/>
      <c r="Y179" s="35"/>
      <c r="Z179" s="35"/>
      <c r="AA179" s="35"/>
      <c r="AB179" s="240" t="s">
        <v>443</v>
      </c>
      <c r="AC179" s="36"/>
      <c r="AD179" s="26" t="str">
        <f>IF(M179="", "Error: Task name cannot be empty.", "")</f>
        <v/>
      </c>
    </row>
    <row r="180" spans="1:30" s="15" customFormat="1" ht="1.5" hidden="1" customHeight="1" outlineLevel="2" x14ac:dyDescent="0.35">
      <c r="A180" s="93" t="s">
        <v>101</v>
      </c>
      <c r="B180" s="21"/>
      <c r="C180" s="84"/>
      <c r="D180" s="84"/>
      <c r="E180" s="84"/>
      <c r="F180" s="83"/>
      <c r="G180" s="32"/>
      <c r="H180" s="32"/>
      <c r="I180" s="32"/>
      <c r="J180" s="32"/>
      <c r="K180" s="32"/>
      <c r="L180" s="175">
        <f ca="1">L179</f>
        <v>18</v>
      </c>
      <c r="M180" s="176" t="s">
        <v>105</v>
      </c>
      <c r="N180" s="173"/>
      <c r="O180" s="174"/>
      <c r="P180" s="33"/>
      <c r="Q180" s="33"/>
      <c r="R180" s="33"/>
      <c r="S180" s="33"/>
      <c r="T180" s="167"/>
      <c r="U180" s="33"/>
      <c r="V180" s="33"/>
      <c r="W180" s="33"/>
      <c r="X180" s="34"/>
      <c r="Y180" s="35"/>
      <c r="Z180" s="35"/>
      <c r="AA180" s="35"/>
      <c r="AB180" s="36"/>
      <c r="AC180" s="36"/>
      <c r="AD180" s="26"/>
    </row>
    <row r="181" spans="1:30" ht="43.5" hidden="1" outlineLevel="2" x14ac:dyDescent="0.35">
      <c r="A181" s="93" t="s">
        <v>0</v>
      </c>
      <c r="B181" s="21"/>
      <c r="C181" s="85"/>
      <c r="D181" s="85"/>
      <c r="E181" s="85"/>
      <c r="F181" s="86"/>
      <c r="G181" s="22" t="s">
        <v>23</v>
      </c>
      <c r="H181" s="22" t="s">
        <v>23</v>
      </c>
      <c r="I181" s="23" t="s">
        <v>23</v>
      </c>
      <c r="J181" s="22" t="s">
        <v>23</v>
      </c>
      <c r="K181" s="38"/>
      <c r="L181" s="22"/>
      <c r="M181" s="286" t="str">
        <f ca="1">IFERROR(OFFSET(M181,-1,,1,1)+0.1,OFFSET(M181,-1,-1,1,1)&amp;".1")</f>
        <v>18.1</v>
      </c>
      <c r="N181" s="23" t="s">
        <v>645</v>
      </c>
      <c r="O181" s="23"/>
      <c r="P181" s="23"/>
      <c r="Q181" s="144"/>
      <c r="R181" s="137"/>
      <c r="S181" s="169">
        <f>CEILING((IF(J181="Yes", 0, IF(H181="-",AA181,AA181+AA181*VLOOKUP(H181,BUFFERS_BY_TYPE,2,FALSE)))) +
   (IF(J181="Yes", 0, IF(H181="-",AA181,AA181+AA181*VLOOKUP(H181,BUFFERS_BY_TYPE,2,FALSE))))*VLOOKUP($S$5, SALES_CALL_SCALE_ARRAY, 2,FALSE),0.25)</f>
        <v>2</v>
      </c>
      <c r="T181" s="170"/>
      <c r="U181" s="24">
        <v>0</v>
      </c>
      <c r="V181" s="24">
        <v>1</v>
      </c>
      <c r="W181" s="24">
        <v>0</v>
      </c>
      <c r="X181" s="168">
        <v>2</v>
      </c>
      <c r="Y181" s="169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2</v>
      </c>
      <c r="Z181" s="25"/>
      <c r="AA181" s="169">
        <f>Y181+Y181*VLOOKUP(I181,EXTRAS_ARRAY,2,FALSE)</f>
        <v>2</v>
      </c>
      <c r="AB181" s="23" t="s">
        <v>445</v>
      </c>
      <c r="AC181" s="37"/>
      <c r="AD181" s="26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s="11" customFormat="1" ht="7.5" hidden="1" customHeight="1" outlineLevel="2" x14ac:dyDescent="0.35">
      <c r="A182" s="93" t="s">
        <v>132</v>
      </c>
      <c r="B182" s="18"/>
      <c r="C182" s="78"/>
      <c r="D182" s="78"/>
      <c r="E182" s="78"/>
      <c r="F182" s="78"/>
      <c r="G182" s="10"/>
      <c r="H182" s="10"/>
      <c r="I182" s="10"/>
      <c r="J182" s="10"/>
      <c r="K182" s="10"/>
      <c r="L182" s="10"/>
      <c r="M182" s="287"/>
      <c r="N182" s="10"/>
      <c r="O182" s="10"/>
      <c r="P182" s="10"/>
      <c r="Q182" s="10"/>
      <c r="R182" s="10"/>
      <c r="S182" s="10"/>
      <c r="T182" s="18"/>
      <c r="U182" s="10"/>
      <c r="V182" s="10"/>
      <c r="W182" s="10"/>
      <c r="X182" s="18"/>
      <c r="Y182" s="10"/>
      <c r="Z182" s="10"/>
      <c r="AA182" s="10"/>
      <c r="AB182" s="60"/>
      <c r="AC182" s="60"/>
      <c r="AD182" s="12"/>
    </row>
    <row r="183" spans="1:30" s="17" customFormat="1" ht="15.5" hidden="1" outlineLevel="1" collapsed="1" x14ac:dyDescent="0.35">
      <c r="A183" s="93" t="s">
        <v>100</v>
      </c>
      <c r="B183" s="21"/>
      <c r="C183" s="84"/>
      <c r="D183" s="84"/>
      <c r="E183" s="84"/>
      <c r="F183" s="83"/>
      <c r="G183" s="32"/>
      <c r="H183" s="32"/>
      <c r="I183" s="32"/>
      <c r="J183" s="32"/>
      <c r="K183" s="32"/>
      <c r="L183" s="20">
        <f ca="1">LOOKUP(1000,INDIRECT("L1:"&amp;CELL("address",INDIRECT("R[-1]C",FALSE))))+1</f>
        <v>19</v>
      </c>
      <c r="M183" s="298" t="s">
        <v>646</v>
      </c>
      <c r="N183" s="298"/>
      <c r="O183" s="5"/>
      <c r="P183" s="33"/>
      <c r="Q183" s="33"/>
      <c r="R183" s="33"/>
      <c r="S183" s="33"/>
      <c r="T183" s="167">
        <f>IF($S$6="Exclude", SUMIFS(S184:S186, J184:J186, "&lt;&gt;Yes", G184:G186, "&lt;&gt;Yes"), SUMIFS(S184:S186, J184:J186, "&lt;&gt;Yes"))</f>
        <v>2</v>
      </c>
      <c r="U183" s="33"/>
      <c r="V183" s="33"/>
      <c r="W183" s="33"/>
      <c r="X183" s="34"/>
      <c r="Y183" s="35"/>
      <c r="Z183" s="35"/>
      <c r="AA183" s="35"/>
      <c r="AB183" s="240" t="s">
        <v>443</v>
      </c>
      <c r="AC183" s="36"/>
      <c r="AD183" s="26" t="str">
        <f>IF(M183="", "Error: Task name cannot be empty.", "")</f>
        <v/>
      </c>
    </row>
    <row r="184" spans="1:30" s="15" customFormat="1" ht="1.5" hidden="1" customHeight="1" outlineLevel="2" x14ac:dyDescent="0.35">
      <c r="A184" s="93" t="s">
        <v>101</v>
      </c>
      <c r="B184" s="21"/>
      <c r="C184" s="84"/>
      <c r="D184" s="84"/>
      <c r="E184" s="84"/>
      <c r="F184" s="83"/>
      <c r="G184" s="32"/>
      <c r="H184" s="32"/>
      <c r="I184" s="32"/>
      <c r="J184" s="32"/>
      <c r="K184" s="32"/>
      <c r="L184" s="175">
        <f ca="1">L183</f>
        <v>19</v>
      </c>
      <c r="M184" s="176" t="s">
        <v>105</v>
      </c>
      <c r="N184" s="173"/>
      <c r="O184" s="174"/>
      <c r="P184" s="33"/>
      <c r="Q184" s="33"/>
      <c r="R184" s="33"/>
      <c r="S184" s="33"/>
      <c r="T184" s="167"/>
      <c r="U184" s="33"/>
      <c r="V184" s="33"/>
      <c r="W184" s="33"/>
      <c r="X184" s="34"/>
      <c r="Y184" s="35"/>
      <c r="Z184" s="35"/>
      <c r="AA184" s="35"/>
      <c r="AB184" s="36"/>
      <c r="AC184" s="36"/>
      <c r="AD184" s="26"/>
    </row>
    <row r="185" spans="1:30" ht="43.5" hidden="1" outlineLevel="2" x14ac:dyDescent="0.35">
      <c r="A185" s="93" t="s">
        <v>0</v>
      </c>
      <c r="B185" s="21"/>
      <c r="C185" s="85"/>
      <c r="D185" s="85"/>
      <c r="E185" s="85"/>
      <c r="F185" s="86"/>
      <c r="G185" s="22" t="s">
        <v>23</v>
      </c>
      <c r="H185" s="22" t="s">
        <v>23</v>
      </c>
      <c r="I185" s="23" t="s">
        <v>23</v>
      </c>
      <c r="J185" s="22" t="s">
        <v>23</v>
      </c>
      <c r="K185" s="38"/>
      <c r="L185" s="22"/>
      <c r="M185" s="286" t="str">
        <f ca="1">IFERROR(OFFSET(M185,-1,,1,1)+0.1,OFFSET(M185,-1,-1,1,1)&amp;".1")</f>
        <v>19.1</v>
      </c>
      <c r="N185" s="23" t="s">
        <v>647</v>
      </c>
      <c r="O185" s="23"/>
      <c r="P185" s="23"/>
      <c r="Q185" s="144"/>
      <c r="R185" s="137"/>
      <c r="S185" s="169">
        <f>CEILING((IF(J185="Yes", 0, IF(H185="-",AA185,AA185+AA185*VLOOKUP(H185,BUFFERS_BY_TYPE,2,FALSE)))) +
   (IF(J185="Yes", 0, IF(H185="-",AA185,AA185+AA185*VLOOKUP(H185,BUFFERS_BY_TYPE,2,FALSE))))*VLOOKUP($S$5, SALES_CALL_SCALE_ARRAY, 2,FALSE),0.25)</f>
        <v>2</v>
      </c>
      <c r="T185" s="170"/>
      <c r="U185" s="24">
        <v>0</v>
      </c>
      <c r="V185" s="24">
        <v>1</v>
      </c>
      <c r="W185" s="24">
        <v>0</v>
      </c>
      <c r="X185" s="168">
        <v>2</v>
      </c>
      <c r="Y185" s="169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2</v>
      </c>
      <c r="Z185" s="25"/>
      <c r="AA185" s="169">
        <f>Y185+Y185*VLOOKUP(I185,EXTRAS_ARRAY,2,FALSE)</f>
        <v>2</v>
      </c>
      <c r="AB185" s="23" t="s">
        <v>445</v>
      </c>
      <c r="AC185" s="37"/>
      <c r="AD185" s="26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s="11" customFormat="1" ht="7.5" hidden="1" customHeight="1" outlineLevel="2" x14ac:dyDescent="0.35">
      <c r="A186" s="93" t="s">
        <v>132</v>
      </c>
      <c r="B186" s="18"/>
      <c r="C186" s="78"/>
      <c r="D186" s="78"/>
      <c r="E186" s="78"/>
      <c r="F186" s="78"/>
      <c r="G186" s="10"/>
      <c r="H186" s="10"/>
      <c r="I186" s="10"/>
      <c r="J186" s="10"/>
      <c r="K186" s="10"/>
      <c r="L186" s="10"/>
      <c r="M186" s="287"/>
      <c r="N186" s="10"/>
      <c r="O186" s="10"/>
      <c r="P186" s="10"/>
      <c r="Q186" s="10"/>
      <c r="R186" s="10"/>
      <c r="S186" s="10"/>
      <c r="T186" s="18"/>
      <c r="U186" s="10"/>
      <c r="V186" s="10"/>
      <c r="W186" s="10"/>
      <c r="X186" s="18"/>
      <c r="Y186" s="10"/>
      <c r="Z186" s="10"/>
      <c r="AA186" s="10"/>
      <c r="AB186" s="60"/>
      <c r="AC186" s="60"/>
      <c r="AD186" s="12"/>
    </row>
    <row r="187" spans="1:30" s="17" customFormat="1" ht="15.5" hidden="1" outlineLevel="1" collapsed="1" x14ac:dyDescent="0.35">
      <c r="A187" s="93" t="s">
        <v>100</v>
      </c>
      <c r="B187" s="21"/>
      <c r="C187" s="84"/>
      <c r="D187" s="84"/>
      <c r="E187" s="84"/>
      <c r="F187" s="83"/>
      <c r="G187" s="32"/>
      <c r="H187" s="32"/>
      <c r="I187" s="32"/>
      <c r="J187" s="32"/>
      <c r="K187" s="32"/>
      <c r="L187" s="20">
        <f ca="1">LOOKUP(1000,INDIRECT("L1:"&amp;CELL("address",INDIRECT("R[-1]C",FALSE))))+1</f>
        <v>20</v>
      </c>
      <c r="M187" s="298" t="s">
        <v>648</v>
      </c>
      <c r="N187" s="298"/>
      <c r="O187" s="5"/>
      <c r="P187" s="33"/>
      <c r="Q187" s="33"/>
      <c r="R187" s="33"/>
      <c r="S187" s="33"/>
      <c r="T187" s="167">
        <f>IF($S$6="Exclude", SUMIFS(S188:S191, J188:J191, "&lt;&gt;Yes", G188:G191, "&lt;&gt;Yes"), SUMIFS(S188:S191, J188:J191, "&lt;&gt;Yes"))</f>
        <v>5</v>
      </c>
      <c r="U187" s="33"/>
      <c r="V187" s="33"/>
      <c r="W187" s="33"/>
      <c r="X187" s="34"/>
      <c r="Y187" s="35"/>
      <c r="Z187" s="35"/>
      <c r="AA187" s="35"/>
      <c r="AB187" s="240" t="s">
        <v>443</v>
      </c>
      <c r="AC187" s="36"/>
      <c r="AD187" s="26" t="str">
        <f>IF(M187="", "Error: Task name cannot be empty.", "")</f>
        <v/>
      </c>
    </row>
    <row r="188" spans="1:30" s="15" customFormat="1" ht="1.5" hidden="1" customHeight="1" outlineLevel="2" x14ac:dyDescent="0.35">
      <c r="A188" s="93" t="s">
        <v>101</v>
      </c>
      <c r="B188" s="21"/>
      <c r="C188" s="84"/>
      <c r="D188" s="84"/>
      <c r="E188" s="84"/>
      <c r="F188" s="83"/>
      <c r="G188" s="32"/>
      <c r="H188" s="32"/>
      <c r="I188" s="32"/>
      <c r="J188" s="32"/>
      <c r="K188" s="32"/>
      <c r="L188" s="175">
        <f ca="1">L187</f>
        <v>20</v>
      </c>
      <c r="M188" s="176" t="s">
        <v>105</v>
      </c>
      <c r="N188" s="173"/>
      <c r="O188" s="174"/>
      <c r="P188" s="33"/>
      <c r="Q188" s="33"/>
      <c r="R188" s="33"/>
      <c r="S188" s="33"/>
      <c r="T188" s="167"/>
      <c r="U188" s="33"/>
      <c r="V188" s="33"/>
      <c r="W188" s="33"/>
      <c r="X188" s="34"/>
      <c r="Y188" s="35"/>
      <c r="Z188" s="35"/>
      <c r="AA188" s="35"/>
      <c r="AB188" s="36"/>
      <c r="AC188" s="36"/>
      <c r="AD188" s="26"/>
    </row>
    <row r="189" spans="1:30" ht="58" hidden="1" outlineLevel="2" x14ac:dyDescent="0.35">
      <c r="A189" s="93" t="s">
        <v>0</v>
      </c>
      <c r="B189" s="21"/>
      <c r="C189" s="85"/>
      <c r="D189" s="85"/>
      <c r="E189" s="85"/>
      <c r="F189" s="86"/>
      <c r="G189" s="22" t="s">
        <v>23</v>
      </c>
      <c r="H189" s="22" t="s">
        <v>23</v>
      </c>
      <c r="I189" s="23" t="s">
        <v>23</v>
      </c>
      <c r="J189" s="22" t="s">
        <v>23</v>
      </c>
      <c r="K189" s="38"/>
      <c r="L189" s="22"/>
      <c r="M189" s="286" t="str">
        <f ca="1">IFERROR(OFFSET(M189,-1,,1,1)+0.1,OFFSET(M189,-1,-1,1,1)&amp;".1")</f>
        <v>20.1</v>
      </c>
      <c r="N189" s="23" t="s">
        <v>649</v>
      </c>
      <c r="O189" s="23"/>
      <c r="P189" s="23"/>
      <c r="Q189" s="144"/>
      <c r="R189" s="137"/>
      <c r="S189" s="169">
        <f>CEILING((IF(J189="Yes", 0, IF(H189="-",AA189,AA189+AA189*VLOOKUP(H189,BUFFERS_BY_TYPE,2,FALSE)))) +
   (IF(J189="Yes", 0, IF(H189="-",AA189,AA189+AA189*VLOOKUP(H189,BUFFERS_BY_TYPE,2,FALSE))))*VLOOKUP($S$5, SALES_CALL_SCALE_ARRAY, 2,FALSE),0.25)</f>
        <v>3</v>
      </c>
      <c r="T189" s="170"/>
      <c r="U189" s="24">
        <v>0</v>
      </c>
      <c r="V189" s="24">
        <v>1</v>
      </c>
      <c r="W189" s="24">
        <v>0</v>
      </c>
      <c r="X189" s="168">
        <v>3</v>
      </c>
      <c r="Y189" s="169">
        <f>CEILING((IF(P189=AS_DEV_EFFORT, DEV_EFFORT*Q189%,
                           IF(P189=AS_DURATION_EFFORT, (MANUAL_DURATION*5)*Q189%,
                                    (IF(Q189&lt;=1,X189,
                                          IF(SUM(U189:W189)=0,(Q189*X189),
                                               (((Q189*U189)*(X189+(X189*EXTRA_FOR_H)))+
                                               ((Q189*V189)*X189)+
                                               ((Q189*W189)*(X189-(X189*LESS_FOR_L)))
                                    )*IF(R189=0,1,R189))))))+Z189), 0.25)</f>
        <v>3</v>
      </c>
      <c r="Z189" s="25"/>
      <c r="AA189" s="169">
        <f>Y189+Y189*VLOOKUP(I189,EXTRAS_ARRAY,2,FALSE)</f>
        <v>3</v>
      </c>
      <c r="AB189" s="23" t="s">
        <v>445</v>
      </c>
      <c r="AC189" s="37"/>
      <c r="AD189" s="26" t="str">
        <f>IF(J189&lt;&gt;"Yes",
IF(S189&lt;=0,"Error: Effort value is not defined or is invalid.",
IF(AND(SUM(U189:W189)&gt;0,SUM(U189:W189)&lt;&gt;1),"Error: Complexity % distribution should sum to 100%.",
IF(AND(P189=AS_DEV_EFFORT,X189&lt;&gt;0),"Error: PDs should not be defined when defining as dev effort %.",
IF(AND(P189=AS_DURATION_EFFORT,X189&lt;&gt;0),"Error: PDs should not be defined when defining as duration effort %.","")))))</f>
        <v/>
      </c>
    </row>
    <row r="190" spans="1:30" ht="58" hidden="1" outlineLevel="2" x14ac:dyDescent="0.35">
      <c r="A190" s="93" t="s">
        <v>0</v>
      </c>
      <c r="B190" s="21"/>
      <c r="C190" s="85"/>
      <c r="D190" s="85"/>
      <c r="E190" s="85"/>
      <c r="F190" s="86"/>
      <c r="G190" s="22" t="s">
        <v>23</v>
      </c>
      <c r="H190" s="22" t="s">
        <v>23</v>
      </c>
      <c r="I190" s="23" t="s">
        <v>23</v>
      </c>
      <c r="J190" s="22" t="s">
        <v>23</v>
      </c>
      <c r="K190" s="38"/>
      <c r="L190" s="22"/>
      <c r="M190" s="286">
        <f ca="1">IFERROR(OFFSET(M190,-1,,1,1)+0.1,OFFSET(M190,-1,-1,1,1)&amp;".1")</f>
        <v>20.200000000000003</v>
      </c>
      <c r="N190" s="23" t="s">
        <v>656</v>
      </c>
      <c r="O190" s="23"/>
      <c r="P190" s="23"/>
      <c r="Q190" s="144"/>
      <c r="R190" s="137"/>
      <c r="S190" s="169">
        <f>CEILING((IF(J190="Yes", 0, IF(H190="-",AA190,AA190+AA190*VLOOKUP(H190,BUFFERS_BY_TYPE,2,FALSE)))) +
   (IF(J190="Yes", 0, IF(H190="-",AA190,AA190+AA190*VLOOKUP(H190,BUFFERS_BY_TYPE,2,FALSE))))*VLOOKUP($S$5, SALES_CALL_SCALE_ARRAY, 2,FALSE),0.25)</f>
        <v>2</v>
      </c>
      <c r="T190" s="170"/>
      <c r="U190" s="24">
        <v>0</v>
      </c>
      <c r="V190" s="24">
        <v>1</v>
      </c>
      <c r="W190" s="24">
        <v>0</v>
      </c>
      <c r="X190" s="168">
        <v>2</v>
      </c>
      <c r="Y190" s="169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2</v>
      </c>
      <c r="Z190" s="25"/>
      <c r="AA190" s="169">
        <f>Y190+Y190*VLOOKUP(I190,EXTRAS_ARRAY,2,FALSE)</f>
        <v>2</v>
      </c>
      <c r="AB190" s="23" t="s">
        <v>445</v>
      </c>
      <c r="AC190" s="37"/>
      <c r="AD190" s="26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s="11" customFormat="1" ht="7.5" hidden="1" customHeight="1" outlineLevel="2" x14ac:dyDescent="0.35">
      <c r="A191" s="93" t="s">
        <v>132</v>
      </c>
      <c r="B191" s="18"/>
      <c r="C191" s="78"/>
      <c r="D191" s="78"/>
      <c r="E191" s="78"/>
      <c r="F191" s="78"/>
      <c r="G191" s="10"/>
      <c r="H191" s="10"/>
      <c r="I191" s="10"/>
      <c r="J191" s="10"/>
      <c r="K191" s="10"/>
      <c r="L191" s="10"/>
      <c r="M191" s="287"/>
      <c r="N191" s="10"/>
      <c r="O191" s="10"/>
      <c r="P191" s="10"/>
      <c r="Q191" s="10"/>
      <c r="R191" s="10"/>
      <c r="S191" s="10"/>
      <c r="T191" s="18"/>
      <c r="U191" s="10"/>
      <c r="V191" s="10"/>
      <c r="W191" s="10"/>
      <c r="X191" s="18"/>
      <c r="Y191" s="10"/>
      <c r="Z191" s="10"/>
      <c r="AA191" s="10"/>
      <c r="AB191" s="60"/>
      <c r="AC191" s="60"/>
      <c r="AD191" s="12"/>
    </row>
    <row r="192" spans="1:30" s="17" customFormat="1" ht="15.5" hidden="1" outlineLevel="1" collapsed="1" x14ac:dyDescent="0.35">
      <c r="A192" s="93" t="s">
        <v>100</v>
      </c>
      <c r="B192" s="21"/>
      <c r="C192" s="84"/>
      <c r="D192" s="84"/>
      <c r="E192" s="84"/>
      <c r="F192" s="83"/>
      <c r="G192" s="32"/>
      <c r="H192" s="32"/>
      <c r="I192" s="32"/>
      <c r="J192" s="32"/>
      <c r="K192" s="32"/>
      <c r="L192" s="20">
        <f ca="1">LOOKUP(1000,INDIRECT("L1:"&amp;CELL("address",INDIRECT("R[-1]C",FALSE))))+1</f>
        <v>21</v>
      </c>
      <c r="M192" s="298" t="s">
        <v>650</v>
      </c>
      <c r="N192" s="298"/>
      <c r="O192" s="5"/>
      <c r="P192" s="33"/>
      <c r="Q192" s="33"/>
      <c r="R192" s="33"/>
      <c r="S192" s="33"/>
      <c r="T192" s="167">
        <f>IF($S$6="Exclude", SUMIFS(S193:S197, J193:J197, "&lt;&gt;Yes", G193:G197, "&lt;&gt;Yes"), SUMIFS(S193:S197, J193:J197, "&lt;&gt;Yes"))</f>
        <v>4</v>
      </c>
      <c r="U192" s="33"/>
      <c r="V192" s="33"/>
      <c r="W192" s="33"/>
      <c r="X192" s="34"/>
      <c r="Y192" s="35"/>
      <c r="Z192" s="35"/>
      <c r="AA192" s="35"/>
      <c r="AB192" s="240" t="s">
        <v>443</v>
      </c>
      <c r="AC192" s="36"/>
      <c r="AD192" s="26" t="str">
        <f>IF(M192="", "Error: Task name cannot be empty.", "")</f>
        <v/>
      </c>
    </row>
    <row r="193" spans="1:30" s="15" customFormat="1" ht="1.5" hidden="1" customHeight="1" outlineLevel="2" x14ac:dyDescent="0.35">
      <c r="A193" s="93" t="s">
        <v>101</v>
      </c>
      <c r="B193" s="21"/>
      <c r="C193" s="84"/>
      <c r="D193" s="84"/>
      <c r="E193" s="84"/>
      <c r="F193" s="83"/>
      <c r="G193" s="32"/>
      <c r="H193" s="32"/>
      <c r="I193" s="32"/>
      <c r="J193" s="32"/>
      <c r="K193" s="32"/>
      <c r="L193" s="175">
        <f ca="1">L192</f>
        <v>21</v>
      </c>
      <c r="M193" s="176" t="s">
        <v>105</v>
      </c>
      <c r="N193" s="173"/>
      <c r="O193" s="174"/>
      <c r="P193" s="33"/>
      <c r="Q193" s="33"/>
      <c r="R193" s="33"/>
      <c r="S193" s="33"/>
      <c r="T193" s="167"/>
      <c r="U193" s="33"/>
      <c r="V193" s="33"/>
      <c r="W193" s="33"/>
      <c r="X193" s="34"/>
      <c r="Y193" s="35"/>
      <c r="Z193" s="35"/>
      <c r="AA193" s="35"/>
      <c r="AB193" s="36"/>
      <c r="AC193" s="36"/>
      <c r="AD193" s="26"/>
    </row>
    <row r="194" spans="1:30" ht="43.5" hidden="1" outlineLevel="2" x14ac:dyDescent="0.35">
      <c r="A194" s="93" t="s">
        <v>0</v>
      </c>
      <c r="B194" s="21"/>
      <c r="C194" s="85"/>
      <c r="D194" s="85"/>
      <c r="E194" s="85"/>
      <c r="F194" s="86"/>
      <c r="G194" s="22" t="s">
        <v>23</v>
      </c>
      <c r="H194" s="22" t="s">
        <v>23</v>
      </c>
      <c r="I194" s="23" t="s">
        <v>23</v>
      </c>
      <c r="J194" s="22" t="s">
        <v>23</v>
      </c>
      <c r="K194" s="38"/>
      <c r="L194" s="22"/>
      <c r="M194" s="286" t="str">
        <f ca="1">IFERROR(OFFSET(M194,-1,,1,1)+0.1,OFFSET(M194,-1,-1,1,1)&amp;".1")</f>
        <v>21.1</v>
      </c>
      <c r="N194" s="23" t="s">
        <v>651</v>
      </c>
      <c r="O194" s="23"/>
      <c r="P194" s="23"/>
      <c r="Q194" s="144"/>
      <c r="R194" s="137"/>
      <c r="S194" s="169">
        <f>CEILING((IF(J194="Yes", 0, IF(H194="-",AA194,AA194+AA194*VLOOKUP(H194,BUFFERS_BY_TYPE,2,FALSE)))) +
   (IF(J194="Yes", 0, IF(H194="-",AA194,AA194+AA194*VLOOKUP(H194,BUFFERS_BY_TYPE,2,FALSE))))*VLOOKUP($S$5, SALES_CALL_SCALE_ARRAY, 2,FALSE),0.25)</f>
        <v>1</v>
      </c>
      <c r="T194" s="170"/>
      <c r="U194" s="24">
        <v>0</v>
      </c>
      <c r="V194" s="24">
        <v>1</v>
      </c>
      <c r="W194" s="24">
        <v>0</v>
      </c>
      <c r="X194" s="168">
        <v>1</v>
      </c>
      <c r="Y194" s="169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1</v>
      </c>
      <c r="Z194" s="25"/>
      <c r="AA194" s="169">
        <f>Y194+Y194*VLOOKUP(I194,EXTRAS_ARRAY,2,FALSE)</f>
        <v>1</v>
      </c>
      <c r="AB194" s="23" t="s">
        <v>445</v>
      </c>
      <c r="AC194" s="37"/>
      <c r="AD194" s="26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ht="43.5" hidden="1" outlineLevel="2" x14ac:dyDescent="0.35">
      <c r="A195" s="93" t="s">
        <v>0</v>
      </c>
      <c r="B195" s="21"/>
      <c r="C195" s="85"/>
      <c r="D195" s="85"/>
      <c r="E195" s="85"/>
      <c r="F195" s="86"/>
      <c r="G195" s="22" t="s">
        <v>23</v>
      </c>
      <c r="H195" s="22" t="s">
        <v>23</v>
      </c>
      <c r="I195" s="23" t="s">
        <v>23</v>
      </c>
      <c r="J195" s="22" t="s">
        <v>23</v>
      </c>
      <c r="K195" s="38"/>
      <c r="L195" s="22"/>
      <c r="M195" s="286">
        <f ca="1">IFERROR(OFFSET(M195,-1,,1,1)+0.1,OFFSET(M195,-1,-1,1,1)&amp;".1")</f>
        <v>21.200000000000003</v>
      </c>
      <c r="N195" s="23" t="s">
        <v>652</v>
      </c>
      <c r="O195" s="23"/>
      <c r="P195" s="23"/>
      <c r="Q195" s="144"/>
      <c r="R195" s="137"/>
      <c r="S195" s="169">
        <f>CEILING((IF(J195="Yes", 0, IF(H195="-",AA195,AA195+AA195*VLOOKUP(H195,BUFFERS_BY_TYPE,2,FALSE)))) +
   (IF(J195="Yes", 0, IF(H195="-",AA195,AA195+AA195*VLOOKUP(H195,BUFFERS_BY_TYPE,2,FALSE))))*VLOOKUP($S$5, SALES_CALL_SCALE_ARRAY, 2,FALSE),0.25)</f>
        <v>1</v>
      </c>
      <c r="T195" s="170"/>
      <c r="U195" s="24">
        <v>0</v>
      </c>
      <c r="V195" s="24">
        <v>1</v>
      </c>
      <c r="W195" s="24">
        <v>0</v>
      </c>
      <c r="X195" s="168">
        <v>1</v>
      </c>
      <c r="Y195" s="169">
        <f>CEILING((IF(P195=AS_DEV_EFFORT, DEV_EFFORT*Q195%,
                           IF(P195=AS_DURATION_EFFORT, (MANUAL_DURATION*5)*Q195%,
                                    (IF(Q195&lt;=1,X195,
                                          IF(SUM(U195:W195)=0,(Q195*X195),
                                               (((Q195*U195)*(X195+(X195*EXTRA_FOR_H)))+
                                               ((Q195*V195)*X195)+
                                               ((Q195*W195)*(X195-(X195*LESS_FOR_L)))
                                    )*IF(R195=0,1,R195))))))+Z195), 0.25)</f>
        <v>1</v>
      </c>
      <c r="Z195" s="25"/>
      <c r="AA195" s="169">
        <f>Y195+Y195*VLOOKUP(I195,EXTRAS_ARRAY,2,FALSE)</f>
        <v>1</v>
      </c>
      <c r="AB195" s="23" t="s">
        <v>445</v>
      </c>
      <c r="AC195" s="37"/>
      <c r="AD195" s="26" t="str">
        <f>IF(J195&lt;&gt;"Yes",
IF(S195&lt;=0,"Error: Effort value is not defined or is invalid.",
IF(AND(SUM(U195:W195)&gt;0,SUM(U195:W195)&lt;&gt;1),"Error: Complexity % distribution should sum to 100%.",
IF(AND(P195=AS_DEV_EFFORT,X195&lt;&gt;0),"Error: PDs should not be defined when defining as dev effort %.",
IF(AND(P195=AS_DURATION_EFFORT,X195&lt;&gt;0),"Error: PDs should not be defined when defining as duration effort %.","")))))</f>
        <v/>
      </c>
    </row>
    <row r="196" spans="1:30" ht="43.5" hidden="1" outlineLevel="2" x14ac:dyDescent="0.35">
      <c r="A196" s="93" t="s">
        <v>0</v>
      </c>
      <c r="B196" s="21"/>
      <c r="C196" s="85"/>
      <c r="D196" s="85"/>
      <c r="E196" s="85"/>
      <c r="F196" s="86"/>
      <c r="G196" s="22" t="s">
        <v>23</v>
      </c>
      <c r="H196" s="22" t="s">
        <v>23</v>
      </c>
      <c r="I196" s="23" t="s">
        <v>23</v>
      </c>
      <c r="J196" s="22" t="s">
        <v>23</v>
      </c>
      <c r="K196" s="38"/>
      <c r="L196" s="22"/>
      <c r="M196" s="286">
        <f ca="1">IFERROR(OFFSET(M196,-1,,1,1)+0.1,OFFSET(M196,-1,-1,1,1)&amp;".1")</f>
        <v>21.300000000000004</v>
      </c>
      <c r="N196" s="23" t="s">
        <v>653</v>
      </c>
      <c r="O196" s="23"/>
      <c r="P196" s="23"/>
      <c r="Q196" s="144"/>
      <c r="R196" s="137"/>
      <c r="S196" s="169">
        <f>CEILING((IF(J196="Yes", 0, IF(H196="-",AA196,AA196+AA196*VLOOKUP(H196,BUFFERS_BY_TYPE,2,FALSE)))) +
   (IF(J196="Yes", 0, IF(H196="-",AA196,AA196+AA196*VLOOKUP(H196,BUFFERS_BY_TYPE,2,FALSE))))*VLOOKUP($S$5, SALES_CALL_SCALE_ARRAY, 2,FALSE),0.25)</f>
        <v>2</v>
      </c>
      <c r="T196" s="170"/>
      <c r="U196" s="24">
        <v>0</v>
      </c>
      <c r="V196" s="24">
        <v>1</v>
      </c>
      <c r="W196" s="24">
        <v>0</v>
      </c>
      <c r="X196" s="168">
        <v>2</v>
      </c>
      <c r="Y196" s="169">
        <f>CEILING((IF(P196=AS_DEV_EFFORT, DEV_EFFORT*Q196%,
                           IF(P196=AS_DURATION_EFFORT, (MANUAL_DURATION*5)*Q196%,
                                    (IF(Q196&lt;=1,X196,
                                          IF(SUM(U196:W196)=0,(Q196*X196),
                                               (((Q196*U196)*(X196+(X196*EXTRA_FOR_H)))+
                                               ((Q196*V196)*X196)+
                                               ((Q196*W196)*(X196-(X196*LESS_FOR_L)))
                                    )*IF(R196=0,1,R196))))))+Z196), 0.25)</f>
        <v>2</v>
      </c>
      <c r="Z196" s="25"/>
      <c r="AA196" s="169">
        <f>Y196+Y196*VLOOKUP(I196,EXTRAS_ARRAY,2,FALSE)</f>
        <v>2</v>
      </c>
      <c r="AB196" s="23" t="s">
        <v>445</v>
      </c>
      <c r="AC196" s="37"/>
      <c r="AD196" s="26" t="str">
        <f>IF(J196&lt;&gt;"Yes",
IF(S196&lt;=0,"Error: Effort value is not defined or is invalid.",
IF(AND(SUM(U196:W196)&gt;0,SUM(U196:W196)&lt;&gt;1),"Error: Complexity % distribution should sum to 100%.",
IF(AND(P196=AS_DEV_EFFORT,X196&lt;&gt;0),"Error: PDs should not be defined when defining as dev effort %.",
IF(AND(P196=AS_DURATION_EFFORT,X196&lt;&gt;0),"Error: PDs should not be defined when defining as duration effort %.","")))))</f>
        <v/>
      </c>
    </row>
    <row r="197" spans="1:30" s="11" customFormat="1" ht="7.5" hidden="1" customHeight="1" outlineLevel="2" x14ac:dyDescent="0.35">
      <c r="A197" s="93" t="s">
        <v>132</v>
      </c>
      <c r="B197" s="18"/>
      <c r="C197" s="78"/>
      <c r="D197" s="78"/>
      <c r="E197" s="78"/>
      <c r="F197" s="78"/>
      <c r="G197" s="10"/>
      <c r="H197" s="10"/>
      <c r="I197" s="10"/>
      <c r="J197" s="10"/>
      <c r="K197" s="10"/>
      <c r="L197" s="10"/>
      <c r="M197" s="287"/>
      <c r="N197" s="10"/>
      <c r="O197" s="10"/>
      <c r="P197" s="10"/>
      <c r="Q197" s="10"/>
      <c r="R197" s="10"/>
      <c r="S197" s="10"/>
      <c r="T197" s="18"/>
      <c r="U197" s="10"/>
      <c r="V197" s="10"/>
      <c r="W197" s="10"/>
      <c r="X197" s="18"/>
      <c r="Y197" s="10"/>
      <c r="Z197" s="10"/>
      <c r="AA197" s="10"/>
      <c r="AB197" s="60"/>
      <c r="AC197" s="60"/>
      <c r="AD197" s="12"/>
    </row>
    <row r="198" spans="1:30" s="17" customFormat="1" ht="15.5" hidden="1" outlineLevel="1" collapsed="1" x14ac:dyDescent="0.35">
      <c r="A198" s="93" t="s">
        <v>100</v>
      </c>
      <c r="B198" s="21"/>
      <c r="C198" s="84"/>
      <c r="D198" s="84"/>
      <c r="E198" s="84"/>
      <c r="F198" s="83"/>
      <c r="G198" s="32"/>
      <c r="H198" s="32"/>
      <c r="I198" s="32"/>
      <c r="J198" s="32"/>
      <c r="K198" s="32"/>
      <c r="L198" s="20">
        <f ca="1">LOOKUP(1000,INDIRECT("L1:"&amp;CELL("address",INDIRECT("R[-1]C",FALSE))))+1</f>
        <v>22</v>
      </c>
      <c r="M198" s="298" t="s">
        <v>654</v>
      </c>
      <c r="N198" s="298"/>
      <c r="O198" s="5"/>
      <c r="P198" s="33"/>
      <c r="Q198" s="33"/>
      <c r="R198" s="33"/>
      <c r="S198" s="33"/>
      <c r="T198" s="167">
        <f>IF($S$6="Exclude", SUMIFS(S199:S201, J199:J201, "&lt;&gt;Yes", G199:G201, "&lt;&gt;Yes"), SUMIFS(S199:S201, J199:J201, "&lt;&gt;Yes"))</f>
        <v>3</v>
      </c>
      <c r="U198" s="33"/>
      <c r="V198" s="33"/>
      <c r="W198" s="33"/>
      <c r="X198" s="34"/>
      <c r="Y198" s="35"/>
      <c r="Z198" s="35"/>
      <c r="AA198" s="35"/>
      <c r="AB198" s="240" t="s">
        <v>443</v>
      </c>
      <c r="AC198" s="36"/>
      <c r="AD198" s="26" t="str">
        <f>IF(M198="", "Error: Task name cannot be empty.", "")</f>
        <v/>
      </c>
    </row>
    <row r="199" spans="1:30" s="15" customFormat="1" ht="1.5" hidden="1" customHeight="1" outlineLevel="2" x14ac:dyDescent="0.35">
      <c r="A199" s="93" t="s">
        <v>101</v>
      </c>
      <c r="B199" s="21"/>
      <c r="C199" s="84"/>
      <c r="D199" s="84"/>
      <c r="E199" s="84"/>
      <c r="F199" s="83"/>
      <c r="G199" s="32"/>
      <c r="H199" s="32"/>
      <c r="I199" s="32"/>
      <c r="J199" s="32"/>
      <c r="K199" s="32"/>
      <c r="L199" s="175">
        <f ca="1">L198</f>
        <v>22</v>
      </c>
      <c r="M199" s="176" t="s">
        <v>105</v>
      </c>
      <c r="N199" s="173"/>
      <c r="O199" s="174"/>
      <c r="P199" s="33"/>
      <c r="Q199" s="33"/>
      <c r="R199" s="33"/>
      <c r="S199" s="33"/>
      <c r="T199" s="167"/>
      <c r="U199" s="33"/>
      <c r="V199" s="33"/>
      <c r="W199" s="33"/>
      <c r="X199" s="34"/>
      <c r="Y199" s="35"/>
      <c r="Z199" s="35"/>
      <c r="AA199" s="35"/>
      <c r="AB199" s="36"/>
      <c r="AC199" s="36"/>
      <c r="AD199" s="26"/>
    </row>
    <row r="200" spans="1:30" ht="58" hidden="1" outlineLevel="2" x14ac:dyDescent="0.35">
      <c r="A200" s="93" t="s">
        <v>0</v>
      </c>
      <c r="B200" s="21"/>
      <c r="C200" s="85"/>
      <c r="D200" s="85"/>
      <c r="E200" s="85"/>
      <c r="F200" s="86"/>
      <c r="G200" s="22" t="s">
        <v>23</v>
      </c>
      <c r="H200" s="22" t="s">
        <v>23</v>
      </c>
      <c r="I200" s="23" t="s">
        <v>23</v>
      </c>
      <c r="J200" s="22" t="s">
        <v>23</v>
      </c>
      <c r="K200" s="38"/>
      <c r="L200" s="22"/>
      <c r="M200" s="286" t="str">
        <f ca="1">IFERROR(OFFSET(M200,-1,,1,1)+0.1,OFFSET(M200,-1,-1,1,1)&amp;".1")</f>
        <v>22.1</v>
      </c>
      <c r="N200" s="23" t="s">
        <v>655</v>
      </c>
      <c r="O200" s="23"/>
      <c r="P200" s="23"/>
      <c r="Q200" s="144"/>
      <c r="R200" s="137"/>
      <c r="S200" s="169">
        <f>CEILING((IF(J200="Yes", 0, IF(H200="-",AA200,AA200+AA200*VLOOKUP(H200,BUFFERS_BY_TYPE,2,FALSE)))) +
   (IF(J200="Yes", 0, IF(H200="-",AA200,AA200+AA200*VLOOKUP(H200,BUFFERS_BY_TYPE,2,FALSE))))*VLOOKUP($S$5, SALES_CALL_SCALE_ARRAY, 2,FALSE),0.25)</f>
        <v>3</v>
      </c>
      <c r="T200" s="170"/>
      <c r="U200" s="24">
        <v>0</v>
      </c>
      <c r="V200" s="24">
        <v>1</v>
      </c>
      <c r="W200" s="24">
        <v>0</v>
      </c>
      <c r="X200" s="168">
        <v>3</v>
      </c>
      <c r="Y200" s="169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>3</v>
      </c>
      <c r="Z200" s="25"/>
      <c r="AA200" s="169">
        <f>Y200+Y200*VLOOKUP(I200,EXTRAS_ARRAY,2,FALSE)</f>
        <v>3</v>
      </c>
      <c r="AB200" s="23" t="s">
        <v>660</v>
      </c>
      <c r="AC200" s="37"/>
      <c r="AD200" s="26" t="str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spans="1:30" s="11" customFormat="1" ht="7.5" hidden="1" customHeight="1" outlineLevel="2" x14ac:dyDescent="0.35">
      <c r="A201" s="93" t="s">
        <v>132</v>
      </c>
      <c r="B201" s="18"/>
      <c r="C201" s="78"/>
      <c r="D201" s="78"/>
      <c r="E201" s="78"/>
      <c r="F201" s="78"/>
      <c r="G201" s="10"/>
      <c r="H201" s="10"/>
      <c r="I201" s="10"/>
      <c r="J201" s="10"/>
      <c r="K201" s="10"/>
      <c r="L201" s="10"/>
      <c r="M201" s="287"/>
      <c r="N201" s="10"/>
      <c r="O201" s="10"/>
      <c r="P201" s="10"/>
      <c r="Q201" s="10"/>
      <c r="R201" s="10"/>
      <c r="S201" s="10"/>
      <c r="T201" s="18"/>
      <c r="U201" s="10"/>
      <c r="V201" s="10"/>
      <c r="W201" s="10"/>
      <c r="X201" s="18"/>
      <c r="Y201" s="10"/>
      <c r="Z201" s="10"/>
      <c r="AA201" s="10"/>
      <c r="AB201" s="60"/>
      <c r="AC201" s="60"/>
      <c r="AD201" s="12"/>
    </row>
    <row r="202" spans="1:30" s="17" customFormat="1" ht="15.5" hidden="1" outlineLevel="1" collapsed="1" x14ac:dyDescent="0.35">
      <c r="A202" s="93" t="s">
        <v>100</v>
      </c>
      <c r="B202" s="21"/>
      <c r="C202" s="84"/>
      <c r="D202" s="84"/>
      <c r="E202" s="84"/>
      <c r="F202" s="83"/>
      <c r="G202" s="32"/>
      <c r="H202" s="32"/>
      <c r="I202" s="32"/>
      <c r="J202" s="32"/>
      <c r="K202" s="32"/>
      <c r="L202" s="20">
        <f ca="1">LOOKUP(1000,INDIRECT("L1:"&amp;CELL("address",INDIRECT("R[-1]C",FALSE))))+1</f>
        <v>23</v>
      </c>
      <c r="M202" s="298" t="s">
        <v>657</v>
      </c>
      <c r="N202" s="298"/>
      <c r="O202" s="5"/>
      <c r="P202" s="33"/>
      <c r="Q202" s="33"/>
      <c r="R202" s="33"/>
      <c r="S202" s="33"/>
      <c r="T202" s="167">
        <f>IF($S$6="Exclude", SUMIFS(S203:S205, J203:J205, "&lt;&gt;Yes", G203:G205, "&lt;&gt;Yes"), SUMIFS(S203:S205, J203:J205, "&lt;&gt;Yes"))</f>
        <v>2</v>
      </c>
      <c r="U202" s="33"/>
      <c r="V202" s="33"/>
      <c r="W202" s="33"/>
      <c r="X202" s="34"/>
      <c r="Y202" s="35"/>
      <c r="Z202" s="35"/>
      <c r="AA202" s="35"/>
      <c r="AB202" s="240" t="s">
        <v>443</v>
      </c>
      <c r="AC202" s="36"/>
      <c r="AD202" s="26" t="str">
        <f>IF(M202="", "Error: Task name cannot be empty.", "")</f>
        <v/>
      </c>
    </row>
    <row r="203" spans="1:30" s="15" customFormat="1" ht="1.5" hidden="1" customHeight="1" outlineLevel="2" x14ac:dyDescent="0.35">
      <c r="A203" s="93" t="s">
        <v>101</v>
      </c>
      <c r="B203" s="21"/>
      <c r="C203" s="84"/>
      <c r="D203" s="84"/>
      <c r="E203" s="84"/>
      <c r="F203" s="83"/>
      <c r="G203" s="32"/>
      <c r="H203" s="32"/>
      <c r="I203" s="32"/>
      <c r="J203" s="32"/>
      <c r="K203" s="32"/>
      <c r="L203" s="175">
        <f ca="1">L202</f>
        <v>23</v>
      </c>
      <c r="M203" s="176" t="s">
        <v>105</v>
      </c>
      <c r="N203" s="173"/>
      <c r="O203" s="174"/>
      <c r="P203" s="33"/>
      <c r="Q203" s="33"/>
      <c r="R203" s="33"/>
      <c r="S203" s="33"/>
      <c r="T203" s="167"/>
      <c r="U203" s="33"/>
      <c r="V203" s="33"/>
      <c r="W203" s="33"/>
      <c r="X203" s="34"/>
      <c r="Y203" s="35"/>
      <c r="Z203" s="35"/>
      <c r="AA203" s="35"/>
      <c r="AB203" s="36"/>
      <c r="AC203" s="36"/>
      <c r="AD203" s="26"/>
    </row>
    <row r="204" spans="1:30" ht="43.5" hidden="1" outlineLevel="2" x14ac:dyDescent="0.35">
      <c r="A204" s="93" t="s">
        <v>0</v>
      </c>
      <c r="B204" s="21"/>
      <c r="C204" s="85"/>
      <c r="D204" s="85"/>
      <c r="E204" s="85"/>
      <c r="F204" s="86"/>
      <c r="G204" s="22" t="s">
        <v>23</v>
      </c>
      <c r="H204" s="22" t="s">
        <v>23</v>
      </c>
      <c r="I204" s="23" t="s">
        <v>23</v>
      </c>
      <c r="J204" s="22" t="s">
        <v>23</v>
      </c>
      <c r="K204" s="38"/>
      <c r="L204" s="22"/>
      <c r="M204" s="286" t="str">
        <f ca="1">IFERROR(OFFSET(M204,-1,,1,1)+0.1,OFFSET(M204,-1,-1,1,1)&amp;".1")</f>
        <v>23.1</v>
      </c>
      <c r="N204" s="23" t="s">
        <v>658</v>
      </c>
      <c r="O204" s="23"/>
      <c r="P204" s="23"/>
      <c r="Q204" s="144"/>
      <c r="R204" s="137"/>
      <c r="S204" s="169">
        <f>CEILING((IF(J204="Yes", 0, IF(H204="-",AA204,AA204+AA204*VLOOKUP(H204,BUFFERS_BY_TYPE,2,FALSE)))) +
   (IF(J204="Yes", 0, IF(H204="-",AA204,AA204+AA204*VLOOKUP(H204,BUFFERS_BY_TYPE,2,FALSE))))*VLOOKUP($S$5, SALES_CALL_SCALE_ARRAY, 2,FALSE),0.25)</f>
        <v>2</v>
      </c>
      <c r="T204" s="170"/>
      <c r="U204" s="24">
        <v>0</v>
      </c>
      <c r="V204" s="24">
        <v>1</v>
      </c>
      <c r="W204" s="24">
        <v>0</v>
      </c>
      <c r="X204" s="168">
        <v>2</v>
      </c>
      <c r="Y204" s="169">
        <f>CEILING((IF(P204=AS_DEV_EFFORT, DEV_EFFORT*Q204%,
                           IF(P204=AS_DURATION_EFFORT, (MANUAL_DURATION*5)*Q204%,
                                    (IF(Q204&lt;=1,X204,
                                          IF(SUM(U204:W204)=0,(Q204*X204),
                                               (((Q204*U204)*(X204+(X204*EXTRA_FOR_H)))+
                                               ((Q204*V204)*X204)+
                                               ((Q204*W204)*(X204-(X204*LESS_FOR_L)))
                                    )*IF(R204=0,1,R204))))))+Z204), 0.25)</f>
        <v>2</v>
      </c>
      <c r="Z204" s="25"/>
      <c r="AA204" s="169">
        <f>Y204+Y204*VLOOKUP(I204,EXTRAS_ARRAY,2,FALSE)</f>
        <v>2</v>
      </c>
      <c r="AB204" s="23" t="s">
        <v>445</v>
      </c>
      <c r="AC204" s="37"/>
      <c r="AD204" s="26" t="str">
        <f>IF(J204&lt;&gt;"Yes",
IF(S204&lt;=0,"Error: Effort value is not defined or is invalid.",
IF(AND(SUM(U204:W204)&gt;0,SUM(U204:W204)&lt;&gt;1),"Error: Complexity % distribution should sum to 100%.",
IF(AND(P204=AS_DEV_EFFORT,X204&lt;&gt;0),"Error: PDs should not be defined when defining as dev effort %.",
IF(AND(P204=AS_DURATION_EFFORT,X204&lt;&gt;0),"Error: PDs should not be defined when defining as duration effort %.","")))))</f>
        <v/>
      </c>
    </row>
    <row r="205" spans="1:30" s="11" customFormat="1" ht="7.5" hidden="1" customHeight="1" outlineLevel="2" x14ac:dyDescent="0.35">
      <c r="A205" s="93" t="s">
        <v>132</v>
      </c>
      <c r="B205" s="18"/>
      <c r="C205" s="78"/>
      <c r="D205" s="78"/>
      <c r="E205" s="78"/>
      <c r="F205" s="78"/>
      <c r="G205" s="10"/>
      <c r="H205" s="10"/>
      <c r="I205" s="10"/>
      <c r="J205" s="10"/>
      <c r="K205" s="10"/>
      <c r="L205" s="10"/>
      <c r="M205" s="287"/>
      <c r="N205" s="10"/>
      <c r="O205" s="10"/>
      <c r="P205" s="10"/>
      <c r="Q205" s="10"/>
      <c r="R205" s="10"/>
      <c r="S205" s="10"/>
      <c r="T205" s="18"/>
      <c r="U205" s="10"/>
      <c r="V205" s="10"/>
      <c r="W205" s="10"/>
      <c r="X205" s="18"/>
      <c r="Y205" s="10"/>
      <c r="Z205" s="10"/>
      <c r="AA205" s="10"/>
      <c r="AB205" s="60"/>
      <c r="AC205" s="60"/>
      <c r="AD205" s="12"/>
    </row>
    <row r="206" spans="1:30" s="17" customFormat="1" ht="15.5" hidden="1" outlineLevel="1" collapsed="1" x14ac:dyDescent="0.35">
      <c r="A206" s="93" t="s">
        <v>100</v>
      </c>
      <c r="B206" s="21"/>
      <c r="C206" s="84"/>
      <c r="D206" s="84"/>
      <c r="E206" s="84"/>
      <c r="F206" s="83"/>
      <c r="G206" s="32"/>
      <c r="H206" s="32"/>
      <c r="I206" s="32"/>
      <c r="J206" s="32"/>
      <c r="K206" s="32"/>
      <c r="L206" s="20">
        <f ca="1">LOOKUP(1000,INDIRECT("L1:"&amp;CELL("address",INDIRECT("R[-1]C",FALSE))))+1</f>
        <v>24</v>
      </c>
      <c r="M206" s="298" t="s">
        <v>40</v>
      </c>
      <c r="N206" s="298"/>
      <c r="O206" s="5"/>
      <c r="P206" s="33"/>
      <c r="Q206" s="33"/>
      <c r="R206" s="33"/>
      <c r="S206" s="33"/>
      <c r="T206" s="167">
        <f>IF($S$6="Exclude", SUMIFS(S207:S209, J207:J209, "&lt;&gt;Yes", G207:G209, "&lt;&gt;Yes"), SUMIFS(S207:S209, J207:J209, "&lt;&gt;Yes"))</f>
        <v>30</v>
      </c>
      <c r="U206" s="33"/>
      <c r="V206" s="33"/>
      <c r="W206" s="33"/>
      <c r="X206" s="34"/>
      <c r="Y206" s="35"/>
      <c r="Z206" s="35"/>
      <c r="AA206" s="35"/>
      <c r="AB206" s="240" t="s">
        <v>443</v>
      </c>
      <c r="AC206" s="36"/>
      <c r="AD206" s="26" t="str">
        <f>IF(M206="", "Error: Task name cannot be empty.", "")</f>
        <v/>
      </c>
    </row>
    <row r="207" spans="1:30" s="15" customFormat="1" ht="1.5" hidden="1" customHeight="1" outlineLevel="2" x14ac:dyDescent="0.35">
      <c r="A207" s="93" t="s">
        <v>101</v>
      </c>
      <c r="B207" s="21"/>
      <c r="C207" s="84"/>
      <c r="D207" s="84"/>
      <c r="E207" s="84"/>
      <c r="F207" s="83"/>
      <c r="G207" s="32"/>
      <c r="H207" s="32"/>
      <c r="I207" s="32"/>
      <c r="J207" s="32"/>
      <c r="K207" s="32"/>
      <c r="L207" s="175">
        <f ca="1">L206</f>
        <v>24</v>
      </c>
      <c r="M207" s="176" t="s">
        <v>105</v>
      </c>
      <c r="N207" s="173"/>
      <c r="O207" s="174"/>
      <c r="P207" s="33"/>
      <c r="Q207" s="33"/>
      <c r="R207" s="33"/>
      <c r="S207" s="33"/>
      <c r="T207" s="167"/>
      <c r="U207" s="33"/>
      <c r="V207" s="33"/>
      <c r="W207" s="33"/>
      <c r="X207" s="34"/>
      <c r="Y207" s="35"/>
      <c r="Z207" s="35"/>
      <c r="AA207" s="35"/>
      <c r="AB207" s="36"/>
      <c r="AC207" s="36"/>
      <c r="AD207" s="26"/>
    </row>
    <row r="208" spans="1:30" ht="58" hidden="1" outlineLevel="2" x14ac:dyDescent="0.35">
      <c r="A208" s="93" t="s">
        <v>0</v>
      </c>
      <c r="B208" s="21"/>
      <c r="C208" s="85"/>
      <c r="D208" s="85"/>
      <c r="E208" s="85"/>
      <c r="F208" s="86"/>
      <c r="G208" s="22" t="s">
        <v>23</v>
      </c>
      <c r="H208" s="22" t="s">
        <v>23</v>
      </c>
      <c r="I208" s="23" t="s">
        <v>23</v>
      </c>
      <c r="J208" s="22" t="s">
        <v>23</v>
      </c>
      <c r="K208" s="38"/>
      <c r="L208" s="22"/>
      <c r="M208" s="286" t="str">
        <f ca="1">IFERROR(OFFSET(M208,-1,,1,1)+0.1,OFFSET(M208,-1,-1,1,1)&amp;".1")</f>
        <v>24.1</v>
      </c>
      <c r="N208" s="23" t="s">
        <v>665</v>
      </c>
      <c r="O208" s="23"/>
      <c r="P208" s="23"/>
      <c r="Q208" s="144"/>
      <c r="R208" s="137"/>
      <c r="S208" s="169">
        <f>CEILING((IF(J208="Yes", 0, IF(H208="-",AA208,AA208+AA208*VLOOKUP(H208,BUFFERS_BY_TYPE,2,FALSE)))) +
   (IF(J208="Yes", 0, IF(H208="-",AA208,AA208+AA208*VLOOKUP(H208,BUFFERS_BY_TYPE,2,FALSE))))*VLOOKUP($S$5, SALES_CALL_SCALE_ARRAY, 2,FALSE),0.25)</f>
        <v>30</v>
      </c>
      <c r="T208" s="170"/>
      <c r="U208" s="24">
        <v>0</v>
      </c>
      <c r="V208" s="24">
        <v>1</v>
      </c>
      <c r="W208" s="24">
        <v>0</v>
      </c>
      <c r="X208" s="168">
        <v>30</v>
      </c>
      <c r="Y208" s="169">
        <f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30</v>
      </c>
      <c r="Z208" s="25"/>
      <c r="AA208" s="169">
        <f>Y208+Y208*VLOOKUP(I208,EXTRAS_ARRAY,2,FALSE)</f>
        <v>30</v>
      </c>
      <c r="AB208" s="23" t="s">
        <v>445</v>
      </c>
      <c r="AC208" s="37"/>
      <c r="AD208" s="26" t="str">
        <f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s="11" customFormat="1" ht="7.5" hidden="1" customHeight="1" outlineLevel="2" x14ac:dyDescent="0.35">
      <c r="A209" s="93" t="s">
        <v>132</v>
      </c>
      <c r="B209" s="18"/>
      <c r="C209" s="78"/>
      <c r="D209" s="78"/>
      <c r="E209" s="78"/>
      <c r="F209" s="78"/>
      <c r="G209" s="10"/>
      <c r="H209" s="10"/>
      <c r="I209" s="10"/>
      <c r="J209" s="10"/>
      <c r="K209" s="10"/>
      <c r="L209" s="10"/>
      <c r="M209" s="287"/>
      <c r="N209" s="10"/>
      <c r="O209" s="10"/>
      <c r="P209" s="10"/>
      <c r="Q209" s="10"/>
      <c r="R209" s="10"/>
      <c r="S209" s="10"/>
      <c r="T209" s="18"/>
      <c r="U209" s="10"/>
      <c r="V209" s="10"/>
      <c r="W209" s="10"/>
      <c r="X209" s="18"/>
      <c r="Y209" s="10"/>
      <c r="Z209" s="10"/>
      <c r="AA209" s="10"/>
      <c r="AB209" s="60"/>
      <c r="AC209" s="60"/>
      <c r="AD209" s="12"/>
    </row>
    <row r="210" spans="1:30" s="17" customFormat="1" ht="15.5" hidden="1" outlineLevel="1" x14ac:dyDescent="0.35">
      <c r="A210" s="93" t="s">
        <v>107</v>
      </c>
      <c r="B210" s="21"/>
      <c r="C210" s="84"/>
      <c r="D210" s="84"/>
      <c r="E210" s="84"/>
      <c r="F210" s="83"/>
      <c r="G210" s="185"/>
      <c r="H210" s="185"/>
      <c r="I210" s="185"/>
      <c r="J210" s="185"/>
      <c r="K210" s="185"/>
      <c r="L210" s="92" t="s">
        <v>109</v>
      </c>
      <c r="M210" s="316" t="s">
        <v>499</v>
      </c>
      <c r="N210" s="316"/>
      <c r="O210" s="87"/>
      <c r="P210" s="88"/>
      <c r="Q210" s="88"/>
      <c r="R210" s="88"/>
      <c r="S210" s="300">
        <f>SUMGROUP(ROW(), "T")</f>
        <v>32</v>
      </c>
      <c r="T210" s="300"/>
      <c r="U210" s="309"/>
      <c r="V210" s="309"/>
      <c r="W210" s="309"/>
      <c r="X210" s="89"/>
      <c r="Y210" s="90"/>
      <c r="Z210" s="90"/>
      <c r="AA210" s="90"/>
      <c r="AB210" s="243"/>
      <c r="AC210" s="91"/>
      <c r="AD210" s="26" t="str">
        <f>IF(M210="", "Error: Module name cannot be empty.", "")</f>
        <v/>
      </c>
    </row>
    <row r="211" spans="1:30" s="17" customFormat="1" ht="15.5" hidden="1" outlineLevel="1" collapsed="1" x14ac:dyDescent="0.35">
      <c r="A211" s="93" t="s">
        <v>100</v>
      </c>
      <c r="B211" s="21"/>
      <c r="C211" s="84"/>
      <c r="D211" s="84"/>
      <c r="E211" s="84"/>
      <c r="F211" s="83"/>
      <c r="G211" s="32"/>
      <c r="H211" s="32"/>
      <c r="I211" s="32"/>
      <c r="J211" s="32"/>
      <c r="K211" s="32"/>
      <c r="L211" s="20">
        <f ca="1">LOOKUP(1000,INDIRECT("L1:"&amp;CELL("address",INDIRECT("R[-1]C",FALSE))))+1</f>
        <v>25</v>
      </c>
      <c r="M211" s="298" t="s">
        <v>499</v>
      </c>
      <c r="N211" s="298"/>
      <c r="O211" s="5"/>
      <c r="P211" s="33"/>
      <c r="Q211" s="33"/>
      <c r="R211" s="33"/>
      <c r="S211" s="33"/>
      <c r="T211" s="167">
        <f>IF($S$6="Exclude", SUMIFS(S212:S218, J212:J218, "&lt;&gt;Yes", G212:G218, "&lt;&gt;Yes"), SUMIFS(S212:S218, J212:J218, "&lt;&gt;Yes"))</f>
        <v>32</v>
      </c>
      <c r="U211" s="33"/>
      <c r="V211" s="33"/>
      <c r="W211" s="33"/>
      <c r="X211" s="34"/>
      <c r="Y211" s="35"/>
      <c r="Z211" s="35"/>
      <c r="AA211" s="35"/>
      <c r="AB211" s="240"/>
      <c r="AC211" s="36"/>
      <c r="AD211" s="26" t="str">
        <f>IF(M211="", "Error: Task name cannot be empty.", "")</f>
        <v/>
      </c>
    </row>
    <row r="212" spans="1:30" s="15" customFormat="1" ht="1.5" hidden="1" customHeight="1" outlineLevel="2" x14ac:dyDescent="0.35">
      <c r="A212" s="93" t="s">
        <v>101</v>
      </c>
      <c r="B212" s="21"/>
      <c r="C212" s="84"/>
      <c r="D212" s="84"/>
      <c r="E212" s="84"/>
      <c r="F212" s="83"/>
      <c r="G212" s="32"/>
      <c r="H212" s="32"/>
      <c r="I212" s="32"/>
      <c r="J212" s="32"/>
      <c r="K212" s="32"/>
      <c r="L212" s="175">
        <f ca="1">L211</f>
        <v>25</v>
      </c>
      <c r="M212" s="176" t="s">
        <v>105</v>
      </c>
      <c r="N212" s="173"/>
      <c r="O212" s="174"/>
      <c r="P212" s="33"/>
      <c r="Q212" s="33"/>
      <c r="R212" s="33"/>
      <c r="S212" s="33"/>
      <c r="T212" s="167"/>
      <c r="U212" s="33"/>
      <c r="V212" s="33"/>
      <c r="W212" s="33"/>
      <c r="X212" s="34"/>
      <c r="Y212" s="35"/>
      <c r="Z212" s="35"/>
      <c r="AA212" s="35"/>
      <c r="AB212" s="36"/>
      <c r="AC212" s="36"/>
      <c r="AD212" s="26"/>
    </row>
    <row r="213" spans="1:30" ht="15.5" hidden="1" outlineLevel="2" x14ac:dyDescent="0.35">
      <c r="A213" s="93" t="s">
        <v>0</v>
      </c>
      <c r="B213" s="21"/>
      <c r="C213" s="85"/>
      <c r="D213" s="85"/>
      <c r="E213" s="85"/>
      <c r="F213" s="86"/>
      <c r="G213" s="22" t="s">
        <v>23</v>
      </c>
      <c r="H213" s="22" t="s">
        <v>23</v>
      </c>
      <c r="I213" s="23" t="s">
        <v>23</v>
      </c>
      <c r="J213" s="22" t="s">
        <v>23</v>
      </c>
      <c r="K213" s="38"/>
      <c r="L213" s="22"/>
      <c r="M213" s="286" t="str">
        <f ca="1">IFERROR(OFFSET(M213,-1,,1,1)+0.1,OFFSET(M213,-1,-1,1,1)&amp;".1")</f>
        <v>25.1</v>
      </c>
      <c r="N213" s="23" t="s">
        <v>591</v>
      </c>
      <c r="O213" s="23"/>
      <c r="P213" s="23" t="s">
        <v>595</v>
      </c>
      <c r="Q213" s="144"/>
      <c r="R213" s="137">
        <v>2</v>
      </c>
      <c r="S213" s="169">
        <f>CEILING((IF(J213="Yes", 0, IF(H213="-",AA213,AA213+AA213*VLOOKUP(H213,BUFFERS_BY_TYPE,2,FALSE)))) +
   (IF(J213="Yes", 0, IF(H213="-",AA213,AA213+AA213*VLOOKUP(H213,BUFFERS_BY_TYPE,2,FALSE))))*VLOOKUP($S$5, SALES_CALL_SCALE_ARRAY, 2,FALSE),0.25)</f>
        <v>4</v>
      </c>
      <c r="T213" s="170"/>
      <c r="U213" s="24">
        <v>0</v>
      </c>
      <c r="V213" s="24">
        <v>1</v>
      </c>
      <c r="W213" s="24">
        <v>0</v>
      </c>
      <c r="X213" s="168">
        <v>4</v>
      </c>
      <c r="Y213" s="169">
        <f>CEILING((IF(P213=AS_DEV_EFFORT, DEV_EFFORT*Q213%,
                           IF(P213=AS_DURATION_EFFORT, (MANUAL_DURATION*5)*Q213%,
                                    (IF(Q213&lt;=1,X213,
                                          IF(SUM(U213:W213)=0,(Q213*X213),
                                               (((Q213*U213)*(X213+(X213*EXTRA_FOR_H)))+
                                               ((Q213*V213)*X213)+
                                               ((Q213*W213)*(X213-(X213*LESS_FOR_L)))
                                    )*IF(R213=0,1,R213))))))+Z213), 0.25)</f>
        <v>4</v>
      </c>
      <c r="Z213" s="25"/>
      <c r="AA213" s="169">
        <f>Y213+Y213*VLOOKUP(I213,EXTRAS_ARRAY,2,FALSE)</f>
        <v>4</v>
      </c>
      <c r="AB213" s="23" t="s">
        <v>601</v>
      </c>
      <c r="AC213" s="37"/>
      <c r="AD213" s="26" t="str">
        <f>IF(J213&lt;&gt;"Yes",
IF(S213&lt;=0,"Error: Effort value is not defined or is invalid.",
IF(AND(SUM(U213:W213)&gt;0,SUM(U213:W213)&lt;&gt;1),"Error: Complexity % distribution should sum to 100%.",
IF(AND(P213=AS_DEV_EFFORT,X213&lt;&gt;0),"Error: PDs should not be defined when defining as dev effort %.",
IF(AND(P213=AS_DURATION_EFFORT,X213&lt;&gt;0),"Error: PDs should not be defined when defining as duration effort %.","")))))</f>
        <v/>
      </c>
    </row>
    <row r="214" spans="1:30" ht="43.5" hidden="1" outlineLevel="2" x14ac:dyDescent="0.35">
      <c r="A214" s="93" t="s">
        <v>0</v>
      </c>
      <c r="B214" s="21"/>
      <c r="C214" s="85"/>
      <c r="D214" s="85"/>
      <c r="E214" s="85"/>
      <c r="F214" s="86"/>
      <c r="G214" s="22" t="s">
        <v>23</v>
      </c>
      <c r="H214" s="22" t="s">
        <v>23</v>
      </c>
      <c r="I214" s="23" t="s">
        <v>23</v>
      </c>
      <c r="J214" s="22" t="s">
        <v>23</v>
      </c>
      <c r="K214" s="38" t="s">
        <v>543</v>
      </c>
      <c r="L214" s="22"/>
      <c r="M214" s="286">
        <f ca="1">IFERROR(OFFSET(M214,-1,,1,1)+0.1,OFFSET(M214,-1,-1,1,1)&amp;".1")</f>
        <v>25.200000000000003</v>
      </c>
      <c r="N214" s="23" t="s">
        <v>592</v>
      </c>
      <c r="O214" s="23"/>
      <c r="P214" s="23" t="s">
        <v>596</v>
      </c>
      <c r="Q214" s="144"/>
      <c r="R214" s="137">
        <v>15</v>
      </c>
      <c r="S214" s="169">
        <f>CEILING((IF(J214="Yes", 0, IF(H214="-",AA214,AA214+AA214*VLOOKUP(H214,BUFFERS_BY_TYPE,2,FALSE)))) +
   (IF(J214="Yes", 0, IF(H214="-",AA214,AA214+AA214*VLOOKUP(H214,BUFFERS_BY_TYPE,2,FALSE))))*VLOOKUP($S$5, SALES_CALL_SCALE_ARRAY, 2,FALSE),0.25)</f>
        <v>10</v>
      </c>
      <c r="T214" s="170"/>
      <c r="U214" s="24">
        <v>0</v>
      </c>
      <c r="V214" s="24">
        <v>1</v>
      </c>
      <c r="W214" s="24">
        <v>0</v>
      </c>
      <c r="X214" s="168">
        <v>10</v>
      </c>
      <c r="Y214" s="169">
        <f>CEILING((IF(P214=AS_DEV_EFFORT, DEV_EFFORT*Q214%,
                           IF(P214=AS_DURATION_EFFORT, (MANUAL_DURATION*5)*Q214%,
                                    (IF(Q214&lt;=1,X214,
                                          IF(SUM(U214:W214)=0,(Q214*X214),
                                               (((Q214*U214)*(X214+(X214*EXTRA_FOR_H)))+
                                               ((Q214*V214)*X214)+
                                               ((Q214*W214)*(X214-(X214*LESS_FOR_L)))
                                    )*IF(R214=0,1,R214))))))+Z214), 0.25)</f>
        <v>10</v>
      </c>
      <c r="Z214" s="25"/>
      <c r="AA214" s="169">
        <f>Y214+Y214*VLOOKUP(I214,EXTRAS_ARRAY,2,FALSE)</f>
        <v>10</v>
      </c>
      <c r="AB214" s="23" t="s">
        <v>600</v>
      </c>
      <c r="AC214" s="37"/>
      <c r="AD214" s="26" t="str">
        <f>IF(J214&lt;&gt;"Yes",
IF(S214&lt;=0,"Error: Effort value is not defined or is invalid.",
IF(AND(SUM(U214:W214)&gt;0,SUM(U214:W214)&lt;&gt;1),"Error: Complexity % distribution should sum to 100%.",
IF(AND(P214=AS_DEV_EFFORT,X214&lt;&gt;0),"Error: PDs should not be defined when defining as dev effort %.",
IF(AND(P214=AS_DURATION_EFFORT,X214&lt;&gt;0),"Error: PDs should not be defined when defining as duration effort %.","")))))</f>
        <v/>
      </c>
    </row>
    <row r="215" spans="1:30" ht="15.5" hidden="1" outlineLevel="2" x14ac:dyDescent="0.35">
      <c r="A215" s="93" t="s">
        <v>0</v>
      </c>
      <c r="B215" s="21"/>
      <c r="C215" s="85"/>
      <c r="D215" s="85"/>
      <c r="E215" s="85"/>
      <c r="F215" s="86"/>
      <c r="G215" s="22" t="s">
        <v>23</v>
      </c>
      <c r="H215" s="22" t="s">
        <v>23</v>
      </c>
      <c r="I215" s="23" t="s">
        <v>23</v>
      </c>
      <c r="J215" s="22" t="s">
        <v>23</v>
      </c>
      <c r="K215" s="38"/>
      <c r="L215" s="22"/>
      <c r="M215" s="286">
        <f ca="1">IFERROR(OFFSET(M215,-1,,1,1)+0.1,OFFSET(M215,-1,-1,1,1)&amp;".1")</f>
        <v>25.300000000000004</v>
      </c>
      <c r="N215" s="23" t="s">
        <v>593</v>
      </c>
      <c r="O215" s="23"/>
      <c r="P215" s="23" t="s">
        <v>596</v>
      </c>
      <c r="Q215" s="144"/>
      <c r="R215" s="137">
        <v>15</v>
      </c>
      <c r="S215" s="169">
        <f>CEILING((IF(J215="Yes", 0, IF(H215="-",AA215,AA215+AA215*VLOOKUP(H215,BUFFERS_BY_TYPE,2,FALSE)))) +
   (IF(J215="Yes", 0, IF(H215="-",AA215,AA215+AA215*VLOOKUP(H215,BUFFERS_BY_TYPE,2,FALSE))))*VLOOKUP($S$5, SALES_CALL_SCALE_ARRAY, 2,FALSE),0.25)</f>
        <v>5</v>
      </c>
      <c r="T215" s="170"/>
      <c r="U215" s="24">
        <v>0</v>
      </c>
      <c r="V215" s="24">
        <v>1</v>
      </c>
      <c r="W215" s="24">
        <v>0</v>
      </c>
      <c r="X215" s="168">
        <v>5</v>
      </c>
      <c r="Y215" s="169">
        <f>CEILING((IF(P215=AS_DEV_EFFORT, DEV_EFFORT*Q215%,
                           IF(P215=AS_DURATION_EFFORT, (MANUAL_DURATION*5)*Q215%,
                                    (IF(Q215&lt;=1,X215,
                                          IF(SUM(U215:W215)=0,(Q215*X215),
                                               (((Q215*U215)*(X215+(X215*EXTRA_FOR_H)))+
                                               ((Q215*V215)*X215)+
                                               ((Q215*W215)*(X215-(X215*LESS_FOR_L)))
                                    )*IF(R215=0,1,R215))))))+Z215), 0.25)</f>
        <v>5</v>
      </c>
      <c r="Z215" s="25"/>
      <c r="AA215" s="169">
        <f>Y215+Y215*VLOOKUP(I215,EXTRAS_ARRAY,2,FALSE)</f>
        <v>5</v>
      </c>
      <c r="AB215" s="23"/>
      <c r="AC215" s="37"/>
      <c r="AD215" s="26" t="str">
        <f>IF(J215&lt;&gt;"Yes",
IF(S215&lt;=0,"Error: Effort value is not defined or is invalid.",
IF(AND(SUM(U215:W215)&gt;0,SUM(U215:W215)&lt;&gt;1),"Error: Complexity % distribution should sum to 100%.",
IF(AND(P215=AS_DEV_EFFORT,X215&lt;&gt;0),"Error: PDs should not be defined when defining as dev effort %.",
IF(AND(P215=AS_DURATION_EFFORT,X215&lt;&gt;0),"Error: PDs should not be defined when defining as duration effort %.","")))))</f>
        <v/>
      </c>
    </row>
    <row r="216" spans="1:30" ht="15.5" hidden="1" outlineLevel="2" x14ac:dyDescent="0.35">
      <c r="A216" s="93" t="s">
        <v>0</v>
      </c>
      <c r="B216" s="21"/>
      <c r="C216" s="85"/>
      <c r="D216" s="85"/>
      <c r="E216" s="85"/>
      <c r="F216" s="86"/>
      <c r="G216" s="22" t="s">
        <v>23</v>
      </c>
      <c r="H216" s="22" t="s">
        <v>23</v>
      </c>
      <c r="I216" s="23" t="s">
        <v>23</v>
      </c>
      <c r="J216" s="22" t="s">
        <v>23</v>
      </c>
      <c r="K216" s="38"/>
      <c r="L216" s="22"/>
      <c r="M216" s="286">
        <f ca="1">IFERROR(OFFSET(M216,-1,,1,1)+0.1,OFFSET(M216,-1,-1,1,1)&amp;".1")</f>
        <v>25.400000000000006</v>
      </c>
      <c r="N216" s="23" t="s">
        <v>597</v>
      </c>
      <c r="O216" s="23"/>
      <c r="P216" s="23"/>
      <c r="Q216" s="144"/>
      <c r="R216" s="137"/>
      <c r="S216" s="169">
        <f>CEILING((IF(J216="Yes", 0, IF(H216="-",AA216,AA216+AA216*VLOOKUP(H216,BUFFERS_BY_TYPE,2,FALSE)))) +
   (IF(J216="Yes", 0, IF(H216="-",AA216,AA216+AA216*VLOOKUP(H216,BUFFERS_BY_TYPE,2,FALSE))))*VLOOKUP($S$5, SALES_CALL_SCALE_ARRAY, 2,FALSE),0.25)</f>
        <v>10</v>
      </c>
      <c r="T216" s="170"/>
      <c r="U216" s="24">
        <v>0</v>
      </c>
      <c r="V216" s="24">
        <v>1</v>
      </c>
      <c r="W216" s="24">
        <v>0</v>
      </c>
      <c r="X216" s="168">
        <v>10</v>
      </c>
      <c r="Y216" s="169">
        <f>CEILING((IF(P216=AS_DEV_EFFORT, DEV_EFFORT*Q216%,
                           IF(P216=AS_DURATION_EFFORT, (MANUAL_DURATION*5)*Q216%,
                                    (IF(Q216&lt;=1,X216,
                                          IF(SUM(U216:W216)=0,(Q216*X216),
                                               (((Q216*U216)*(X216+(X216*EXTRA_FOR_H)))+
                                               ((Q216*V216)*X216)+
                                               ((Q216*W216)*(X216-(X216*LESS_FOR_L)))
                                    )*IF(R216=0,1,R216))))))+Z216), 0.25)</f>
        <v>10</v>
      </c>
      <c r="Z216" s="25"/>
      <c r="AA216" s="169">
        <f>Y216+Y216*VLOOKUP(I216,EXTRAS_ARRAY,2,FALSE)</f>
        <v>10</v>
      </c>
      <c r="AB216" s="23"/>
      <c r="AC216" s="37"/>
      <c r="AD216" s="26" t="str">
        <f>IF(J216&lt;&gt;"Yes",
IF(S216&lt;=0,"Error: Effort value is not defined or is invalid.",
IF(AND(SUM(U216:W216)&gt;0,SUM(U216:W216)&lt;&gt;1),"Error: Complexity % distribution should sum to 100%.",
IF(AND(P216=AS_DEV_EFFORT,X216&lt;&gt;0),"Error: PDs should not be defined when defining as dev effort %.",
IF(AND(P216=AS_DURATION_EFFORT,X216&lt;&gt;0),"Error: PDs should not be defined when defining as duration effort %.","")))))</f>
        <v/>
      </c>
    </row>
    <row r="217" spans="1:30" ht="58" hidden="1" outlineLevel="2" x14ac:dyDescent="0.35">
      <c r="A217" s="93" t="s">
        <v>0</v>
      </c>
      <c r="B217" s="21"/>
      <c r="C217" s="85"/>
      <c r="D217" s="85"/>
      <c r="E217" s="85"/>
      <c r="F217" s="86"/>
      <c r="G217" s="22" t="s">
        <v>23</v>
      </c>
      <c r="H217" s="22" t="s">
        <v>23</v>
      </c>
      <c r="I217" s="23" t="s">
        <v>23</v>
      </c>
      <c r="J217" s="22" t="s">
        <v>23</v>
      </c>
      <c r="K217" s="38"/>
      <c r="L217" s="22"/>
      <c r="M217" s="286">
        <f ca="1">IFERROR(OFFSET(M217,-1,,1,1)+0.1,OFFSET(M217,-1,-1,1,1)&amp;".1")</f>
        <v>25.500000000000007</v>
      </c>
      <c r="N217" s="23" t="s">
        <v>594</v>
      </c>
      <c r="O217" s="23"/>
      <c r="P217" s="23" t="s">
        <v>598</v>
      </c>
      <c r="Q217" s="144"/>
      <c r="R217" s="137">
        <v>5</v>
      </c>
      <c r="S217" s="169">
        <f>CEILING((IF(J217="Yes", 0, IF(H217="-",AA217,AA217+AA217*VLOOKUP(H217,BUFFERS_BY_TYPE,2,FALSE)))) +
   (IF(J217="Yes", 0, IF(H217="-",AA217,AA217+AA217*VLOOKUP(H217,BUFFERS_BY_TYPE,2,FALSE))))*VLOOKUP($S$5, SALES_CALL_SCALE_ARRAY, 2,FALSE),0.25)</f>
        <v>3</v>
      </c>
      <c r="T217" s="170"/>
      <c r="U217" s="24">
        <v>0</v>
      </c>
      <c r="V217" s="24">
        <v>1</v>
      </c>
      <c r="W217" s="24">
        <v>0</v>
      </c>
      <c r="X217" s="168">
        <v>3</v>
      </c>
      <c r="Y217" s="169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3</v>
      </c>
      <c r="Z217" s="25"/>
      <c r="AA217" s="169">
        <f>Y217+Y217*VLOOKUP(I217,EXTRAS_ARRAY,2,FALSE)</f>
        <v>3</v>
      </c>
      <c r="AB217" s="23" t="s">
        <v>599</v>
      </c>
      <c r="AC217" s="37"/>
      <c r="AD217" s="26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s="11" customFormat="1" ht="7.5" hidden="1" customHeight="1" outlineLevel="2" x14ac:dyDescent="0.35">
      <c r="A218" s="93" t="s">
        <v>132</v>
      </c>
      <c r="B218" s="18"/>
      <c r="C218" s="78"/>
      <c r="D218" s="78"/>
      <c r="E218" s="78"/>
      <c r="F218" s="78"/>
      <c r="G218" s="10"/>
      <c r="H218" s="10"/>
      <c r="I218" s="10"/>
      <c r="J218" s="10"/>
      <c r="K218" s="10"/>
      <c r="L218" s="10"/>
      <c r="M218" s="287"/>
      <c r="N218" s="10"/>
      <c r="O218" s="10"/>
      <c r="P218" s="10"/>
      <c r="Q218" s="10"/>
      <c r="R218" s="10"/>
      <c r="S218" s="10"/>
      <c r="T218" s="18"/>
      <c r="U218" s="10"/>
      <c r="V218" s="10"/>
      <c r="W218" s="10"/>
      <c r="X218" s="18"/>
      <c r="Y218" s="10"/>
      <c r="Z218" s="10"/>
      <c r="AA218" s="10"/>
      <c r="AB218" s="60"/>
      <c r="AC218" s="60"/>
      <c r="AD218" s="12"/>
    </row>
    <row r="219" spans="1:30" s="11" customFormat="1" ht="3" hidden="1" customHeight="1" outlineLevel="1" x14ac:dyDescent="0.35">
      <c r="A219" s="93" t="s">
        <v>102</v>
      </c>
      <c r="B219" s="10"/>
      <c r="C219" s="78"/>
      <c r="D219" s="78"/>
      <c r="E219" s="78"/>
      <c r="F219" s="78"/>
      <c r="G219" s="59"/>
      <c r="H219" s="59"/>
      <c r="I219" s="59"/>
      <c r="J219" s="59"/>
      <c r="K219" s="59"/>
      <c r="L219" s="61"/>
      <c r="M219" s="288"/>
      <c r="N219" s="62"/>
      <c r="O219" s="62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2"/>
      <c r="AC219" s="62"/>
      <c r="AD219" s="12"/>
    </row>
    <row r="220" spans="1:30" s="17" customFormat="1" ht="18.5" collapsed="1" x14ac:dyDescent="0.35">
      <c r="A220" s="93" t="s">
        <v>98</v>
      </c>
      <c r="B220" s="14"/>
      <c r="C220" s="79"/>
      <c r="D220" s="79"/>
      <c r="E220" s="79"/>
      <c r="F220" s="78"/>
      <c r="G220" s="55"/>
      <c r="H220" s="55"/>
      <c r="I220" s="55"/>
      <c r="J220" s="55"/>
      <c r="K220" s="55"/>
      <c r="L220" s="55" t="s">
        <v>70</v>
      </c>
      <c r="M220" s="284" t="s">
        <v>74</v>
      </c>
      <c r="N220" s="56"/>
      <c r="O220" s="57"/>
      <c r="P220" s="58"/>
      <c r="Q220" s="58"/>
      <c r="R220" s="58"/>
      <c r="S220" s="299">
        <f>CEILING(SUMIF(J221:J254, "&lt;&gt;Yes", T221:T254),1)</f>
        <v>297</v>
      </c>
      <c r="T220" s="299"/>
      <c r="U220" s="58"/>
      <c r="V220" s="58"/>
      <c r="W220" s="58"/>
      <c r="X220" s="58"/>
      <c r="Y220" s="58"/>
      <c r="Z220" s="58"/>
      <c r="AA220" s="58"/>
      <c r="AB220" s="58"/>
      <c r="AC220" s="58"/>
      <c r="AD220" s="16"/>
    </row>
    <row r="221" spans="1:30" s="11" customFormat="1" ht="3" hidden="1" customHeight="1" outlineLevel="1" x14ac:dyDescent="0.35">
      <c r="A221" s="93" t="s">
        <v>99</v>
      </c>
      <c r="B221" s="18"/>
      <c r="C221" s="78"/>
      <c r="D221" s="78"/>
      <c r="E221" s="78"/>
      <c r="F221" s="78"/>
      <c r="G221" s="28"/>
      <c r="H221" s="28"/>
      <c r="I221" s="28"/>
      <c r="J221" s="28"/>
      <c r="K221" s="28"/>
      <c r="L221" s="29">
        <v>0</v>
      </c>
      <c r="M221" s="285"/>
      <c r="N221" s="28"/>
      <c r="O221" s="28"/>
      <c r="P221" s="28"/>
      <c r="Q221" s="28"/>
      <c r="R221" s="28"/>
      <c r="S221" s="28"/>
      <c r="T221" s="30"/>
      <c r="U221" s="28"/>
      <c r="V221" s="28"/>
      <c r="W221" s="28"/>
      <c r="X221" s="30"/>
      <c r="Y221" s="28"/>
      <c r="Z221" s="28"/>
      <c r="AA221" s="28"/>
      <c r="AB221" s="31"/>
      <c r="AC221" s="31"/>
      <c r="AD221" s="12"/>
    </row>
    <row r="222" spans="1:30" s="17" customFormat="1" ht="15.5" hidden="1" outlineLevel="1" x14ac:dyDescent="0.35">
      <c r="A222" s="93" t="s">
        <v>107</v>
      </c>
      <c r="B222" s="21"/>
      <c r="C222" s="84"/>
      <c r="D222" s="84"/>
      <c r="E222" s="84"/>
      <c r="F222" s="83"/>
      <c r="G222" s="185"/>
      <c r="H222" s="185"/>
      <c r="I222" s="185"/>
      <c r="J222" s="185"/>
      <c r="K222" s="185"/>
      <c r="L222" s="92" t="s">
        <v>109</v>
      </c>
      <c r="M222" s="316" t="s">
        <v>544</v>
      </c>
      <c r="N222" s="316"/>
      <c r="O222" s="87"/>
      <c r="P222" s="88"/>
      <c r="Q222" s="88"/>
      <c r="R222" s="88"/>
      <c r="S222" s="300">
        <f>SUMGROUP(ROW(), "T")</f>
        <v>22.5</v>
      </c>
      <c r="T222" s="300"/>
      <c r="U222" s="309"/>
      <c r="V222" s="309"/>
      <c r="W222" s="309"/>
      <c r="X222" s="89"/>
      <c r="Y222" s="90"/>
      <c r="Z222" s="90"/>
      <c r="AA222" s="90"/>
      <c r="AB222" s="243"/>
      <c r="AC222" s="91"/>
      <c r="AD222" s="26" t="str">
        <f>IF(M222="", "Error: Module name cannot be empty.", "")</f>
        <v/>
      </c>
    </row>
    <row r="223" spans="1:30" s="17" customFormat="1" ht="15.5" hidden="1" outlineLevel="1" collapsed="1" x14ac:dyDescent="0.35">
      <c r="A223" s="93" t="s">
        <v>100</v>
      </c>
      <c r="B223" s="21"/>
      <c r="C223" s="84"/>
      <c r="D223" s="84"/>
      <c r="E223" s="84"/>
      <c r="F223" s="83"/>
      <c r="G223" s="32"/>
      <c r="H223" s="32"/>
      <c r="I223" s="32"/>
      <c r="J223" s="32"/>
      <c r="K223" s="32"/>
      <c r="L223" s="20">
        <f ca="1">LOOKUP(1000,INDIRECT("L1:"&amp;CELL("address",INDIRECT("R[-1]C",FALSE))))+1</f>
        <v>1</v>
      </c>
      <c r="M223" s="298" t="s">
        <v>545</v>
      </c>
      <c r="N223" s="298"/>
      <c r="O223" s="5"/>
      <c r="P223" s="33"/>
      <c r="Q223" s="33"/>
      <c r="R223" s="33"/>
      <c r="S223" s="33"/>
      <c r="T223" s="167">
        <f>IF($S$6="Exclude", SUMIFS(S224:S227, J224:J227, "&lt;&gt;Yes", G224:G227, "&lt;&gt;Yes"), SUMIFS(S224:S227, J224:J227, "&lt;&gt;Yes"))</f>
        <v>22.5</v>
      </c>
      <c r="U223" s="33"/>
      <c r="V223" s="33"/>
      <c r="W223" s="33"/>
      <c r="X223" s="34"/>
      <c r="Y223" s="35"/>
      <c r="Z223" s="35"/>
      <c r="AA223" s="35"/>
      <c r="AB223" s="240"/>
      <c r="AC223" s="36"/>
      <c r="AD223" s="26" t="str">
        <f>IF(M223="", "Error: Task name cannot be empty.", "")</f>
        <v/>
      </c>
    </row>
    <row r="224" spans="1:30" s="15" customFormat="1" ht="1.5" hidden="1" customHeight="1" outlineLevel="2" x14ac:dyDescent="0.35">
      <c r="A224" s="93" t="s">
        <v>101</v>
      </c>
      <c r="B224" s="21"/>
      <c r="C224" s="84"/>
      <c r="D224" s="84"/>
      <c r="E224" s="84"/>
      <c r="F224" s="83"/>
      <c r="G224" s="32"/>
      <c r="H224" s="32"/>
      <c r="I224" s="32"/>
      <c r="J224" s="32"/>
      <c r="K224" s="32"/>
      <c r="L224" s="175">
        <f ca="1">L223</f>
        <v>1</v>
      </c>
      <c r="M224" s="176" t="s">
        <v>105</v>
      </c>
      <c r="N224" s="173"/>
      <c r="O224" s="174"/>
      <c r="P224" s="33"/>
      <c r="Q224" s="33"/>
      <c r="R224" s="33"/>
      <c r="S224" s="33"/>
      <c r="T224" s="167"/>
      <c r="U224" s="33"/>
      <c r="V224" s="33"/>
      <c r="W224" s="33"/>
      <c r="X224" s="34"/>
      <c r="Y224" s="35"/>
      <c r="Z224" s="35"/>
      <c r="AA224" s="35"/>
      <c r="AB224" s="36"/>
      <c r="AC224" s="36"/>
      <c r="AD224" s="26"/>
    </row>
    <row r="225" spans="1:30" ht="15.5" hidden="1" outlineLevel="2" x14ac:dyDescent="0.35">
      <c r="A225" s="93" t="s">
        <v>0</v>
      </c>
      <c r="B225" s="21"/>
      <c r="C225" s="85"/>
      <c r="D225" s="85"/>
      <c r="E225" s="85"/>
      <c r="F225" s="86"/>
      <c r="G225" s="22" t="s">
        <v>23</v>
      </c>
      <c r="H225" s="22" t="s">
        <v>23</v>
      </c>
      <c r="I225" s="23" t="s">
        <v>23</v>
      </c>
      <c r="J225" s="22" t="s">
        <v>23</v>
      </c>
      <c r="K225" s="38"/>
      <c r="L225" s="22"/>
      <c r="M225" s="286" t="str">
        <f ca="1">IFERROR(OFFSET(M225,-1,,1,1)+0.1,OFFSET(M225,-1,-1,1,1)&amp;".1")</f>
        <v>1.1</v>
      </c>
      <c r="N225" s="23" t="s">
        <v>546</v>
      </c>
      <c r="O225" s="23"/>
      <c r="P225" s="23"/>
      <c r="Q225" s="144"/>
      <c r="R225" s="137"/>
      <c r="S225" s="169">
        <f>CEILING((IF(J225="Yes", 0, IF(H225="-",AA225,AA225+AA225*VLOOKUP(H225,BUFFERS_BY_TYPE,2,FALSE)))) +
   (IF(J225="Yes", 0, IF(H225="-",AA225,AA225+AA225*VLOOKUP(H225,BUFFERS_BY_TYPE,2,FALSE))))*VLOOKUP($S$5, SALES_CALL_SCALE_ARRAY, 2,FALSE),0.25)</f>
        <v>15</v>
      </c>
      <c r="T225" s="170"/>
      <c r="U225" s="24">
        <v>0</v>
      </c>
      <c r="V225" s="24">
        <v>1</v>
      </c>
      <c r="W225" s="24">
        <v>0</v>
      </c>
      <c r="X225" s="168">
        <v>15</v>
      </c>
      <c r="Y225" s="169">
        <f>CEILING((IF(P225=AS_DEV_EFFORT, DEV_EFFORT*Q225%,
                           IF(P225=AS_DURATION_EFFORT, (MANUAL_DURATION*5)*Q225%,
                                    (IF(Q225&lt;=1,X225,
                                          IF(SUM(U225:W225)=0,(Q225*X225),
                                               (((Q225*U225)*(X225+(X225*EXTRA_FOR_H)))+
                                               ((Q225*V225)*X225)+
                                               ((Q225*W225)*(X225-(X225*LESS_FOR_L)))
                                    )*IF(R225=0,1,R225))))))+Z225), 0.25)</f>
        <v>15</v>
      </c>
      <c r="Z225" s="25"/>
      <c r="AA225" s="169">
        <f>Y225+Y225*VLOOKUP(I225,EXTRAS_ARRAY,2,FALSE)</f>
        <v>15</v>
      </c>
      <c r="AB225" s="23"/>
      <c r="AC225" s="37"/>
      <c r="AD225" s="26" t="str">
        <f>IF(J225&lt;&gt;"Yes",
IF(S225&lt;=0,"Error: Effort value is not defined or is invalid.",
IF(AND(SUM(U225:W225)&gt;0,SUM(U225:W225)&lt;&gt;1),"Error: Complexity % distribution should sum to 100%.",
IF(AND(P225=AS_DEV_EFFORT,X225&lt;&gt;0),"Error: PDs should not be defined when defining as dev effort %.",
IF(AND(P225=AS_DURATION_EFFORT,X225&lt;&gt;0),"Error: PDs should not be defined when defining as duration effort %.","")))))</f>
        <v/>
      </c>
    </row>
    <row r="226" spans="1:30" ht="29" hidden="1" outlineLevel="2" x14ac:dyDescent="0.35">
      <c r="A226" s="93" t="s">
        <v>0</v>
      </c>
      <c r="B226" s="21"/>
      <c r="C226" s="85"/>
      <c r="D226" s="85"/>
      <c r="E226" s="85"/>
      <c r="F226" s="86"/>
      <c r="G226" s="22" t="s">
        <v>23</v>
      </c>
      <c r="H226" s="22" t="s">
        <v>23</v>
      </c>
      <c r="I226" s="23" t="s">
        <v>23</v>
      </c>
      <c r="J226" s="22" t="s">
        <v>23</v>
      </c>
      <c r="K226" s="38"/>
      <c r="L226" s="22"/>
      <c r="M226" s="286">
        <f ca="1">IFERROR(OFFSET(M226,-1,,1,1)+0.1,OFFSET(M226,-1,-1,1,1)&amp;".1")</f>
        <v>1.2000000000000002</v>
      </c>
      <c r="N226" s="23" t="s">
        <v>547</v>
      </c>
      <c r="O226" s="23"/>
      <c r="P226" s="23" t="s">
        <v>548</v>
      </c>
      <c r="Q226" s="144">
        <v>50</v>
      </c>
      <c r="R226" s="137"/>
      <c r="S226" s="169">
        <f>CEILING((IF(J226="Yes", 0, IF(H226="-",AA226,AA226+AA226*VLOOKUP(H226,BUFFERS_BY_TYPE,2,FALSE)))) +
   (IF(J226="Yes", 0, IF(H226="-",AA226,AA226+AA226*VLOOKUP(H226,BUFFERS_BY_TYPE,2,FALSE))))*VLOOKUP($S$5, SALES_CALL_SCALE_ARRAY, 2,FALSE),0.25)</f>
        <v>7.5</v>
      </c>
      <c r="T226" s="170"/>
      <c r="U226" s="24">
        <v>0</v>
      </c>
      <c r="V226" s="24">
        <v>1</v>
      </c>
      <c r="W226" s="24">
        <v>0</v>
      </c>
      <c r="X226" s="168">
        <v>0.15</v>
      </c>
      <c r="Y226" s="169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7.5</v>
      </c>
      <c r="Z226" s="25"/>
      <c r="AA226" s="169">
        <f>Y226+Y226*VLOOKUP(I226,EXTRAS_ARRAY,2,FALSE)</f>
        <v>7.5</v>
      </c>
      <c r="AB226" s="23"/>
      <c r="AC226" s="37"/>
      <c r="AD226" s="26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s="11" customFormat="1" ht="7.5" hidden="1" customHeight="1" outlineLevel="2" x14ac:dyDescent="0.35">
      <c r="A227" s="93" t="s">
        <v>132</v>
      </c>
      <c r="B227" s="18"/>
      <c r="C227" s="78"/>
      <c r="D227" s="78"/>
      <c r="E227" s="78"/>
      <c r="F227" s="78"/>
      <c r="G227" s="10"/>
      <c r="H227" s="10"/>
      <c r="I227" s="10"/>
      <c r="J227" s="10"/>
      <c r="K227" s="10"/>
      <c r="L227" s="10"/>
      <c r="M227" s="287"/>
      <c r="N227" s="10"/>
      <c r="O227" s="10"/>
      <c r="P227" s="10"/>
      <c r="Q227" s="10"/>
      <c r="R227" s="10"/>
      <c r="S227" s="10"/>
      <c r="T227" s="18"/>
      <c r="U227" s="10"/>
      <c r="V227" s="10"/>
      <c r="W227" s="10"/>
      <c r="X227" s="18"/>
      <c r="Y227" s="10"/>
      <c r="Z227" s="10"/>
      <c r="AA227" s="10"/>
      <c r="AB227" s="60"/>
      <c r="AC227" s="60"/>
      <c r="AD227" s="12"/>
    </row>
    <row r="228" spans="1:30" s="17" customFormat="1" ht="15.5" hidden="1" outlineLevel="1" x14ac:dyDescent="0.35">
      <c r="A228" s="93" t="s">
        <v>107</v>
      </c>
      <c r="B228" s="21"/>
      <c r="C228" s="84"/>
      <c r="D228" s="84"/>
      <c r="E228" s="84"/>
      <c r="F228" s="83"/>
      <c r="G228" s="185"/>
      <c r="H228" s="185"/>
      <c r="I228" s="185"/>
      <c r="J228" s="185"/>
      <c r="K228" s="185"/>
      <c r="L228" s="92" t="s">
        <v>109</v>
      </c>
      <c r="M228" s="316" t="s">
        <v>549</v>
      </c>
      <c r="N228" s="316"/>
      <c r="O228" s="87"/>
      <c r="P228" s="88"/>
      <c r="Q228" s="88"/>
      <c r="R228" s="88"/>
      <c r="S228" s="300">
        <f>SUMGROUP(ROW(), "T")</f>
        <v>273.75</v>
      </c>
      <c r="T228" s="300"/>
      <c r="U228" s="309"/>
      <c r="V228" s="309"/>
      <c r="W228" s="309"/>
      <c r="X228" s="89"/>
      <c r="Y228" s="90"/>
      <c r="Z228" s="90"/>
      <c r="AA228" s="90"/>
      <c r="AB228" s="243"/>
      <c r="AC228" s="91"/>
      <c r="AD228" s="26" t="str">
        <f>IF(M228="", "Error: Module name cannot be empty.", "")</f>
        <v/>
      </c>
    </row>
    <row r="229" spans="1:30" s="17" customFormat="1" ht="15.5" hidden="1" outlineLevel="1" collapsed="1" x14ac:dyDescent="0.35">
      <c r="A229" s="93" t="s">
        <v>100</v>
      </c>
      <c r="B229" s="21"/>
      <c r="C229" s="84"/>
      <c r="D229" s="84"/>
      <c r="E229" s="84"/>
      <c r="F229" s="83"/>
      <c r="G229" s="32"/>
      <c r="H229" s="32"/>
      <c r="I229" s="32"/>
      <c r="J229" s="32"/>
      <c r="K229" s="32"/>
      <c r="L229" s="20">
        <f ca="1">LOOKUP(1000,INDIRECT("L1:"&amp;CELL("address",INDIRECT("R[-1]C",FALSE))))+1</f>
        <v>2</v>
      </c>
      <c r="M229" s="298" t="s">
        <v>464</v>
      </c>
      <c r="N229" s="298"/>
      <c r="O229" s="5"/>
      <c r="P229" s="33"/>
      <c r="Q229" s="33"/>
      <c r="R229" s="33"/>
      <c r="S229" s="33"/>
      <c r="T229" s="167">
        <f>IF($S$6="Exclude", SUMIFS(S230:S235, J230:J235, "&lt;&gt;Yes", G230:G235, "&lt;&gt;Yes"), SUMIFS(S230:S235, J230:J235, "&lt;&gt;Yes"))</f>
        <v>171</v>
      </c>
      <c r="U229" s="33"/>
      <c r="V229" s="33"/>
      <c r="W229" s="33"/>
      <c r="X229" s="34"/>
      <c r="Y229" s="35"/>
      <c r="Z229" s="35"/>
      <c r="AA229" s="35"/>
      <c r="AB229" s="240"/>
      <c r="AC229" s="36"/>
      <c r="AD229" s="26" t="str">
        <f>IF(M229="", "Error: Task name cannot be empty.", "")</f>
        <v/>
      </c>
    </row>
    <row r="230" spans="1:30" s="15" customFormat="1" ht="1.5" hidden="1" customHeight="1" outlineLevel="2" x14ac:dyDescent="0.35">
      <c r="A230" s="93" t="s">
        <v>101</v>
      </c>
      <c r="B230" s="21"/>
      <c r="C230" s="84"/>
      <c r="D230" s="84"/>
      <c r="E230" s="84"/>
      <c r="F230" s="83"/>
      <c r="G230" s="32"/>
      <c r="H230" s="32"/>
      <c r="I230" s="32"/>
      <c r="J230" s="32"/>
      <c r="K230" s="32"/>
      <c r="L230" s="175">
        <f ca="1">L229</f>
        <v>2</v>
      </c>
      <c r="M230" s="176" t="s">
        <v>105</v>
      </c>
      <c r="N230" s="173"/>
      <c r="O230" s="174"/>
      <c r="P230" s="33"/>
      <c r="Q230" s="33"/>
      <c r="R230" s="33"/>
      <c r="S230" s="33"/>
      <c r="T230" s="167"/>
      <c r="U230" s="33"/>
      <c r="V230" s="33"/>
      <c r="W230" s="33"/>
      <c r="X230" s="34"/>
      <c r="Y230" s="35"/>
      <c r="Z230" s="35"/>
      <c r="AA230" s="35"/>
      <c r="AB230" s="36"/>
      <c r="AC230" s="36"/>
      <c r="AD230" s="26"/>
    </row>
    <row r="231" spans="1:30" ht="29" hidden="1" outlineLevel="2" x14ac:dyDescent="0.35">
      <c r="A231" s="93" t="s">
        <v>0</v>
      </c>
      <c r="B231" s="21"/>
      <c r="C231" s="85"/>
      <c r="D231" s="85"/>
      <c r="E231" s="85"/>
      <c r="F231" s="86"/>
      <c r="G231" s="22" t="s">
        <v>23</v>
      </c>
      <c r="H231" s="22" t="s">
        <v>23</v>
      </c>
      <c r="I231" s="23" t="s">
        <v>23</v>
      </c>
      <c r="J231" s="22" t="s">
        <v>23</v>
      </c>
      <c r="K231" s="38"/>
      <c r="L231" s="22"/>
      <c r="M231" s="286" t="str">
        <f ca="1">IFERROR(OFFSET(M231,-1,,1,1)+0.1,OFFSET(M231,-1,-1,1,1)&amp;".1")</f>
        <v>2.1</v>
      </c>
      <c r="N231" s="23" t="s">
        <v>472</v>
      </c>
      <c r="O231" s="23" t="s">
        <v>602</v>
      </c>
      <c r="P231" s="23"/>
      <c r="Q231" s="144"/>
      <c r="R231" s="137">
        <v>2</v>
      </c>
      <c r="S231" s="169">
        <f>CEILING((IF(J231="Yes", 0, IF(H231="-",AA231,AA231+AA231*VLOOKUP(H231,BUFFERS_BY_TYPE,2,FALSE)))) +
   (IF(J231="Yes", 0, IF(H231="-",AA231,AA231+AA231*VLOOKUP(H231,BUFFERS_BY_TYPE,2,FALSE))))*VLOOKUP($S$5, SALES_CALL_SCALE_ARRAY, 2,FALSE),0.25)</f>
        <v>7</v>
      </c>
      <c r="T231" s="170"/>
      <c r="U231" s="24">
        <v>0</v>
      </c>
      <c r="V231" s="24">
        <v>1</v>
      </c>
      <c r="W231" s="24">
        <v>0</v>
      </c>
      <c r="X231" s="168">
        <v>7</v>
      </c>
      <c r="Y231" s="169">
        <f>CEILING((IF(P231=AS_DEV_EFFORT, DEV_EFFORT*Q231%,
                           IF(P231=AS_DURATION_EFFORT, (MANUAL_DURATION*5)*Q231%,
                                    (IF(Q231&lt;=1,X231,
                                          IF(SUM(U231:W231)=0,(Q231*X231),
                                               (((Q231*U231)*(X231+(X231*EXTRA_FOR_H)))+
                                               ((Q231*V231)*X231)+
                                               ((Q231*W231)*(X231-(X231*LESS_FOR_L)))
                                    )*IF(R231=0,1,R231))))))+Z231), 0.25)</f>
        <v>7</v>
      </c>
      <c r="Z231" s="25"/>
      <c r="AA231" s="169">
        <f>Y231+Y231*VLOOKUP(I231,EXTRAS_ARRAY,2,FALSE)</f>
        <v>7</v>
      </c>
      <c r="AB231" s="23"/>
      <c r="AC231" s="37"/>
      <c r="AD231" s="26" t="str">
        <f>IF(J231&lt;&gt;"Yes",
IF(S231&lt;=0,"Error: Effort value is not defined or is invalid.",
IF(AND(SUM(U231:W231)&gt;0,SUM(U231:W231)&lt;&gt;1),"Error: Complexity % distribution should sum to 100%.",
IF(AND(P231=AS_DEV_EFFORT,X231&lt;&gt;0),"Error: PDs should not be defined when defining as dev effort %.",
IF(AND(P231=AS_DURATION_EFFORT,X231&lt;&gt;0),"Error: PDs should not be defined when defining as duration effort %.","")))))</f>
        <v/>
      </c>
    </row>
    <row r="232" spans="1:30" ht="87" hidden="1" outlineLevel="2" x14ac:dyDescent="0.35">
      <c r="A232" s="93" t="s">
        <v>0</v>
      </c>
      <c r="B232" s="21"/>
      <c r="C232" s="85"/>
      <c r="D232" s="85"/>
      <c r="E232" s="85"/>
      <c r="F232" s="86"/>
      <c r="G232" s="22" t="s">
        <v>23</v>
      </c>
      <c r="H232" s="22" t="s">
        <v>23</v>
      </c>
      <c r="I232" s="23" t="s">
        <v>23</v>
      </c>
      <c r="J232" s="22" t="s">
        <v>23</v>
      </c>
      <c r="K232" s="38" t="s">
        <v>476</v>
      </c>
      <c r="L232" s="22"/>
      <c r="M232" s="286">
        <f ca="1">IFERROR(OFFSET(M232,-1,,1,1)+0.1,OFFSET(M232,-1,-1,1,1)&amp;".1")</f>
        <v>2.2000000000000002</v>
      </c>
      <c r="N232" s="23" t="s">
        <v>473</v>
      </c>
      <c r="O232" s="23" t="s">
        <v>550</v>
      </c>
      <c r="P232" s="23"/>
      <c r="Q232" s="144">
        <v>50</v>
      </c>
      <c r="R232" s="137">
        <v>4</v>
      </c>
      <c r="S232" s="169">
        <f>CEILING((IF(J232="Yes", 0, IF(H232="-",AA232,AA232+AA232*VLOOKUP(H232,BUFFERS_BY_TYPE,2,FALSE)))) +
   (IF(J232="Yes", 0, IF(H232="-",AA232,AA232+AA232*VLOOKUP(H232,BUFFERS_BY_TYPE,2,FALSE))))*VLOOKUP($S$5, SALES_CALL_SCALE_ARRAY, 2,FALSE),0.25)</f>
        <v>100</v>
      </c>
      <c r="T232" s="170"/>
      <c r="U232" s="24">
        <v>0</v>
      </c>
      <c r="V232" s="24">
        <v>1</v>
      </c>
      <c r="W232" s="24">
        <v>0</v>
      </c>
      <c r="X232" s="168">
        <v>0.5</v>
      </c>
      <c r="Y232" s="169">
        <f>CEILING((IF(P232=AS_DEV_EFFORT, DEV_EFFORT*Q232%,
                           IF(P232=AS_DURATION_EFFORT, (MANUAL_DURATION*5)*Q232%,
                                    (IF(Q232&lt;=1,X232,
                                          IF(SUM(U232:W232)=0,(Q232*X232),
                                               (((Q232*U232)*(X232+(X232*EXTRA_FOR_H)))+
                                               ((Q232*V232)*X232)+
                                               ((Q232*W232)*(X232-(X232*LESS_FOR_L)))
                                    )*IF(R232=0,1,R232))))))+Z232), 0.25)</f>
        <v>100</v>
      </c>
      <c r="Z232" s="25"/>
      <c r="AA232" s="169">
        <f>Y232+Y232*VLOOKUP(I232,EXTRAS_ARRAY,2,FALSE)</f>
        <v>100</v>
      </c>
      <c r="AB232" s="23" t="s">
        <v>604</v>
      </c>
      <c r="AC232" s="37"/>
      <c r="AD232" s="26" t="str">
        <f>IF(J232&lt;&gt;"Yes",
IF(S232&lt;=0,"Error: Effort value is not defined or is invalid.",
IF(AND(SUM(U232:W232)&gt;0,SUM(U232:W232)&lt;&gt;1),"Error: Complexity % distribution should sum to 100%.",
IF(AND(P232=AS_DEV_EFFORT,X232&lt;&gt;0),"Error: PDs should not be defined when defining as dev effort %.",
IF(AND(P232=AS_DURATION_EFFORT,X232&lt;&gt;0),"Error: PDs should not be defined when defining as duration effort %.","")))))</f>
        <v/>
      </c>
    </row>
    <row r="233" spans="1:30" ht="87" hidden="1" outlineLevel="2" x14ac:dyDescent="0.35">
      <c r="A233" s="93" t="s">
        <v>0</v>
      </c>
      <c r="B233" s="21"/>
      <c r="C233" s="85"/>
      <c r="D233" s="85"/>
      <c r="E233" s="85"/>
      <c r="F233" s="86"/>
      <c r="G233" s="22" t="s">
        <v>23</v>
      </c>
      <c r="H233" s="22" t="s">
        <v>23</v>
      </c>
      <c r="I233" s="23" t="s">
        <v>23</v>
      </c>
      <c r="J233" s="22" t="s">
        <v>23</v>
      </c>
      <c r="K233" s="38" t="s">
        <v>477</v>
      </c>
      <c r="L233" s="22"/>
      <c r="M233" s="286">
        <f ca="1">IFERROR(OFFSET(M233,-1,,1,1)+0.1,OFFSET(M233,-1,-1,1,1)&amp;".1")</f>
        <v>2.3000000000000003</v>
      </c>
      <c r="N233" s="23" t="s">
        <v>474</v>
      </c>
      <c r="O233" s="23" t="s">
        <v>550</v>
      </c>
      <c r="P233" s="23"/>
      <c r="Q233" s="144">
        <v>50</v>
      </c>
      <c r="R233" s="137">
        <v>2</v>
      </c>
      <c r="S233" s="169">
        <f>CEILING((IF(J233="Yes", 0, IF(H233="-",AA233,AA233+AA233*VLOOKUP(H233,BUFFERS_BY_TYPE,2,FALSE)))) +
   (IF(J233="Yes", 0, IF(H233="-",AA233,AA233+AA233*VLOOKUP(H233,BUFFERS_BY_TYPE,2,FALSE))))*VLOOKUP($S$5, SALES_CALL_SCALE_ARRAY, 2,FALSE),0.25)</f>
        <v>50</v>
      </c>
      <c r="T233" s="170"/>
      <c r="U233" s="24">
        <v>0</v>
      </c>
      <c r="V233" s="24">
        <v>1</v>
      </c>
      <c r="W233" s="24">
        <v>0</v>
      </c>
      <c r="X233" s="168">
        <v>0.5</v>
      </c>
      <c r="Y233" s="169">
        <f>CEILING((IF(P233=AS_DEV_EFFORT, DEV_EFFORT*Q233%,
                           IF(P233=AS_DURATION_EFFORT, (MANUAL_DURATION*5)*Q233%,
                                    (IF(Q233&lt;=1,X233,
                                          IF(SUM(U233:W233)=0,(Q233*X233),
                                               (((Q233*U233)*(X233+(X233*EXTRA_FOR_H)))+
                                               ((Q233*V233)*X233)+
                                               ((Q233*W233)*(X233-(X233*LESS_FOR_L)))
                                    )*IF(R233=0,1,R233))))))+Z233), 0.25)</f>
        <v>50</v>
      </c>
      <c r="Z233" s="25"/>
      <c r="AA233" s="169">
        <f>Y233+Y233*VLOOKUP(I233,EXTRAS_ARRAY,2,FALSE)</f>
        <v>50</v>
      </c>
      <c r="AB233" s="23" t="s">
        <v>603</v>
      </c>
      <c r="AC233" s="37"/>
      <c r="AD233" s="26" t="str">
        <f>IF(J233&lt;&gt;"Yes",
IF(S233&lt;=0,"Error: Effort value is not defined or is invalid.",
IF(AND(SUM(U233:W233)&gt;0,SUM(U233:W233)&lt;&gt;1),"Error: Complexity % distribution should sum to 100%.",
IF(AND(P233=AS_DEV_EFFORT,X233&lt;&gt;0),"Error: PDs should not be defined when defining as dev effort %.",
IF(AND(P233=AS_DURATION_EFFORT,X233&lt;&gt;0),"Error: PDs should not be defined when defining as duration effort %.","")))))</f>
        <v/>
      </c>
    </row>
    <row r="234" spans="1:30" ht="43.5" hidden="1" outlineLevel="2" x14ac:dyDescent="0.35">
      <c r="A234" s="93" t="s">
        <v>0</v>
      </c>
      <c r="B234" s="21"/>
      <c r="C234" s="85"/>
      <c r="D234" s="85"/>
      <c r="E234" s="85"/>
      <c r="F234" s="86"/>
      <c r="G234" s="22" t="s">
        <v>23</v>
      </c>
      <c r="H234" s="22" t="s">
        <v>23</v>
      </c>
      <c r="I234" s="23" t="s">
        <v>23</v>
      </c>
      <c r="J234" s="22" t="s">
        <v>23</v>
      </c>
      <c r="K234" s="38"/>
      <c r="L234" s="22"/>
      <c r="M234" s="286">
        <f ca="1">IFERROR(OFFSET(M234,-1,,1,1)+0.1,OFFSET(M234,-1,-1,1,1)&amp;".1")</f>
        <v>2.4000000000000004</v>
      </c>
      <c r="N234" s="23" t="s">
        <v>475</v>
      </c>
      <c r="O234" s="23"/>
      <c r="P234" s="23"/>
      <c r="Q234" s="144"/>
      <c r="R234" s="137"/>
      <c r="S234" s="169">
        <f>CEILING((IF(J234="Yes", 0, IF(H234="-",AA234,AA234+AA234*VLOOKUP(H234,BUFFERS_BY_TYPE,2,FALSE)))) +
   (IF(J234="Yes", 0, IF(H234="-",AA234,AA234+AA234*VLOOKUP(H234,BUFFERS_BY_TYPE,2,FALSE))))*VLOOKUP($S$5, SALES_CALL_SCALE_ARRAY, 2,FALSE),0.25)</f>
        <v>14</v>
      </c>
      <c r="T234" s="170"/>
      <c r="U234" s="24">
        <v>0</v>
      </c>
      <c r="V234" s="24">
        <v>1</v>
      </c>
      <c r="W234" s="24">
        <v>0</v>
      </c>
      <c r="X234" s="168">
        <v>14</v>
      </c>
      <c r="Y234" s="169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14</v>
      </c>
      <c r="Z234" s="25"/>
      <c r="AA234" s="169">
        <f>Y234+Y234*VLOOKUP(I234,EXTRAS_ARRAY,2,FALSE)</f>
        <v>14</v>
      </c>
      <c r="AB234" s="23"/>
      <c r="AC234" s="37"/>
      <c r="AD234" s="26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s="11" customFormat="1" ht="7.5" hidden="1" customHeight="1" outlineLevel="2" x14ac:dyDescent="0.35">
      <c r="A235" s="93" t="s">
        <v>132</v>
      </c>
      <c r="B235" s="18"/>
      <c r="C235" s="78"/>
      <c r="D235" s="78"/>
      <c r="E235" s="78"/>
      <c r="F235" s="78"/>
      <c r="G235" s="10"/>
      <c r="H235" s="10"/>
      <c r="I235" s="10"/>
      <c r="J235" s="10"/>
      <c r="K235" s="10"/>
      <c r="L235" s="10"/>
      <c r="M235" s="287"/>
      <c r="N235" s="10"/>
      <c r="O235" s="10"/>
      <c r="P235" s="10"/>
      <c r="Q235" s="10"/>
      <c r="R235" s="10"/>
      <c r="S235" s="10"/>
      <c r="T235" s="18"/>
      <c r="U235" s="10"/>
      <c r="V235" s="10"/>
      <c r="W235" s="10"/>
      <c r="X235" s="18"/>
      <c r="Y235" s="10"/>
      <c r="Z235" s="10"/>
      <c r="AA235" s="10"/>
      <c r="AB235" s="60"/>
      <c r="AC235" s="60"/>
      <c r="AD235" s="12"/>
    </row>
    <row r="236" spans="1:30" s="17" customFormat="1" ht="15.5" hidden="1" outlineLevel="1" collapsed="1" x14ac:dyDescent="0.35">
      <c r="A236" s="93" t="s">
        <v>100</v>
      </c>
      <c r="B236" s="21"/>
      <c r="C236" s="84"/>
      <c r="D236" s="84"/>
      <c r="E236" s="84"/>
      <c r="F236" s="83"/>
      <c r="G236" s="32"/>
      <c r="H236" s="32"/>
      <c r="I236" s="32"/>
      <c r="J236" s="32"/>
      <c r="K236" s="32"/>
      <c r="L236" s="20">
        <f ca="1">LOOKUP(1000,INDIRECT("L1:"&amp;CELL("address",INDIRECT("R[-1]C",FALSE))))+1</f>
        <v>3</v>
      </c>
      <c r="M236" s="298" t="s">
        <v>488</v>
      </c>
      <c r="N236" s="298"/>
      <c r="O236" s="5"/>
      <c r="P236" s="33"/>
      <c r="Q236" s="33"/>
      <c r="R236" s="33"/>
      <c r="S236" s="33"/>
      <c r="T236" s="167">
        <f>IF($S$6="Exclude", SUMIFS(S237:S240, J237:J240, "&lt;&gt;Yes", G237:G240, "&lt;&gt;Yes"), SUMIFS(S237:S240, J237:J240, "&lt;&gt;Yes"))</f>
        <v>34</v>
      </c>
      <c r="U236" s="33"/>
      <c r="V236" s="33"/>
      <c r="W236" s="33"/>
      <c r="X236" s="34"/>
      <c r="Y236" s="35"/>
      <c r="Z236" s="35"/>
      <c r="AA236" s="35"/>
      <c r="AB236" s="240"/>
      <c r="AC236" s="36"/>
      <c r="AD236" s="26" t="str">
        <f>IF(M236="", "Error: Task name cannot be empty.", "")</f>
        <v/>
      </c>
    </row>
    <row r="237" spans="1:30" s="15" customFormat="1" ht="1.5" hidden="1" customHeight="1" outlineLevel="2" x14ac:dyDescent="0.35">
      <c r="A237" s="93" t="s">
        <v>101</v>
      </c>
      <c r="B237" s="21"/>
      <c r="C237" s="84"/>
      <c r="D237" s="84"/>
      <c r="E237" s="84"/>
      <c r="F237" s="83"/>
      <c r="G237" s="32"/>
      <c r="H237" s="32"/>
      <c r="I237" s="32"/>
      <c r="J237" s="32"/>
      <c r="K237" s="32"/>
      <c r="L237" s="175">
        <f ca="1">L236</f>
        <v>3</v>
      </c>
      <c r="M237" s="176" t="s">
        <v>105</v>
      </c>
      <c r="N237" s="173"/>
      <c r="O237" s="174"/>
      <c r="P237" s="33"/>
      <c r="Q237" s="33"/>
      <c r="R237" s="33"/>
      <c r="S237" s="33"/>
      <c r="T237" s="167"/>
      <c r="U237" s="33"/>
      <c r="V237" s="33"/>
      <c r="W237" s="33"/>
      <c r="X237" s="34"/>
      <c r="Y237" s="35"/>
      <c r="Z237" s="35"/>
      <c r="AA237" s="35"/>
      <c r="AB237" s="36"/>
      <c r="AC237" s="36"/>
      <c r="AD237" s="26"/>
    </row>
    <row r="238" spans="1:30" ht="15.5" hidden="1" outlineLevel="2" x14ac:dyDescent="0.35">
      <c r="A238" s="93" t="s">
        <v>0</v>
      </c>
      <c r="B238" s="21"/>
      <c r="C238" s="85"/>
      <c r="D238" s="85"/>
      <c r="E238" s="85"/>
      <c r="F238" s="86"/>
      <c r="G238" s="22" t="s">
        <v>23</v>
      </c>
      <c r="H238" s="22" t="s">
        <v>23</v>
      </c>
      <c r="I238" s="23" t="s">
        <v>23</v>
      </c>
      <c r="J238" s="22" t="s">
        <v>23</v>
      </c>
      <c r="K238" s="38"/>
      <c r="L238" s="22"/>
      <c r="M238" s="286" t="str">
        <f ca="1">IFERROR(OFFSET(M238,-1,,1,1)+0.1,OFFSET(M238,-1,-1,1,1)&amp;".1")</f>
        <v>3.1</v>
      </c>
      <c r="N238" s="23" t="s">
        <v>489</v>
      </c>
      <c r="O238" s="23"/>
      <c r="P238" s="23"/>
      <c r="Q238" s="144"/>
      <c r="R238" s="137">
        <v>5</v>
      </c>
      <c r="S238" s="169">
        <f>CEILING((IF(J238="Yes", 0, IF(H238="-",AA238,AA238+AA238*VLOOKUP(H238,BUFFERS_BY_TYPE,2,FALSE)))) +
   (IF(J238="Yes", 0, IF(H238="-",AA238,AA238+AA238*VLOOKUP(H238,BUFFERS_BY_TYPE,2,FALSE))))*VLOOKUP($S$5, SALES_CALL_SCALE_ARRAY, 2,FALSE),0.25)</f>
        <v>4</v>
      </c>
      <c r="T238" s="170"/>
      <c r="U238" s="24">
        <v>0</v>
      </c>
      <c r="V238" s="24">
        <v>1</v>
      </c>
      <c r="W238" s="24">
        <v>0</v>
      </c>
      <c r="X238" s="168">
        <v>4</v>
      </c>
      <c r="Y238" s="169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4</v>
      </c>
      <c r="Z238" s="25"/>
      <c r="AA238" s="169">
        <f>Y238+Y238*VLOOKUP(I238,EXTRAS_ARRAY,2,FALSE)</f>
        <v>4</v>
      </c>
      <c r="AB238" s="23" t="s">
        <v>605</v>
      </c>
      <c r="AC238" s="37"/>
      <c r="AD238" s="26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ht="29" hidden="1" outlineLevel="2" x14ac:dyDescent="0.35">
      <c r="A239" s="93" t="s">
        <v>0</v>
      </c>
      <c r="B239" s="21"/>
      <c r="C239" s="85"/>
      <c r="D239" s="85"/>
      <c r="E239" s="85"/>
      <c r="F239" s="86"/>
      <c r="G239" s="22" t="s">
        <v>23</v>
      </c>
      <c r="H239" s="22" t="s">
        <v>23</v>
      </c>
      <c r="I239" s="23" t="s">
        <v>23</v>
      </c>
      <c r="J239" s="22" t="s">
        <v>23</v>
      </c>
      <c r="K239" s="38" t="s">
        <v>552</v>
      </c>
      <c r="L239" s="22"/>
      <c r="M239" s="286">
        <f ca="1">IFERROR(OFFSET(M239,-1,,1,1)+0.1,OFFSET(M239,-1,-1,1,1)&amp;".1")</f>
        <v>3.2</v>
      </c>
      <c r="N239" s="23" t="s">
        <v>490</v>
      </c>
      <c r="O239" s="23" t="s">
        <v>551</v>
      </c>
      <c r="P239" s="274">
        <v>0.1</v>
      </c>
      <c r="Q239" s="144">
        <v>50</v>
      </c>
      <c r="R239" s="137">
        <v>4</v>
      </c>
      <c r="S239" s="169">
        <f>CEILING((IF(J239="Yes", 0, IF(H239="-",AA239,AA239+AA239*VLOOKUP(H239,BUFFERS_BY_TYPE,2,FALSE)))) +
   (IF(J239="Yes", 0, IF(H239="-",AA239,AA239+AA239*VLOOKUP(H239,BUFFERS_BY_TYPE,2,FALSE))))*VLOOKUP($S$5, SALES_CALL_SCALE_ARRAY, 2,FALSE),0.25)</f>
        <v>30</v>
      </c>
      <c r="T239" s="170"/>
      <c r="U239" s="24">
        <v>0</v>
      </c>
      <c r="V239" s="24">
        <v>1</v>
      </c>
      <c r="W239" s="24">
        <v>0</v>
      </c>
      <c r="X239" s="168">
        <v>0.15</v>
      </c>
      <c r="Y239" s="169">
        <f>CEILING((IF(P239=AS_DEV_EFFORT, DEV_EFFORT*Q239%,
                           IF(P239=AS_DURATION_EFFORT, (MANUAL_DURATION*5)*Q239%,
                                    (IF(Q239&lt;=1,X239,
                                          IF(SUM(U239:W239)=0,(Q239*X239),
                                               (((Q239*U239)*(X239+(X239*EXTRA_FOR_H)))+
                                               ((Q239*V239)*X239)+
                                               ((Q239*W239)*(X239-(X239*LESS_FOR_L)))
                                    )*IF(R239=0,1,R239))))))+Z239), 0.25)</f>
        <v>30</v>
      </c>
      <c r="Z239" s="25"/>
      <c r="AA239" s="169">
        <f>Y239+Y239*VLOOKUP(I239,EXTRAS_ARRAY,2,FALSE)</f>
        <v>30</v>
      </c>
      <c r="AB239" s="23"/>
      <c r="AC239" s="37"/>
      <c r="AD239" s="26" t="str">
        <f>IF(J239&lt;&gt;"Yes",
IF(S239&lt;=0,"Error: Effort value is not defined or is invalid.",
IF(AND(SUM(U239:W239)&gt;0,SUM(U239:W239)&lt;&gt;1),"Error: Complexity % distribution should sum to 100%.",
IF(AND(P239=AS_DEV_EFFORT,X239&lt;&gt;0),"Error: PDs should not be defined when defining as dev effort %.",
IF(AND(P239=AS_DURATION_EFFORT,X239&lt;&gt;0),"Error: PDs should not be defined when defining as duration effort %.","")))))</f>
        <v/>
      </c>
    </row>
    <row r="240" spans="1:30" s="11" customFormat="1" ht="7.5" hidden="1" customHeight="1" outlineLevel="2" x14ac:dyDescent="0.35">
      <c r="A240" s="93" t="s">
        <v>132</v>
      </c>
      <c r="B240" s="18"/>
      <c r="C240" s="78"/>
      <c r="D240" s="78"/>
      <c r="E240" s="78"/>
      <c r="F240" s="78"/>
      <c r="G240" s="10"/>
      <c r="H240" s="10"/>
      <c r="I240" s="10"/>
      <c r="J240" s="10"/>
      <c r="K240" s="10"/>
      <c r="L240" s="10"/>
      <c r="M240" s="287"/>
      <c r="N240" s="10"/>
      <c r="O240" s="10"/>
      <c r="P240" s="10"/>
      <c r="Q240" s="10"/>
      <c r="R240" s="10"/>
      <c r="S240" s="10"/>
      <c r="T240" s="18"/>
      <c r="U240" s="10"/>
      <c r="V240" s="10"/>
      <c r="W240" s="10"/>
      <c r="X240" s="18"/>
      <c r="Y240" s="10"/>
      <c r="Z240" s="10"/>
      <c r="AA240" s="10"/>
      <c r="AB240" s="60"/>
      <c r="AC240" s="60"/>
      <c r="AD240" s="12"/>
    </row>
    <row r="241" spans="1:30" s="17" customFormat="1" ht="15.5" hidden="1" outlineLevel="1" collapsed="1" x14ac:dyDescent="0.35">
      <c r="A241" s="93" t="s">
        <v>100</v>
      </c>
      <c r="B241" s="21"/>
      <c r="C241" s="84"/>
      <c r="D241" s="84"/>
      <c r="E241" s="84"/>
      <c r="F241" s="83"/>
      <c r="G241" s="32"/>
      <c r="H241" s="32"/>
      <c r="I241" s="32"/>
      <c r="J241" s="32"/>
      <c r="K241" s="32"/>
      <c r="L241" s="20">
        <f ca="1">LOOKUP(1000,INDIRECT("L1:"&amp;CELL("address",INDIRECT("R[-1]C",FALSE))))+1</f>
        <v>4</v>
      </c>
      <c r="M241" s="298" t="s">
        <v>491</v>
      </c>
      <c r="N241" s="298"/>
      <c r="O241" s="5"/>
      <c r="P241" s="33"/>
      <c r="Q241" s="33"/>
      <c r="R241" s="33"/>
      <c r="S241" s="33"/>
      <c r="T241" s="167">
        <f>IF($S$6="Exclude", SUMIFS(S242:S247, J242:J247, "&lt;&gt;Yes", G242:G247, "&lt;&gt;Yes"), SUMIFS(S242:S247, J242:J247, "&lt;&gt;Yes"))</f>
        <v>28.75</v>
      </c>
      <c r="U241" s="33"/>
      <c r="V241" s="33"/>
      <c r="W241" s="33"/>
      <c r="X241" s="34"/>
      <c r="Y241" s="35"/>
      <c r="Z241" s="35"/>
      <c r="AA241" s="35"/>
      <c r="AB241" s="240"/>
      <c r="AC241" s="36"/>
      <c r="AD241" s="26" t="str">
        <f>IF(M241="", "Error: Task name cannot be empty.", "")</f>
        <v/>
      </c>
    </row>
    <row r="242" spans="1:30" s="15" customFormat="1" ht="1.5" hidden="1" customHeight="1" outlineLevel="2" x14ac:dyDescent="0.35">
      <c r="A242" s="93" t="s">
        <v>101</v>
      </c>
      <c r="B242" s="21"/>
      <c r="C242" s="84"/>
      <c r="D242" s="84"/>
      <c r="E242" s="84"/>
      <c r="F242" s="83"/>
      <c r="G242" s="32"/>
      <c r="H242" s="32"/>
      <c r="I242" s="32"/>
      <c r="J242" s="32"/>
      <c r="K242" s="32"/>
      <c r="L242" s="175">
        <f ca="1">L241</f>
        <v>4</v>
      </c>
      <c r="M242" s="176" t="s">
        <v>105</v>
      </c>
      <c r="N242" s="173"/>
      <c r="O242" s="174"/>
      <c r="P242" s="33"/>
      <c r="Q242" s="33"/>
      <c r="R242" s="33"/>
      <c r="S242" s="33"/>
      <c r="T242" s="167"/>
      <c r="U242" s="33"/>
      <c r="V242" s="33"/>
      <c r="W242" s="33"/>
      <c r="X242" s="34"/>
      <c r="Y242" s="35"/>
      <c r="Z242" s="35"/>
      <c r="AA242" s="35"/>
      <c r="AB242" s="36"/>
      <c r="AC242" s="36"/>
      <c r="AD242" s="26"/>
    </row>
    <row r="243" spans="1:30" ht="15.5" hidden="1" outlineLevel="2" x14ac:dyDescent="0.35">
      <c r="A243" s="93" t="s">
        <v>0</v>
      </c>
      <c r="B243" s="21"/>
      <c r="C243" s="85"/>
      <c r="D243" s="85"/>
      <c r="E243" s="85"/>
      <c r="F243" s="86"/>
      <c r="G243" s="22" t="s">
        <v>23</v>
      </c>
      <c r="H243" s="22" t="s">
        <v>23</v>
      </c>
      <c r="I243" s="23" t="s">
        <v>23</v>
      </c>
      <c r="J243" s="22" t="s">
        <v>23</v>
      </c>
      <c r="K243" s="38"/>
      <c r="L243" s="22"/>
      <c r="M243" s="286" t="str">
        <f ca="1">IFERROR(OFFSET(M243,-1,,1,1)+0.1,OFFSET(M243,-1,-1,1,1)&amp;".1")</f>
        <v>4.1</v>
      </c>
      <c r="N243" s="23" t="s">
        <v>492</v>
      </c>
      <c r="O243" s="23"/>
      <c r="P243" s="23" t="s">
        <v>496</v>
      </c>
      <c r="Q243" s="144">
        <v>2</v>
      </c>
      <c r="R243" s="137"/>
      <c r="S243" s="169">
        <f>CEILING((IF(J243="Yes", 0, IF(H243="-",AA243,AA243+AA243*VLOOKUP(H243,BUFFERS_BY_TYPE,2,FALSE)))) +
   (IF(J243="Yes", 0, IF(H243="-",AA243,AA243+AA243*VLOOKUP(H243,BUFFERS_BY_TYPE,2,FALSE))))*VLOOKUP($S$5, SALES_CALL_SCALE_ARRAY, 2,FALSE),0.25)</f>
        <v>8</v>
      </c>
      <c r="T243" s="170"/>
      <c r="U243" s="24">
        <v>0</v>
      </c>
      <c r="V243" s="24">
        <v>1</v>
      </c>
      <c r="W243" s="24">
        <v>0</v>
      </c>
      <c r="X243" s="168">
        <v>4</v>
      </c>
      <c r="Y243" s="169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8</v>
      </c>
      <c r="Z243" s="25"/>
      <c r="AA243" s="169">
        <f>Y243+Y243*VLOOKUP(I243,EXTRAS_ARRAY,2,FALSE)</f>
        <v>8</v>
      </c>
      <c r="AB243" s="23"/>
      <c r="AC243" s="37"/>
      <c r="AD243" s="26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29" hidden="1" outlineLevel="2" x14ac:dyDescent="0.35">
      <c r="A244" s="93" t="s">
        <v>0</v>
      </c>
      <c r="B244" s="21"/>
      <c r="C244" s="85"/>
      <c r="D244" s="85"/>
      <c r="E244" s="85"/>
      <c r="F244" s="86"/>
      <c r="G244" s="22" t="s">
        <v>23</v>
      </c>
      <c r="H244" s="22" t="s">
        <v>23</v>
      </c>
      <c r="I244" s="23" t="s">
        <v>23</v>
      </c>
      <c r="J244" s="22" t="s">
        <v>23</v>
      </c>
      <c r="K244" s="38"/>
      <c r="L244" s="22"/>
      <c r="M244" s="286">
        <f ca="1">IFERROR(OFFSET(M244,-1,,1,1)+0.1,OFFSET(M244,-1,-1,1,1)&amp;".1")</f>
        <v>4.1999999999999993</v>
      </c>
      <c r="N244" s="23" t="s">
        <v>493</v>
      </c>
      <c r="O244" s="23"/>
      <c r="P244" s="23" t="s">
        <v>478</v>
      </c>
      <c r="Q244" s="144">
        <v>50</v>
      </c>
      <c r="R244" s="137"/>
      <c r="S244" s="169">
        <f>CEILING((IF(J244="Yes", 0, IF(H244="-",AA244,AA244+AA244*VLOOKUP(H244,BUFFERS_BY_TYPE,2,FALSE)))) +
   (IF(J244="Yes", 0, IF(H244="-",AA244,AA244+AA244*VLOOKUP(H244,BUFFERS_BY_TYPE,2,FALSE))))*VLOOKUP($S$5, SALES_CALL_SCALE_ARRAY, 2,FALSE),0.25)</f>
        <v>12.5</v>
      </c>
      <c r="T244" s="170"/>
      <c r="U244" s="24">
        <v>0</v>
      </c>
      <c r="V244" s="24">
        <v>1</v>
      </c>
      <c r="W244" s="24">
        <v>0</v>
      </c>
      <c r="X244" s="168">
        <f>2/8</f>
        <v>0.25</v>
      </c>
      <c r="Y244" s="169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12.5</v>
      </c>
      <c r="Z244" s="25"/>
      <c r="AA244" s="169">
        <f>Y244+Y244*VLOOKUP(I244,EXTRAS_ARRAY,2,FALSE)</f>
        <v>12.5</v>
      </c>
      <c r="AB244" s="23" t="s">
        <v>553</v>
      </c>
      <c r="AC244" s="37"/>
      <c r="AD244" s="26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5" hidden="1" outlineLevel="2" x14ac:dyDescent="0.35">
      <c r="A245" s="93" t="s">
        <v>0</v>
      </c>
      <c r="B245" s="21"/>
      <c r="C245" s="85"/>
      <c r="D245" s="85"/>
      <c r="E245" s="85"/>
      <c r="F245" s="86"/>
      <c r="G245" s="22" t="s">
        <v>23</v>
      </c>
      <c r="H245" s="22" t="s">
        <v>23</v>
      </c>
      <c r="I245" s="23" t="s">
        <v>23</v>
      </c>
      <c r="J245" s="22" t="s">
        <v>23</v>
      </c>
      <c r="K245" s="38"/>
      <c r="L245" s="22"/>
      <c r="M245" s="286">
        <f ca="1">IFERROR(OFFSET(M245,-1,,1,1)+0.1,OFFSET(M245,-1,-1,1,1)&amp;".1")</f>
        <v>4.2999999999999989</v>
      </c>
      <c r="N245" s="23" t="s">
        <v>494</v>
      </c>
      <c r="O245" s="23"/>
      <c r="P245" s="23" t="s">
        <v>478</v>
      </c>
      <c r="Q245" s="144">
        <v>50</v>
      </c>
      <c r="R245" s="137">
        <v>3</v>
      </c>
      <c r="S245" s="169">
        <f>CEILING((IF(J245="Yes", 0, IF(H245="-",AA245,AA245+AA245*VLOOKUP(H245,BUFFERS_BY_TYPE,2,FALSE)))) +
   (IF(J245="Yes", 0, IF(H245="-",AA245,AA245+AA245*VLOOKUP(H245,BUFFERS_BY_TYPE,2,FALSE))))*VLOOKUP($S$5, SALES_CALL_SCALE_ARRAY, 2,FALSE),0.25)</f>
        <v>3.25</v>
      </c>
      <c r="T245" s="170"/>
      <c r="U245" s="24">
        <v>0</v>
      </c>
      <c r="V245" s="24">
        <v>1</v>
      </c>
      <c r="W245" s="24">
        <v>0</v>
      </c>
      <c r="X245" s="168">
        <f>10/60/8</f>
        <v>2.0833333333333332E-2</v>
      </c>
      <c r="Y245" s="169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3.25</v>
      </c>
      <c r="Z245" s="25"/>
      <c r="AA245" s="169">
        <f>Y245+Y245*VLOOKUP(I245,EXTRAS_ARRAY,2,FALSE)</f>
        <v>3.25</v>
      </c>
      <c r="AB245" s="23"/>
      <c r="AC245" s="37"/>
      <c r="AD245" s="26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ht="15.5" hidden="1" outlineLevel="2" x14ac:dyDescent="0.35">
      <c r="A246" s="93" t="s">
        <v>0</v>
      </c>
      <c r="B246" s="21"/>
      <c r="C246" s="85"/>
      <c r="D246" s="85"/>
      <c r="E246" s="85"/>
      <c r="F246" s="86"/>
      <c r="G246" s="22" t="s">
        <v>23</v>
      </c>
      <c r="H246" s="22" t="s">
        <v>23</v>
      </c>
      <c r="I246" s="23" t="s">
        <v>23</v>
      </c>
      <c r="J246" s="22" t="s">
        <v>23</v>
      </c>
      <c r="K246" s="38"/>
      <c r="L246" s="22"/>
      <c r="M246" s="286">
        <f ca="1">IFERROR(OFFSET(M246,-1,,1,1)+0.1,OFFSET(M246,-1,-1,1,1)&amp;".1")</f>
        <v>4.3999999999999986</v>
      </c>
      <c r="N246" s="23" t="s">
        <v>495</v>
      </c>
      <c r="O246" s="23"/>
      <c r="P246" s="23"/>
      <c r="Q246" s="144"/>
      <c r="R246" s="137"/>
      <c r="S246" s="169">
        <f>CEILING((IF(J246="Yes", 0, IF(H246="-",AA246,AA246+AA246*VLOOKUP(H246,BUFFERS_BY_TYPE,2,FALSE)))) +
   (IF(J246="Yes", 0, IF(H246="-",AA246,AA246+AA246*VLOOKUP(H246,BUFFERS_BY_TYPE,2,FALSE))))*VLOOKUP($S$5, SALES_CALL_SCALE_ARRAY, 2,FALSE),0.25)</f>
        <v>5</v>
      </c>
      <c r="T246" s="170"/>
      <c r="U246" s="24">
        <v>0</v>
      </c>
      <c r="V246" s="24">
        <v>1</v>
      </c>
      <c r="W246" s="24">
        <v>0</v>
      </c>
      <c r="X246" s="168">
        <v>5</v>
      </c>
      <c r="Y246" s="169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5</v>
      </c>
      <c r="Z246" s="25"/>
      <c r="AA246" s="169">
        <f>Y246+Y246*VLOOKUP(I246,EXTRAS_ARRAY,2,FALSE)</f>
        <v>5</v>
      </c>
      <c r="AB246" s="23"/>
      <c r="AC246" s="37"/>
      <c r="AD246" s="26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s="11" customFormat="1" ht="7.5" hidden="1" customHeight="1" outlineLevel="2" x14ac:dyDescent="0.35">
      <c r="A247" s="93" t="s">
        <v>132</v>
      </c>
      <c r="B247" s="18"/>
      <c r="C247" s="78"/>
      <c r="D247" s="78"/>
      <c r="E247" s="78"/>
      <c r="F247" s="78"/>
      <c r="G247" s="10"/>
      <c r="H247" s="10"/>
      <c r="I247" s="10"/>
      <c r="J247" s="10"/>
      <c r="K247" s="10"/>
      <c r="L247" s="10"/>
      <c r="M247" s="287"/>
      <c r="N247" s="10"/>
      <c r="O247" s="10"/>
      <c r="P247" s="10"/>
      <c r="Q247" s="10"/>
      <c r="R247" s="10"/>
      <c r="S247" s="10"/>
      <c r="T247" s="18"/>
      <c r="U247" s="10"/>
      <c r="V247" s="10"/>
      <c r="W247" s="10"/>
      <c r="X247" s="18"/>
      <c r="Y247" s="10"/>
      <c r="Z247" s="10"/>
      <c r="AA247" s="10"/>
      <c r="AB247" s="60"/>
      <c r="AC247" s="60"/>
      <c r="AD247" s="12"/>
    </row>
    <row r="248" spans="1:30" s="17" customFormat="1" ht="15.5" hidden="1" outlineLevel="1" collapsed="1" x14ac:dyDescent="0.35">
      <c r="A248" s="93" t="s">
        <v>100</v>
      </c>
      <c r="B248" s="21"/>
      <c r="C248" s="84"/>
      <c r="D248" s="84"/>
      <c r="E248" s="84"/>
      <c r="F248" s="83"/>
      <c r="G248" s="32"/>
      <c r="H248" s="32"/>
      <c r="I248" s="32"/>
      <c r="J248" s="32"/>
      <c r="K248" s="32"/>
      <c r="L248" s="20">
        <f ca="1">LOOKUP(1000,INDIRECT("L1:"&amp;CELL("address",INDIRECT("R[-1]C",FALSE))))+1</f>
        <v>5</v>
      </c>
      <c r="M248" s="298" t="s">
        <v>497</v>
      </c>
      <c r="N248" s="298"/>
      <c r="O248" s="5"/>
      <c r="P248" s="33"/>
      <c r="Q248" s="33"/>
      <c r="R248" s="33"/>
      <c r="S248" s="33"/>
      <c r="T248" s="167">
        <f>IF($S$6="Exclude", SUMIFS(S249:S253, J249:J253, "&lt;&gt;Yes", G249:G253, "&lt;&gt;Yes"), SUMIFS(S249:S253, J249:J253, "&lt;&gt;Yes"))</f>
        <v>40</v>
      </c>
      <c r="U248" s="33"/>
      <c r="V248" s="33"/>
      <c r="W248" s="33"/>
      <c r="X248" s="34"/>
      <c r="Y248" s="35"/>
      <c r="Z248" s="35"/>
      <c r="AA248" s="35"/>
      <c r="AB248" s="240"/>
      <c r="AC248" s="36"/>
      <c r="AD248" s="26" t="str">
        <f>IF(M248="", "Error: Task name cannot be empty.", "")</f>
        <v/>
      </c>
    </row>
    <row r="249" spans="1:30" s="15" customFormat="1" ht="1.5" hidden="1" customHeight="1" outlineLevel="2" x14ac:dyDescent="0.35">
      <c r="A249" s="93" t="s">
        <v>101</v>
      </c>
      <c r="B249" s="21"/>
      <c r="C249" s="84"/>
      <c r="D249" s="84"/>
      <c r="E249" s="84"/>
      <c r="F249" s="83"/>
      <c r="G249" s="32"/>
      <c r="H249" s="32"/>
      <c r="I249" s="32"/>
      <c r="J249" s="32"/>
      <c r="K249" s="32"/>
      <c r="L249" s="175">
        <f ca="1">L248</f>
        <v>5</v>
      </c>
      <c r="M249" s="176" t="s">
        <v>105</v>
      </c>
      <c r="N249" s="173"/>
      <c r="O249" s="174"/>
      <c r="P249" s="33"/>
      <c r="Q249" s="33"/>
      <c r="R249" s="33"/>
      <c r="S249" s="33"/>
      <c r="T249" s="167"/>
      <c r="U249" s="33"/>
      <c r="V249" s="33"/>
      <c r="W249" s="33"/>
      <c r="X249" s="34"/>
      <c r="Y249" s="35"/>
      <c r="Z249" s="35"/>
      <c r="AA249" s="35"/>
      <c r="AB249" s="36"/>
      <c r="AC249" s="36"/>
      <c r="AD249" s="26"/>
    </row>
    <row r="250" spans="1:30" ht="15.5" hidden="1" outlineLevel="2" x14ac:dyDescent="0.35">
      <c r="A250" s="93" t="s">
        <v>0</v>
      </c>
      <c r="B250" s="21"/>
      <c r="C250" s="85"/>
      <c r="D250" s="85"/>
      <c r="E250" s="85"/>
      <c r="F250" s="86"/>
      <c r="G250" s="22" t="s">
        <v>23</v>
      </c>
      <c r="H250" s="22" t="s">
        <v>23</v>
      </c>
      <c r="I250" s="23" t="s">
        <v>23</v>
      </c>
      <c r="J250" s="22" t="s">
        <v>23</v>
      </c>
      <c r="K250" s="38"/>
      <c r="L250" s="22"/>
      <c r="M250" s="286" t="str">
        <f t="shared" ref="M250:M252" ca="1" si="10">IFERROR(OFFSET(M250,-1,,1,1)+0.1,OFFSET(M250,-1,-1,1,1)&amp;".1")</f>
        <v>5.1</v>
      </c>
      <c r="N250" s="23" t="s">
        <v>498</v>
      </c>
      <c r="O250" s="23"/>
      <c r="P250" s="23"/>
      <c r="Q250" s="144"/>
      <c r="R250" s="137">
        <f>Total_Screens</f>
        <v>0</v>
      </c>
      <c r="S250" s="169">
        <f t="shared" ref="S250:S252" si="11">CEILING((IF(J250="Yes", 0, IF(H250="-",AA250,AA250+AA250*VLOOKUP(H250,BUFFERS_BY_TYPE,2,FALSE)))) +
   (IF(J250="Yes", 0, IF(H250="-",AA250,AA250+AA250*VLOOKUP(H250,BUFFERS_BY_TYPE,2,FALSE))))*VLOOKUP($S$5, SALES_CALL_SCALE_ARRAY, 2,FALSE),0.25)</f>
        <v>10</v>
      </c>
      <c r="T250" s="170"/>
      <c r="U250" s="24">
        <v>0</v>
      </c>
      <c r="V250" s="24">
        <v>1</v>
      </c>
      <c r="W250" s="24">
        <v>0</v>
      </c>
      <c r="X250" s="168">
        <v>10</v>
      </c>
      <c r="Y250" s="169">
        <f t="shared" ref="Y250:Y252" si="12"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10</v>
      </c>
      <c r="Z250" s="25"/>
      <c r="AA250" s="169">
        <f t="shared" ref="AA250:AA252" si="13">Y250+Y250*VLOOKUP(I250,EXTRAS_ARRAY,2,FALSE)</f>
        <v>10</v>
      </c>
      <c r="AB250" s="23"/>
      <c r="AC250" s="37"/>
      <c r="AD250" s="26" t="str">
        <f t="shared" ref="AD250:AD252" si="14"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hidden="1" outlineLevel="2" x14ac:dyDescent="0.35">
      <c r="A251" s="93" t="s">
        <v>0</v>
      </c>
      <c r="B251" s="21"/>
      <c r="C251" s="85"/>
      <c r="D251" s="85"/>
      <c r="E251" s="85"/>
      <c r="F251" s="86"/>
      <c r="G251" s="22" t="s">
        <v>23</v>
      </c>
      <c r="H251" s="22" t="s">
        <v>23</v>
      </c>
      <c r="I251" s="23" t="s">
        <v>23</v>
      </c>
      <c r="J251" s="22" t="s">
        <v>23</v>
      </c>
      <c r="K251" s="38"/>
      <c r="L251" s="22"/>
      <c r="M251" s="286">
        <f t="shared" ca="1" si="10"/>
        <v>5.1999999999999993</v>
      </c>
      <c r="N251" s="23" t="s">
        <v>606</v>
      </c>
      <c r="O251" s="23"/>
      <c r="P251" s="23"/>
      <c r="Q251" s="144"/>
      <c r="R251" s="137"/>
      <c r="S251" s="169">
        <f t="shared" si="11"/>
        <v>20</v>
      </c>
      <c r="T251" s="170"/>
      <c r="U251" s="24">
        <v>0</v>
      </c>
      <c r="V251" s="24">
        <v>1</v>
      </c>
      <c r="W251" s="24">
        <v>0</v>
      </c>
      <c r="X251" s="168">
        <v>20</v>
      </c>
      <c r="Y251" s="169">
        <f t="shared" si="12"/>
        <v>20</v>
      </c>
      <c r="Z251" s="25"/>
      <c r="AA251" s="169">
        <f t="shared" si="13"/>
        <v>20</v>
      </c>
      <c r="AB251" s="23"/>
      <c r="AC251" s="37"/>
      <c r="AD251" s="26" t="str">
        <f t="shared" si="14"/>
        <v/>
      </c>
    </row>
    <row r="252" spans="1:30" ht="15.5" hidden="1" outlineLevel="2" x14ac:dyDescent="0.35">
      <c r="A252" s="93" t="s">
        <v>0</v>
      </c>
      <c r="B252" s="21"/>
      <c r="C252" s="85"/>
      <c r="D252" s="85"/>
      <c r="E252" s="85"/>
      <c r="F252" s="86"/>
      <c r="G252" s="22" t="s">
        <v>6</v>
      </c>
      <c r="H252" s="22" t="s">
        <v>23</v>
      </c>
      <c r="I252" s="23" t="s">
        <v>23</v>
      </c>
      <c r="J252" s="22" t="s">
        <v>23</v>
      </c>
      <c r="K252" s="38"/>
      <c r="L252" s="22"/>
      <c r="M252" s="286">
        <f t="shared" ca="1" si="10"/>
        <v>5.2999999999999989</v>
      </c>
      <c r="N252" s="23" t="s">
        <v>555</v>
      </c>
      <c r="O252" s="23"/>
      <c r="P252" s="23" t="s">
        <v>556</v>
      </c>
      <c r="Q252" s="144"/>
      <c r="R252" s="137"/>
      <c r="S252" s="169">
        <f t="shared" si="11"/>
        <v>10</v>
      </c>
      <c r="T252" s="170"/>
      <c r="U252" s="24">
        <v>0</v>
      </c>
      <c r="V252" s="24">
        <v>1</v>
      </c>
      <c r="W252" s="24">
        <v>0</v>
      </c>
      <c r="X252" s="168">
        <v>10</v>
      </c>
      <c r="Y252" s="169">
        <f t="shared" si="12"/>
        <v>10</v>
      </c>
      <c r="Z252" s="25"/>
      <c r="AA252" s="169">
        <f t="shared" si="13"/>
        <v>10</v>
      </c>
      <c r="AB252" s="23"/>
      <c r="AC252" s="37"/>
      <c r="AD252" s="26" t="str">
        <f t="shared" si="14"/>
        <v/>
      </c>
    </row>
    <row r="253" spans="1:30" s="11" customFormat="1" ht="7.5" hidden="1" customHeight="1" outlineLevel="2" x14ac:dyDescent="0.35">
      <c r="A253" s="93" t="s">
        <v>132</v>
      </c>
      <c r="B253" s="18"/>
      <c r="C253" s="78"/>
      <c r="D253" s="78"/>
      <c r="E253" s="78"/>
      <c r="F253" s="78"/>
      <c r="G253" s="10"/>
      <c r="H253" s="10"/>
      <c r="I253" s="10"/>
      <c r="J253" s="10"/>
      <c r="K253" s="10"/>
      <c r="L253" s="10"/>
      <c r="M253" s="287"/>
      <c r="N253" s="10"/>
      <c r="O253" s="10"/>
      <c r="P253" s="10"/>
      <c r="Q253" s="10"/>
      <c r="R253" s="10"/>
      <c r="S253" s="10"/>
      <c r="T253" s="18"/>
      <c r="U253" s="10"/>
      <c r="V253" s="10"/>
      <c r="W253" s="10"/>
      <c r="X253" s="18"/>
      <c r="Y253" s="10"/>
      <c r="Z253" s="10"/>
      <c r="AA253" s="10"/>
      <c r="AB253" s="60"/>
      <c r="AC253" s="60"/>
      <c r="AD253" s="12"/>
    </row>
    <row r="254" spans="1:30" s="11" customFormat="1" ht="3" hidden="1" customHeight="1" outlineLevel="1" x14ac:dyDescent="0.35">
      <c r="A254" s="93" t="s">
        <v>102</v>
      </c>
      <c r="B254" s="10"/>
      <c r="C254" s="78"/>
      <c r="D254" s="78"/>
      <c r="E254" s="78"/>
      <c r="F254" s="78"/>
      <c r="G254" s="59"/>
      <c r="H254" s="59"/>
      <c r="I254" s="59"/>
      <c r="J254" s="59"/>
      <c r="K254" s="59"/>
      <c r="L254" s="61"/>
      <c r="M254" s="288"/>
      <c r="N254" s="62"/>
      <c r="O254" s="62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2"/>
      <c r="AC254" s="62"/>
      <c r="AD254" s="12"/>
    </row>
    <row r="255" spans="1:30" s="17" customFormat="1" ht="18.5" collapsed="1" x14ac:dyDescent="0.35">
      <c r="A255" s="93" t="s">
        <v>98</v>
      </c>
      <c r="B255" s="14"/>
      <c r="C255" s="79"/>
      <c r="D255" s="79"/>
      <c r="E255" s="79"/>
      <c r="F255" s="78"/>
      <c r="G255" s="55"/>
      <c r="H255" s="55"/>
      <c r="I255" s="55"/>
      <c r="J255" s="55"/>
      <c r="K255" s="55"/>
      <c r="L255" s="55" t="s">
        <v>71</v>
      </c>
      <c r="M255" s="284" t="s">
        <v>75</v>
      </c>
      <c r="N255" s="56"/>
      <c r="O255" s="57"/>
      <c r="P255" s="58"/>
      <c r="Q255" s="58"/>
      <c r="R255" s="58"/>
      <c r="S255" s="299">
        <f>CEILING(SUMIF(J256:J284, "&lt;&gt;Yes", T256:T284),1)</f>
        <v>117</v>
      </c>
      <c r="T255" s="299"/>
      <c r="U255" s="58"/>
      <c r="V255" s="58"/>
      <c r="W255" s="58"/>
      <c r="X255" s="58"/>
      <c r="Y255" s="58"/>
      <c r="Z255" s="58"/>
      <c r="AA255" s="58"/>
      <c r="AB255" s="58"/>
      <c r="AC255" s="58"/>
      <c r="AD255" s="16"/>
    </row>
    <row r="256" spans="1:30" s="11" customFormat="1" ht="3" hidden="1" customHeight="1" outlineLevel="1" x14ac:dyDescent="0.35">
      <c r="A256" s="93" t="s">
        <v>99</v>
      </c>
      <c r="B256" s="18"/>
      <c r="C256" s="78"/>
      <c r="D256" s="78"/>
      <c r="E256" s="78"/>
      <c r="F256" s="78"/>
      <c r="G256" s="28"/>
      <c r="H256" s="28"/>
      <c r="I256" s="28"/>
      <c r="J256" s="28"/>
      <c r="K256" s="28"/>
      <c r="L256" s="29">
        <v>0</v>
      </c>
      <c r="M256" s="285"/>
      <c r="N256" s="28"/>
      <c r="O256" s="28"/>
      <c r="P256" s="28"/>
      <c r="Q256" s="28"/>
      <c r="R256" s="28"/>
      <c r="S256" s="28"/>
      <c r="T256" s="30"/>
      <c r="U256" s="28"/>
      <c r="V256" s="28"/>
      <c r="W256" s="28"/>
      <c r="X256" s="30"/>
      <c r="Y256" s="28"/>
      <c r="Z256" s="28"/>
      <c r="AA256" s="28"/>
      <c r="AB256" s="31"/>
      <c r="AC256" s="31"/>
      <c r="AD256" s="12"/>
    </row>
    <row r="257" spans="1:30" s="17" customFormat="1" ht="15.5" hidden="1" outlineLevel="1" collapsed="1" x14ac:dyDescent="0.35">
      <c r="A257" s="93" t="s">
        <v>100</v>
      </c>
      <c r="B257" s="21"/>
      <c r="C257" s="84"/>
      <c r="D257" s="84"/>
      <c r="E257" s="84"/>
      <c r="F257" s="83"/>
      <c r="G257" s="32"/>
      <c r="H257" s="32"/>
      <c r="I257" s="32"/>
      <c r="J257" s="32"/>
      <c r="K257" s="32"/>
      <c r="L257" s="20">
        <f ca="1">LOOKUP(1000,INDIRECT("L1:"&amp;CELL("address",INDIRECT("R[-1]C",FALSE))))+1</f>
        <v>1</v>
      </c>
      <c r="M257" s="298" t="s">
        <v>500</v>
      </c>
      <c r="N257" s="298"/>
      <c r="O257" s="5"/>
      <c r="P257" s="33"/>
      <c r="Q257" s="33"/>
      <c r="R257" s="33"/>
      <c r="S257" s="33"/>
      <c r="T257" s="167">
        <f>IF($S$6="Exclude", SUMIFS(S258:S262, J258:J262, "&lt;&gt;Yes", G258:G262, "&lt;&gt;Yes"), SUMIFS(S258:S262, J258:J262, "&lt;&gt;Yes"))</f>
        <v>20.5</v>
      </c>
      <c r="U257" s="33"/>
      <c r="V257" s="33"/>
      <c r="W257" s="33"/>
      <c r="X257" s="34"/>
      <c r="Y257" s="35"/>
      <c r="Z257" s="35"/>
      <c r="AA257" s="35"/>
      <c r="AB257" s="240"/>
      <c r="AC257" s="36"/>
      <c r="AD257" s="26" t="str">
        <f>IF(M257="", "Error: Task name cannot be empty.", "")</f>
        <v/>
      </c>
    </row>
    <row r="258" spans="1:30" s="15" customFormat="1" ht="1.5" hidden="1" customHeight="1" outlineLevel="2" x14ac:dyDescent="0.35">
      <c r="A258" s="93" t="s">
        <v>101</v>
      </c>
      <c r="B258" s="21"/>
      <c r="C258" s="84"/>
      <c r="D258" s="84"/>
      <c r="E258" s="84"/>
      <c r="F258" s="83"/>
      <c r="G258" s="32"/>
      <c r="H258" s="32"/>
      <c r="I258" s="32"/>
      <c r="J258" s="32"/>
      <c r="K258" s="32"/>
      <c r="L258" s="175">
        <f ca="1">L257</f>
        <v>1</v>
      </c>
      <c r="M258" s="176" t="s">
        <v>105</v>
      </c>
      <c r="N258" s="173"/>
      <c r="O258" s="174"/>
      <c r="P258" s="33"/>
      <c r="Q258" s="33"/>
      <c r="R258" s="33"/>
      <c r="S258" s="33"/>
      <c r="T258" s="167"/>
      <c r="U258" s="33"/>
      <c r="V258" s="33"/>
      <c r="W258" s="33"/>
      <c r="X258" s="34"/>
      <c r="Y258" s="35"/>
      <c r="Z258" s="35"/>
      <c r="AA258" s="35"/>
      <c r="AB258" s="36"/>
      <c r="AC258" s="36"/>
      <c r="AD258" s="26"/>
    </row>
    <row r="259" spans="1:30" ht="87" hidden="1" outlineLevel="2" x14ac:dyDescent="0.35">
      <c r="A259" s="93" t="s">
        <v>0</v>
      </c>
      <c r="B259" s="21"/>
      <c r="C259" s="85"/>
      <c r="D259" s="85"/>
      <c r="E259" s="85"/>
      <c r="F259" s="86"/>
      <c r="G259" s="22" t="s">
        <v>23</v>
      </c>
      <c r="H259" s="22" t="s">
        <v>23</v>
      </c>
      <c r="I259" s="23" t="s">
        <v>23</v>
      </c>
      <c r="J259" s="22" t="s">
        <v>23</v>
      </c>
      <c r="K259" s="38"/>
      <c r="L259" s="22"/>
      <c r="M259" s="286" t="str">
        <f ca="1">IFERROR(OFFSET(M259,-1,,1,1)+0.1,OFFSET(M259,-1,-1,1,1)&amp;".1")</f>
        <v>1.1</v>
      </c>
      <c r="N259" s="23" t="s">
        <v>607</v>
      </c>
      <c r="O259" s="23"/>
      <c r="P259" s="23" t="s">
        <v>595</v>
      </c>
      <c r="Q259" s="144">
        <v>1</v>
      </c>
      <c r="R259" s="137">
        <v>3</v>
      </c>
      <c r="S259" s="169">
        <f>CEILING((IF(J259="Yes", 0, IF(H259="-",AA259,AA259+AA259*VLOOKUP(H259,BUFFERS_BY_TYPE,2,FALSE)))) +
   (IF(J259="Yes", 0, IF(H259="-",AA259,AA259+AA259*VLOOKUP(H259,BUFFERS_BY_TYPE,2,FALSE))))*VLOOKUP($S$5, SALES_CALL_SCALE_ARRAY, 2,FALSE),0.25)</f>
        <v>10</v>
      </c>
      <c r="T259" s="170"/>
      <c r="U259" s="24">
        <v>0</v>
      </c>
      <c r="V259" s="24">
        <v>1</v>
      </c>
      <c r="W259" s="24">
        <v>0</v>
      </c>
      <c r="X259" s="168">
        <v>10</v>
      </c>
      <c r="Y259" s="169">
        <f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10</v>
      </c>
      <c r="Z259" s="25"/>
      <c r="AA259" s="169">
        <f>Y259+Y259*VLOOKUP(I259,EXTRAS_ARRAY,2,FALSE)</f>
        <v>10</v>
      </c>
      <c r="AB259" s="23"/>
      <c r="AC259" s="37"/>
      <c r="AD259" s="26" t="str">
        <f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15.5" hidden="1" outlineLevel="2" x14ac:dyDescent="0.35">
      <c r="A260" s="93" t="s">
        <v>0</v>
      </c>
      <c r="B260" s="21"/>
      <c r="C260" s="85"/>
      <c r="D260" s="85"/>
      <c r="E260" s="85"/>
      <c r="F260" s="86"/>
      <c r="G260" s="22" t="s">
        <v>23</v>
      </c>
      <c r="H260" s="22" t="s">
        <v>23</v>
      </c>
      <c r="I260" s="23" t="s">
        <v>23</v>
      </c>
      <c r="J260" s="22" t="s">
        <v>23</v>
      </c>
      <c r="K260" s="38"/>
      <c r="L260" s="22"/>
      <c r="M260" s="286">
        <f ca="1">IFERROR(OFFSET(M260,-1,,1,1)+0.1,OFFSET(M260,-1,-1,1,1)&amp;".1")</f>
        <v>1.2000000000000002</v>
      </c>
      <c r="N260" s="23" t="s">
        <v>501</v>
      </c>
      <c r="O260" s="23"/>
      <c r="P260" s="23" t="s">
        <v>506</v>
      </c>
      <c r="Q260" s="144">
        <v>10</v>
      </c>
      <c r="R260" s="137"/>
      <c r="S260" s="169">
        <f>CEILING((IF(J260="Yes", 0, IF(H260="-",AA260,AA260+AA260*VLOOKUP(H260,BUFFERS_BY_TYPE,2,FALSE)))) +
   (IF(J260="Yes", 0, IF(H260="-",AA260,AA260+AA260*VLOOKUP(H260,BUFFERS_BY_TYPE,2,FALSE))))*VLOOKUP($S$5, SALES_CALL_SCALE_ARRAY, 2,FALSE),0.25)</f>
        <v>3</v>
      </c>
      <c r="T260" s="170"/>
      <c r="U260" s="24">
        <v>0</v>
      </c>
      <c r="V260" s="24">
        <v>1</v>
      </c>
      <c r="W260" s="24">
        <v>0</v>
      </c>
      <c r="X260" s="168">
        <v>0.3</v>
      </c>
      <c r="Y260" s="169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3</v>
      </c>
      <c r="Z260" s="25"/>
      <c r="AA260" s="169">
        <f>Y260+Y260*VLOOKUP(I260,EXTRAS_ARRAY,2,FALSE)</f>
        <v>3</v>
      </c>
      <c r="AB260" s="23"/>
      <c r="AC260" s="37"/>
      <c r="AD260" s="26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ht="43.5" hidden="1" outlineLevel="2" x14ac:dyDescent="0.35">
      <c r="A261" s="93" t="s">
        <v>0</v>
      </c>
      <c r="B261" s="21"/>
      <c r="C261" s="85"/>
      <c r="D261" s="85"/>
      <c r="E261" s="85"/>
      <c r="F261" s="86"/>
      <c r="G261" s="22" t="s">
        <v>23</v>
      </c>
      <c r="H261" s="22" t="s">
        <v>23</v>
      </c>
      <c r="I261" s="23" t="s">
        <v>23</v>
      </c>
      <c r="J261" s="22" t="s">
        <v>23</v>
      </c>
      <c r="K261" s="38"/>
      <c r="L261" s="22"/>
      <c r="M261" s="286">
        <f ca="1">IFERROR(OFFSET(M261,-1,,1,1)+0.1,OFFSET(M261,-1,-1,1,1)&amp;".1")</f>
        <v>1.3000000000000003</v>
      </c>
      <c r="N261" s="23" t="s">
        <v>502</v>
      </c>
      <c r="O261" s="23"/>
      <c r="P261" s="23" t="s">
        <v>505</v>
      </c>
      <c r="Q261" s="144">
        <v>5</v>
      </c>
      <c r="R261" s="137"/>
      <c r="S261" s="169">
        <f>CEILING((IF(J261="Yes", 0, IF(H261="-",AA261,AA261+AA261*VLOOKUP(H261,BUFFERS_BY_TYPE,2,FALSE)))) +
   (IF(J261="Yes", 0, IF(H261="-",AA261,AA261+AA261*VLOOKUP(H261,BUFFERS_BY_TYPE,2,FALSE))))*VLOOKUP($S$5, SALES_CALL_SCALE_ARRAY, 2,FALSE),0.25)</f>
        <v>7.5</v>
      </c>
      <c r="T261" s="170"/>
      <c r="U261" s="24">
        <v>0</v>
      </c>
      <c r="V261" s="24">
        <v>1</v>
      </c>
      <c r="W261" s="24">
        <v>0</v>
      </c>
      <c r="X261" s="168">
        <v>1.5</v>
      </c>
      <c r="Y261" s="169">
        <f>CEILING((IF(P261=AS_DEV_EFFORT, DEV_EFFORT*Q261%,
                           IF(P261=AS_DURATION_EFFORT, (MANUAL_DURATION*5)*Q261%,
                                    (IF(Q261&lt;=1,X261,
                                          IF(SUM(U261:W261)=0,(Q261*X261),
                                               (((Q261*U261)*(X261+(X261*EXTRA_FOR_H)))+
                                               ((Q261*V261)*X261)+
                                               ((Q261*W261)*(X261-(X261*LESS_FOR_L)))
                                    )*IF(R261=0,1,R261))))))+Z261), 0.25)</f>
        <v>7.5</v>
      </c>
      <c r="Z261" s="25"/>
      <c r="AA261" s="169">
        <f>Y261+Y261*VLOOKUP(I261,EXTRAS_ARRAY,2,FALSE)</f>
        <v>7.5</v>
      </c>
      <c r="AB261" s="23"/>
      <c r="AC261" s="37"/>
      <c r="AD261" s="26" t="str">
        <f>IF(J261&lt;&gt;"Yes",
IF(S261&lt;=0,"Error: Effort value is not defined or is invalid.",
IF(AND(SUM(U261:W261)&gt;0,SUM(U261:W261)&lt;&gt;1),"Error: Complexity % distribution should sum to 100%.",
IF(AND(P261=AS_DEV_EFFORT,X261&lt;&gt;0),"Error: PDs should not be defined when defining as dev effort %.",
IF(AND(P261=AS_DURATION_EFFORT,X261&lt;&gt;0),"Error: PDs should not be defined when defining as duration effort %.","")))))</f>
        <v/>
      </c>
    </row>
    <row r="262" spans="1:30" s="11" customFormat="1" ht="7.5" hidden="1" customHeight="1" outlineLevel="2" x14ac:dyDescent="0.35">
      <c r="A262" s="93" t="s">
        <v>132</v>
      </c>
      <c r="B262" s="18"/>
      <c r="C262" s="78"/>
      <c r="D262" s="78"/>
      <c r="E262" s="78"/>
      <c r="F262" s="78"/>
      <c r="G262" s="10"/>
      <c r="H262" s="10"/>
      <c r="I262" s="10"/>
      <c r="J262" s="10"/>
      <c r="K262" s="10"/>
      <c r="L262" s="10"/>
      <c r="M262" s="287"/>
      <c r="N262" s="10"/>
      <c r="O262" s="10"/>
      <c r="P262" s="10"/>
      <c r="Q262" s="10"/>
      <c r="R262" s="10"/>
      <c r="S262" s="10"/>
      <c r="T262" s="18"/>
      <c r="U262" s="10"/>
      <c r="V262" s="10"/>
      <c r="W262" s="10"/>
      <c r="X262" s="18"/>
      <c r="Y262" s="10"/>
      <c r="Z262" s="10"/>
      <c r="AA262" s="10"/>
      <c r="AB262" s="60"/>
      <c r="AC262" s="60"/>
      <c r="AD262" s="12"/>
    </row>
    <row r="263" spans="1:30" s="17" customFormat="1" ht="15.5" hidden="1" outlineLevel="1" collapsed="1" x14ac:dyDescent="0.35">
      <c r="A263" s="93" t="s">
        <v>100</v>
      </c>
      <c r="B263" s="21"/>
      <c r="C263" s="84"/>
      <c r="D263" s="84"/>
      <c r="E263" s="84"/>
      <c r="F263" s="83"/>
      <c r="G263" s="32"/>
      <c r="H263" s="32"/>
      <c r="I263" s="32"/>
      <c r="J263" s="32"/>
      <c r="K263" s="32"/>
      <c r="L263" s="20">
        <f ca="1">LOOKUP(1000,INDIRECT("L1:"&amp;CELL("address",INDIRECT("R[-1]C",FALSE))))+1</f>
        <v>2</v>
      </c>
      <c r="M263" s="298" t="s">
        <v>503</v>
      </c>
      <c r="N263" s="298"/>
      <c r="O263" s="5"/>
      <c r="P263" s="33"/>
      <c r="Q263" s="33"/>
      <c r="R263" s="33"/>
      <c r="S263" s="33"/>
      <c r="T263" s="167">
        <f>IF($S$6="Exclude", SUMIFS(S264:S267, J264:J267, "&lt;&gt;Yes", G264:G267, "&lt;&gt;Yes"), SUMIFS(S264:S267, J264:J267, "&lt;&gt;Yes"))</f>
        <v>20.5</v>
      </c>
      <c r="U263" s="33"/>
      <c r="V263" s="33"/>
      <c r="W263" s="33"/>
      <c r="X263" s="34"/>
      <c r="Y263" s="35"/>
      <c r="Z263" s="35"/>
      <c r="AA263" s="35"/>
      <c r="AB263" s="240"/>
      <c r="AC263" s="36"/>
      <c r="AD263" s="26" t="str">
        <f>IF(M263="", "Error: Task name cannot be empty.", "")</f>
        <v/>
      </c>
    </row>
    <row r="264" spans="1:30" s="15" customFormat="1" ht="1.5" hidden="1" customHeight="1" outlineLevel="2" x14ac:dyDescent="0.35">
      <c r="A264" s="93" t="s">
        <v>101</v>
      </c>
      <c r="B264" s="21"/>
      <c r="C264" s="84"/>
      <c r="D264" s="84"/>
      <c r="E264" s="84"/>
      <c r="F264" s="83"/>
      <c r="G264" s="32"/>
      <c r="H264" s="32"/>
      <c r="I264" s="32"/>
      <c r="J264" s="32"/>
      <c r="K264" s="32"/>
      <c r="L264" s="175">
        <f ca="1">L263</f>
        <v>2</v>
      </c>
      <c r="M264" s="176" t="s">
        <v>105</v>
      </c>
      <c r="N264" s="173"/>
      <c r="O264" s="174"/>
      <c r="P264" s="33"/>
      <c r="Q264" s="33"/>
      <c r="R264" s="33"/>
      <c r="S264" s="33"/>
      <c r="T264" s="167"/>
      <c r="U264" s="33"/>
      <c r="V264" s="33"/>
      <c r="W264" s="33"/>
      <c r="X264" s="34"/>
      <c r="Y264" s="35"/>
      <c r="Z264" s="35"/>
      <c r="AA264" s="35"/>
      <c r="AB264" s="36"/>
      <c r="AC264" s="36"/>
      <c r="AD264" s="26"/>
    </row>
    <row r="265" spans="1:30" ht="87" hidden="1" outlineLevel="2" x14ac:dyDescent="0.35">
      <c r="A265" s="93" t="s">
        <v>0</v>
      </c>
      <c r="B265" s="21"/>
      <c r="C265" s="85"/>
      <c r="D265" s="85"/>
      <c r="E265" s="85"/>
      <c r="F265" s="86"/>
      <c r="G265" s="22" t="s">
        <v>23</v>
      </c>
      <c r="H265" s="22" t="s">
        <v>23</v>
      </c>
      <c r="I265" s="23" t="s">
        <v>23</v>
      </c>
      <c r="J265" s="22" t="s">
        <v>23</v>
      </c>
      <c r="K265" s="38"/>
      <c r="L265" s="22"/>
      <c r="M265" s="286" t="str">
        <f ca="1">IFERROR(OFFSET(M265,-1,,1,1)+0.1,OFFSET(M265,-1,-1,1,1)&amp;".1")</f>
        <v>2.1</v>
      </c>
      <c r="N265" s="23" t="s">
        <v>607</v>
      </c>
      <c r="O265" s="23"/>
      <c r="P265" s="23" t="s">
        <v>595</v>
      </c>
      <c r="Q265" s="144">
        <v>1</v>
      </c>
      <c r="R265" s="137">
        <v>3</v>
      </c>
      <c r="S265" s="169">
        <f>CEILING((IF(J265="Yes", 0, IF(H265="-",AA265,AA265+AA265*VLOOKUP(H265,BUFFERS_BY_TYPE,2,FALSE)))) +
   (IF(J265="Yes", 0, IF(H265="-",AA265,AA265+AA265*VLOOKUP(H265,BUFFERS_BY_TYPE,2,FALSE))))*VLOOKUP($S$5, SALES_CALL_SCALE_ARRAY, 2,FALSE),0.25)</f>
        <v>10</v>
      </c>
      <c r="T265" s="170"/>
      <c r="U265" s="24">
        <v>0</v>
      </c>
      <c r="V265" s="24">
        <v>1</v>
      </c>
      <c r="W265" s="24">
        <v>0</v>
      </c>
      <c r="X265" s="168">
        <v>10</v>
      </c>
      <c r="Y265" s="169">
        <f>CEILING((IF(P265=AS_DEV_EFFORT, DEV_EFFORT*Q265%,
                           IF(P265=AS_DURATION_EFFORT, (MANUAL_DURATION*5)*Q265%,
                                    (IF(Q265&lt;=1,X265,
                                          IF(SUM(U265:W265)=0,(Q265*X265),
                                               (((Q265*U265)*(X265+(X265*EXTRA_FOR_H)))+
                                               ((Q265*V265)*X265)+
                                               ((Q265*W265)*(X265-(X265*LESS_FOR_L)))
                                    )*IF(R265=0,1,R265))))))+Z265), 0.25)</f>
        <v>10</v>
      </c>
      <c r="Z265" s="25"/>
      <c r="AA265" s="169">
        <f>Y265+Y265*VLOOKUP(I265,EXTRAS_ARRAY,2,FALSE)</f>
        <v>10</v>
      </c>
      <c r="AB265" s="23"/>
      <c r="AC265" s="37"/>
      <c r="AD265" s="26" t="str">
        <f>IF(J265&lt;&gt;"Yes",
IF(S265&lt;=0,"Error: Effort value is not defined or is invalid.",
IF(AND(SUM(U265:W265)&gt;0,SUM(U265:W265)&lt;&gt;1),"Error: Complexity % distribution should sum to 100%.",
IF(AND(P265=AS_DEV_EFFORT,X265&lt;&gt;0),"Error: PDs should not be defined when defining as dev effort %.",
IF(AND(P265=AS_DURATION_EFFORT,X265&lt;&gt;0),"Error: PDs should not be defined when defining as duration effort %.","")))))</f>
        <v/>
      </c>
    </row>
    <row r="266" spans="1:30" ht="58" hidden="1" outlineLevel="2" x14ac:dyDescent="0.35">
      <c r="A266" s="93" t="s">
        <v>0</v>
      </c>
      <c r="B266" s="21"/>
      <c r="C266" s="85"/>
      <c r="D266" s="85"/>
      <c r="E266" s="85"/>
      <c r="F266" s="86"/>
      <c r="G266" s="22" t="s">
        <v>23</v>
      </c>
      <c r="H266" s="22" t="s">
        <v>23</v>
      </c>
      <c r="I266" s="23" t="s">
        <v>23</v>
      </c>
      <c r="J266" s="22" t="s">
        <v>23</v>
      </c>
      <c r="K266" s="38"/>
      <c r="L266" s="22"/>
      <c r="M266" s="286">
        <f ca="1">IFERROR(OFFSET(M266,-1,,1,1)+0.1,OFFSET(M266,-1,-1,1,1)&amp;".1")</f>
        <v>2.2000000000000002</v>
      </c>
      <c r="N266" s="23" t="s">
        <v>504</v>
      </c>
      <c r="O266" s="23"/>
      <c r="P266" s="23" t="s">
        <v>519</v>
      </c>
      <c r="Q266" s="144">
        <v>2</v>
      </c>
      <c r="R266" s="137">
        <v>4</v>
      </c>
      <c r="S266" s="169">
        <f>CEILING((IF(J266="Yes", 0, IF(H266="-",AA266,AA266+AA266*VLOOKUP(H266,BUFFERS_BY_TYPE,2,FALSE)))) +
   (IF(J266="Yes", 0, IF(H266="-",AA266,AA266+AA266*VLOOKUP(H266,BUFFERS_BY_TYPE,2,FALSE))))*VLOOKUP($S$5, SALES_CALL_SCALE_ARRAY, 2,FALSE),0.25)</f>
        <v>10.5</v>
      </c>
      <c r="T266" s="170"/>
      <c r="U266" s="24">
        <v>0</v>
      </c>
      <c r="V266" s="24">
        <v>1</v>
      </c>
      <c r="W266" s="24">
        <v>0</v>
      </c>
      <c r="X266" s="168">
        <v>1.3</v>
      </c>
      <c r="Y266" s="169">
        <f>CEILING((IF(P266=AS_DEV_EFFORT, DEV_EFFORT*Q266%,
                           IF(P266=AS_DURATION_EFFORT, (MANUAL_DURATION*5)*Q266%,
                                    (IF(Q266&lt;=1,X266,
                                          IF(SUM(U266:W266)=0,(Q266*X266),
                                               (((Q266*U266)*(X266+(X266*EXTRA_FOR_H)))+
                                               ((Q266*V266)*X266)+
                                               ((Q266*W266)*(X266-(X266*LESS_FOR_L)))
                                    )*IF(R266=0,1,R266))))))+Z266), 0.25)</f>
        <v>10.5</v>
      </c>
      <c r="Z266" s="25"/>
      <c r="AA266" s="169">
        <f>Y266+Y266*VLOOKUP(I266,EXTRAS_ARRAY,2,FALSE)</f>
        <v>10.5</v>
      </c>
      <c r="AB266" s="23"/>
      <c r="AC266" s="37"/>
      <c r="AD266" s="26" t="str">
        <f>IF(J266&lt;&gt;"Yes",
IF(S266&lt;=0,"Error: Effort value is not defined or is invalid.",
IF(AND(SUM(U266:W266)&gt;0,SUM(U266:W266)&lt;&gt;1),"Error: Complexity % distribution should sum to 100%.",
IF(AND(P266=AS_DEV_EFFORT,X266&lt;&gt;0),"Error: PDs should not be defined when defining as dev effort %.",
IF(AND(P266=AS_DURATION_EFFORT,X266&lt;&gt;0),"Error: PDs should not be defined when defining as duration effort %.","")))))</f>
        <v/>
      </c>
    </row>
    <row r="267" spans="1:30" s="11" customFormat="1" ht="7.5" hidden="1" customHeight="1" outlineLevel="2" x14ac:dyDescent="0.35">
      <c r="A267" s="93" t="s">
        <v>132</v>
      </c>
      <c r="B267" s="18"/>
      <c r="C267" s="78"/>
      <c r="D267" s="78"/>
      <c r="E267" s="78"/>
      <c r="F267" s="78"/>
      <c r="G267" s="10"/>
      <c r="H267" s="10"/>
      <c r="I267" s="10"/>
      <c r="J267" s="10"/>
      <c r="K267" s="10"/>
      <c r="L267" s="10"/>
      <c r="M267" s="287"/>
      <c r="N267" s="10"/>
      <c r="O267" s="10"/>
      <c r="P267" s="10"/>
      <c r="Q267" s="10"/>
      <c r="R267" s="10"/>
      <c r="S267" s="10"/>
      <c r="T267" s="18"/>
      <c r="U267" s="10"/>
      <c r="V267" s="10"/>
      <c r="W267" s="10"/>
      <c r="X267" s="18"/>
      <c r="Y267" s="10"/>
      <c r="Z267" s="10"/>
      <c r="AA267" s="10"/>
      <c r="AB267" s="60"/>
      <c r="AC267" s="60"/>
      <c r="AD267" s="12"/>
    </row>
    <row r="268" spans="1:30" s="17" customFormat="1" ht="15.5" hidden="1" outlineLevel="1" collapsed="1" x14ac:dyDescent="0.35">
      <c r="A268" s="93" t="s">
        <v>100</v>
      </c>
      <c r="B268" s="21"/>
      <c r="C268" s="84"/>
      <c r="D268" s="84"/>
      <c r="E268" s="84"/>
      <c r="F268" s="83"/>
      <c r="G268" s="32"/>
      <c r="H268" s="32"/>
      <c r="I268" s="32"/>
      <c r="J268" s="32"/>
      <c r="K268" s="32"/>
      <c r="L268" s="20">
        <f ca="1">LOOKUP(1000,INDIRECT("L1:"&amp;CELL("address",INDIRECT("R[-1]C",FALSE))))+1</f>
        <v>3</v>
      </c>
      <c r="M268" s="298" t="s">
        <v>507</v>
      </c>
      <c r="N268" s="298"/>
      <c r="O268" s="5"/>
      <c r="P268" s="33"/>
      <c r="Q268" s="33"/>
      <c r="R268" s="33"/>
      <c r="S268" s="33"/>
      <c r="T268" s="167">
        <f>IF($S$6="Exclude", SUMIFS(S269:S272, J269:J272, "&lt;&gt;Yes", G269:G272, "&lt;&gt;Yes"), SUMIFS(S269:S272, J269:J272, "&lt;&gt;Yes"))</f>
        <v>14</v>
      </c>
      <c r="U268" s="33"/>
      <c r="V268" s="33"/>
      <c r="W268" s="33"/>
      <c r="X268" s="34"/>
      <c r="Y268" s="35"/>
      <c r="Z268" s="35"/>
      <c r="AA268" s="35"/>
      <c r="AB268" s="240"/>
      <c r="AC268" s="36"/>
      <c r="AD268" s="26" t="str">
        <f>IF(M268="", "Error: Task name cannot be empty.", "")</f>
        <v/>
      </c>
    </row>
    <row r="269" spans="1:30" s="15" customFormat="1" ht="1.5" hidden="1" customHeight="1" outlineLevel="2" x14ac:dyDescent="0.35">
      <c r="A269" s="93" t="s">
        <v>101</v>
      </c>
      <c r="B269" s="21"/>
      <c r="C269" s="84"/>
      <c r="D269" s="84"/>
      <c r="E269" s="84"/>
      <c r="F269" s="83"/>
      <c r="G269" s="32"/>
      <c r="H269" s="32"/>
      <c r="I269" s="32"/>
      <c r="J269" s="32"/>
      <c r="K269" s="32"/>
      <c r="L269" s="175">
        <f ca="1">L268</f>
        <v>3</v>
      </c>
      <c r="M269" s="176" t="s">
        <v>105</v>
      </c>
      <c r="N269" s="173"/>
      <c r="O269" s="174"/>
      <c r="P269" s="33"/>
      <c r="Q269" s="33"/>
      <c r="R269" s="33"/>
      <c r="S269" s="33"/>
      <c r="T269" s="167"/>
      <c r="U269" s="33"/>
      <c r="V269" s="33"/>
      <c r="W269" s="33"/>
      <c r="X269" s="34"/>
      <c r="Y269" s="35"/>
      <c r="Z269" s="35"/>
      <c r="AA269" s="35"/>
      <c r="AB269" s="36"/>
      <c r="AC269" s="36"/>
      <c r="AD269" s="26"/>
    </row>
    <row r="270" spans="1:30" ht="87" hidden="1" outlineLevel="2" x14ac:dyDescent="0.35">
      <c r="A270" s="93" t="s">
        <v>0</v>
      </c>
      <c r="B270" s="21"/>
      <c r="C270" s="85"/>
      <c r="D270" s="85"/>
      <c r="E270" s="85"/>
      <c r="F270" s="86"/>
      <c r="G270" s="22" t="s">
        <v>23</v>
      </c>
      <c r="H270" s="22" t="s">
        <v>23</v>
      </c>
      <c r="I270" s="23" t="s">
        <v>23</v>
      </c>
      <c r="J270" s="22" t="s">
        <v>23</v>
      </c>
      <c r="K270" s="38"/>
      <c r="L270" s="22"/>
      <c r="M270" s="286" t="str">
        <f ca="1">IFERROR(OFFSET(M270,-1,,1,1)+0.1,OFFSET(M270,-1,-1,1,1)&amp;".1")</f>
        <v>3.1</v>
      </c>
      <c r="N270" s="23" t="s">
        <v>607</v>
      </c>
      <c r="O270" s="23"/>
      <c r="P270" s="23" t="s">
        <v>595</v>
      </c>
      <c r="Q270" s="144">
        <v>1</v>
      </c>
      <c r="R270" s="137">
        <v>3</v>
      </c>
      <c r="S270" s="169">
        <f>CEILING((IF(J270="Yes", 0, IF(H270="-",AA270,AA270+AA270*VLOOKUP(H270,BUFFERS_BY_TYPE,2,FALSE)))) +
   (IF(J270="Yes", 0, IF(H270="-",AA270,AA270+AA270*VLOOKUP(H270,BUFFERS_BY_TYPE,2,FALSE))))*VLOOKUP($S$5, SALES_CALL_SCALE_ARRAY, 2,FALSE),0.25)</f>
        <v>7</v>
      </c>
      <c r="T270" s="170"/>
      <c r="U270" s="24">
        <v>0</v>
      </c>
      <c r="V270" s="24">
        <v>1</v>
      </c>
      <c r="W270" s="24">
        <v>0</v>
      </c>
      <c r="X270" s="168">
        <v>7</v>
      </c>
      <c r="Y270" s="169">
        <f>CEILING((IF(P270=AS_DEV_EFFORT, DEV_EFFORT*Q270%,
                           IF(P270=AS_DURATION_EFFORT, (MANUAL_DURATION*5)*Q270%,
                                    (IF(Q270&lt;=1,X270,
                                          IF(SUM(U270:W270)=0,(Q270*X270),
                                               (((Q270*U270)*(X270+(X270*EXTRA_FOR_H)))+
                                               ((Q270*V270)*X270)+
                                               ((Q270*W270)*(X270-(X270*LESS_FOR_L)))
                                    )*IF(R270=0,1,R270))))))+Z270), 0.25)</f>
        <v>7</v>
      </c>
      <c r="Z270" s="25"/>
      <c r="AA270" s="169">
        <f>Y270+Y270*VLOOKUP(I270,EXTRAS_ARRAY,2,FALSE)</f>
        <v>7</v>
      </c>
      <c r="AB270" s="23"/>
      <c r="AC270" s="37"/>
      <c r="AD270" s="26" t="str">
        <f>IF(J270&lt;&gt;"Yes",
IF(S270&lt;=0,"Error: Effort value is not defined or is invalid.",
IF(AND(SUM(U270:W270)&gt;0,SUM(U270:W270)&lt;&gt;1),"Error: Complexity % distribution should sum to 100%.",
IF(AND(P270=AS_DEV_EFFORT,X270&lt;&gt;0),"Error: PDs should not be defined when defining as dev effort %.",
IF(AND(P270=AS_DURATION_EFFORT,X270&lt;&gt;0),"Error: PDs should not be defined when defining as duration effort %.","")))))</f>
        <v/>
      </c>
    </row>
    <row r="271" spans="1:30" ht="43.5" hidden="1" outlineLevel="2" x14ac:dyDescent="0.35">
      <c r="A271" s="93" t="s">
        <v>0</v>
      </c>
      <c r="B271" s="21"/>
      <c r="C271" s="85"/>
      <c r="D271" s="85"/>
      <c r="E271" s="85"/>
      <c r="F271" s="86"/>
      <c r="G271" s="22" t="s">
        <v>23</v>
      </c>
      <c r="H271" s="22" t="s">
        <v>23</v>
      </c>
      <c r="I271" s="23" t="s">
        <v>23</v>
      </c>
      <c r="J271" s="22" t="s">
        <v>23</v>
      </c>
      <c r="K271" s="38"/>
      <c r="L271" s="22"/>
      <c r="M271" s="286">
        <f ca="1">IFERROR(OFFSET(M271,-1,,1,1)+0.1,OFFSET(M271,-1,-1,1,1)&amp;".1")</f>
        <v>3.2</v>
      </c>
      <c r="N271" s="23" t="s">
        <v>508</v>
      </c>
      <c r="O271" s="23"/>
      <c r="P271" s="23" t="s">
        <v>519</v>
      </c>
      <c r="Q271" s="144">
        <v>1</v>
      </c>
      <c r="R271" s="137">
        <v>2</v>
      </c>
      <c r="S271" s="169">
        <f>CEILING((IF(J271="Yes", 0, IF(H271="-",AA271,AA271+AA271*VLOOKUP(H271,BUFFERS_BY_TYPE,2,FALSE)))) +
   (IF(J271="Yes", 0, IF(H271="-",AA271,AA271+AA271*VLOOKUP(H271,BUFFERS_BY_TYPE,2,FALSE))))*VLOOKUP($S$5, SALES_CALL_SCALE_ARRAY, 2,FALSE),0.25)</f>
        <v>7</v>
      </c>
      <c r="T271" s="170"/>
      <c r="U271" s="24">
        <v>0</v>
      </c>
      <c r="V271" s="24">
        <v>1</v>
      </c>
      <c r="W271" s="24">
        <v>0</v>
      </c>
      <c r="X271" s="168">
        <v>7</v>
      </c>
      <c r="Y271" s="169">
        <f>CEILING((IF(P271=AS_DEV_EFFORT, DEV_EFFORT*Q271%,
                           IF(P271=AS_DURATION_EFFORT, (MANUAL_DURATION*5)*Q271%,
                                    (IF(Q271&lt;=1,X271,
                                          IF(SUM(U271:W271)=0,(Q271*X271),
                                               (((Q271*U271)*(X271+(X271*EXTRA_FOR_H)))+
                                               ((Q271*V271)*X271)+
                                               ((Q271*W271)*(X271-(X271*LESS_FOR_L)))
                                    )*IF(R271=0,1,R271))))))+Z271), 0.25)</f>
        <v>7</v>
      </c>
      <c r="Z271" s="25"/>
      <c r="AA271" s="169">
        <f>Y271+Y271*VLOOKUP(I271,EXTRAS_ARRAY,2,FALSE)</f>
        <v>7</v>
      </c>
      <c r="AB271" s="23"/>
      <c r="AC271" s="37"/>
      <c r="AD271" s="26" t="str">
        <f>IF(J271&lt;&gt;"Yes",
IF(S271&lt;=0,"Error: Effort value is not defined or is invalid.",
IF(AND(SUM(U271:W271)&gt;0,SUM(U271:W271)&lt;&gt;1),"Error: Complexity % distribution should sum to 100%.",
IF(AND(P271=AS_DEV_EFFORT,X271&lt;&gt;0),"Error: PDs should not be defined when defining as dev effort %.",
IF(AND(P271=AS_DURATION_EFFORT,X271&lt;&gt;0),"Error: PDs should not be defined when defining as duration effort %.","")))))</f>
        <v/>
      </c>
    </row>
    <row r="272" spans="1:30" s="11" customFormat="1" ht="7.5" hidden="1" customHeight="1" outlineLevel="2" x14ac:dyDescent="0.35">
      <c r="A272" s="93" t="s">
        <v>132</v>
      </c>
      <c r="B272" s="18"/>
      <c r="C272" s="78"/>
      <c r="D272" s="78"/>
      <c r="E272" s="78"/>
      <c r="F272" s="78"/>
      <c r="G272" s="10"/>
      <c r="H272" s="10"/>
      <c r="I272" s="10"/>
      <c r="J272" s="10"/>
      <c r="K272" s="10"/>
      <c r="L272" s="10"/>
      <c r="M272" s="287"/>
      <c r="N272" s="10"/>
      <c r="O272" s="10"/>
      <c r="P272" s="10"/>
      <c r="Q272" s="10"/>
      <c r="R272" s="10"/>
      <c r="S272" s="10"/>
      <c r="T272" s="18"/>
      <c r="U272" s="10"/>
      <c r="V272" s="10"/>
      <c r="W272" s="10"/>
      <c r="X272" s="18"/>
      <c r="Y272" s="10"/>
      <c r="Z272" s="10"/>
      <c r="AA272" s="10"/>
      <c r="AB272" s="60"/>
      <c r="AC272" s="60"/>
      <c r="AD272" s="12"/>
    </row>
    <row r="273" spans="1:30" s="17" customFormat="1" ht="15.5" hidden="1" outlineLevel="1" collapsed="1" x14ac:dyDescent="0.35">
      <c r="A273" s="93" t="s">
        <v>100</v>
      </c>
      <c r="B273" s="21"/>
      <c r="C273" s="84"/>
      <c r="D273" s="84"/>
      <c r="E273" s="84"/>
      <c r="F273" s="83"/>
      <c r="G273" s="32"/>
      <c r="H273" s="32"/>
      <c r="I273" s="32"/>
      <c r="J273" s="32"/>
      <c r="K273" s="32"/>
      <c r="L273" s="20">
        <f ca="1">LOOKUP(1000,INDIRECT("L1:"&amp;CELL("address",INDIRECT("R[-1]C",FALSE))))+1</f>
        <v>4</v>
      </c>
      <c r="M273" s="298" t="s">
        <v>666</v>
      </c>
      <c r="N273" s="298"/>
      <c r="O273" s="5"/>
      <c r="P273" s="33"/>
      <c r="Q273" s="33"/>
      <c r="R273" s="33"/>
      <c r="S273" s="33"/>
      <c r="T273" s="167">
        <f>IF($S$6="Exclude", SUMIFS(S274:S276, J274:J276, "&lt;&gt;Yes", G274:G276, "&lt;&gt;Yes"), SUMIFS(S274:S276, J274:J276, "&lt;&gt;Yes"))</f>
        <v>3</v>
      </c>
      <c r="U273" s="33"/>
      <c r="V273" s="33"/>
      <c r="W273" s="33"/>
      <c r="X273" s="34"/>
      <c r="Y273" s="35"/>
      <c r="Z273" s="35"/>
      <c r="AA273" s="35"/>
      <c r="AB273" s="240" t="s">
        <v>443</v>
      </c>
      <c r="AC273" s="36"/>
      <c r="AD273" s="26" t="str">
        <f>IF(M273="", "Error: Task name cannot be empty.", "")</f>
        <v/>
      </c>
    </row>
    <row r="274" spans="1:30" s="15" customFormat="1" ht="1.5" hidden="1" customHeight="1" outlineLevel="2" x14ac:dyDescent="0.35">
      <c r="A274" s="93" t="s">
        <v>101</v>
      </c>
      <c r="B274" s="21"/>
      <c r="C274" s="84"/>
      <c r="D274" s="84"/>
      <c r="E274" s="84"/>
      <c r="F274" s="83"/>
      <c r="G274" s="32"/>
      <c r="H274" s="32"/>
      <c r="I274" s="32"/>
      <c r="J274" s="32"/>
      <c r="K274" s="32"/>
      <c r="L274" s="175">
        <f ca="1">L273</f>
        <v>4</v>
      </c>
      <c r="M274" s="176" t="s">
        <v>105</v>
      </c>
      <c r="N274" s="173"/>
      <c r="O274" s="174"/>
      <c r="P274" s="33"/>
      <c r="Q274" s="33"/>
      <c r="R274" s="33"/>
      <c r="S274" s="33"/>
      <c r="T274" s="167"/>
      <c r="U274" s="33"/>
      <c r="V274" s="33"/>
      <c r="W274" s="33"/>
      <c r="X274" s="34"/>
      <c r="Y274" s="35"/>
      <c r="Z274" s="35"/>
      <c r="AA274" s="35"/>
      <c r="AB274" s="36"/>
      <c r="AC274" s="36"/>
      <c r="AD274" s="26"/>
    </row>
    <row r="275" spans="1:30" ht="43.5" hidden="1" outlineLevel="2" x14ac:dyDescent="0.35">
      <c r="A275" s="93" t="s">
        <v>0</v>
      </c>
      <c r="B275" s="21"/>
      <c r="C275" s="85"/>
      <c r="D275" s="85"/>
      <c r="E275" s="85"/>
      <c r="F275" s="86"/>
      <c r="G275" s="22" t="s">
        <v>23</v>
      </c>
      <c r="H275" s="22" t="s">
        <v>23</v>
      </c>
      <c r="I275" s="23" t="s">
        <v>23</v>
      </c>
      <c r="J275" s="22" t="s">
        <v>23</v>
      </c>
      <c r="K275" s="38"/>
      <c r="L275" s="22"/>
      <c r="M275" s="286" t="str">
        <f ca="1">IFERROR(OFFSET(M275,-1,,1,1)+0.1,OFFSET(M275,-1,-1,1,1)&amp;".1")</f>
        <v>4.1</v>
      </c>
      <c r="N275" s="23" t="s">
        <v>667</v>
      </c>
      <c r="O275" s="23"/>
      <c r="P275" s="23"/>
      <c r="Q275" s="144"/>
      <c r="R275" s="137"/>
      <c r="S275" s="169">
        <f>CEILING((IF(J275="Yes", 0, IF(H275="-",AA275,AA275+AA275*VLOOKUP(H275,BUFFERS_BY_TYPE,2,FALSE)))) +
   (IF(J275="Yes", 0, IF(H275="-",AA275,AA275+AA275*VLOOKUP(H275,BUFFERS_BY_TYPE,2,FALSE))))*VLOOKUP($S$5, SALES_CALL_SCALE_ARRAY, 2,FALSE),0.25)</f>
        <v>3</v>
      </c>
      <c r="T275" s="170"/>
      <c r="U275" s="24">
        <v>0</v>
      </c>
      <c r="V275" s="24">
        <v>1</v>
      </c>
      <c r="W275" s="24">
        <v>0</v>
      </c>
      <c r="X275" s="168">
        <v>3</v>
      </c>
      <c r="Y275" s="169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3</v>
      </c>
      <c r="Z275" s="25"/>
      <c r="AA275" s="169">
        <f>Y275+Y275*VLOOKUP(I275,EXTRAS_ARRAY,2,FALSE)</f>
        <v>3</v>
      </c>
      <c r="AB275" s="23" t="s">
        <v>445</v>
      </c>
      <c r="AC275" s="37"/>
      <c r="AD275" s="26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s="11" customFormat="1" ht="7.5" hidden="1" customHeight="1" outlineLevel="2" x14ac:dyDescent="0.35">
      <c r="A276" s="93" t="s">
        <v>132</v>
      </c>
      <c r="B276" s="18"/>
      <c r="C276" s="78"/>
      <c r="D276" s="78"/>
      <c r="E276" s="78"/>
      <c r="F276" s="78"/>
      <c r="G276" s="10"/>
      <c r="H276" s="10"/>
      <c r="I276" s="10"/>
      <c r="J276" s="10"/>
      <c r="K276" s="10"/>
      <c r="L276" s="10"/>
      <c r="M276" s="287"/>
      <c r="N276" s="10"/>
      <c r="O276" s="10"/>
      <c r="P276" s="10"/>
      <c r="Q276" s="10"/>
      <c r="R276" s="10"/>
      <c r="S276" s="10"/>
      <c r="T276" s="18"/>
      <c r="U276" s="10"/>
      <c r="V276" s="10"/>
      <c r="W276" s="10"/>
      <c r="X276" s="18"/>
      <c r="Y276" s="10"/>
      <c r="Z276" s="10"/>
      <c r="AA276" s="10"/>
      <c r="AB276" s="60"/>
      <c r="AC276" s="60"/>
      <c r="AD276" s="12"/>
    </row>
    <row r="277" spans="1:30" s="17" customFormat="1" ht="15.5" hidden="1" outlineLevel="1" collapsed="1" x14ac:dyDescent="0.35">
      <c r="A277" s="93" t="s">
        <v>100</v>
      </c>
      <c r="B277" s="21"/>
      <c r="C277" s="84"/>
      <c r="D277" s="84"/>
      <c r="E277" s="84"/>
      <c r="F277" s="83"/>
      <c r="G277" s="32"/>
      <c r="H277" s="32"/>
      <c r="I277" s="32"/>
      <c r="J277" s="32"/>
      <c r="K277" s="32"/>
      <c r="L277" s="20">
        <f ca="1">LOOKUP(1000,INDIRECT("L1:"&amp;CELL("address",INDIRECT("R[-1]C",FALSE))))+1</f>
        <v>5</v>
      </c>
      <c r="M277" s="298" t="s">
        <v>509</v>
      </c>
      <c r="N277" s="298"/>
      <c r="O277" s="5"/>
      <c r="P277" s="33"/>
      <c r="Q277" s="33"/>
      <c r="R277" s="33"/>
      <c r="S277" s="33"/>
      <c r="T277" s="167">
        <f>IF($S$6="Exclude", SUMIFS(S278:S283, J278:J283, "&lt;&gt;Yes", G278:G283, "&lt;&gt;Yes"), SUMIFS(S278:S283, J278:J283, "&lt;&gt;Yes"))</f>
        <v>59</v>
      </c>
      <c r="U277" s="33"/>
      <c r="V277" s="33"/>
      <c r="W277" s="33"/>
      <c r="X277" s="34"/>
      <c r="Y277" s="35"/>
      <c r="Z277" s="35"/>
      <c r="AA277" s="35"/>
      <c r="AB277" s="240"/>
      <c r="AC277" s="36"/>
      <c r="AD277" s="26" t="str">
        <f>IF(M277="", "Error: Task name cannot be empty.", "")</f>
        <v/>
      </c>
    </row>
    <row r="278" spans="1:30" s="15" customFormat="1" ht="1.5" hidden="1" customHeight="1" outlineLevel="2" x14ac:dyDescent="0.35">
      <c r="A278" s="93" t="s">
        <v>101</v>
      </c>
      <c r="B278" s="21"/>
      <c r="C278" s="84"/>
      <c r="D278" s="84"/>
      <c r="E278" s="84"/>
      <c r="F278" s="83"/>
      <c r="G278" s="32"/>
      <c r="H278" s="32"/>
      <c r="I278" s="32"/>
      <c r="J278" s="32"/>
      <c r="K278" s="32"/>
      <c r="L278" s="175">
        <f ca="1">L277</f>
        <v>5</v>
      </c>
      <c r="M278" s="176" t="s">
        <v>105</v>
      </c>
      <c r="N278" s="173"/>
      <c r="O278" s="174"/>
      <c r="P278" s="33"/>
      <c r="Q278" s="33"/>
      <c r="R278" s="33"/>
      <c r="S278" s="33"/>
      <c r="T278" s="167"/>
      <c r="U278" s="33"/>
      <c r="V278" s="33"/>
      <c r="W278" s="33"/>
      <c r="X278" s="34"/>
      <c r="Y278" s="35"/>
      <c r="Z278" s="35"/>
      <c r="AA278" s="35"/>
      <c r="AB278" s="36"/>
      <c r="AC278" s="36"/>
      <c r="AD278" s="26"/>
    </row>
    <row r="279" spans="1:30" ht="43.5" hidden="1" outlineLevel="2" x14ac:dyDescent="0.35">
      <c r="A279" s="93" t="s">
        <v>0</v>
      </c>
      <c r="B279" s="21"/>
      <c r="C279" s="85"/>
      <c r="D279" s="85"/>
      <c r="E279" s="85"/>
      <c r="F279" s="86"/>
      <c r="G279" s="22" t="s">
        <v>23</v>
      </c>
      <c r="H279" s="22" t="s">
        <v>23</v>
      </c>
      <c r="I279" s="23" t="s">
        <v>23</v>
      </c>
      <c r="J279" s="22" t="s">
        <v>23</v>
      </c>
      <c r="K279" s="38"/>
      <c r="L279" s="22"/>
      <c r="M279" s="286" t="str">
        <f ca="1">IFERROR(OFFSET(M279,-1,,1,1)+0.1,OFFSET(M279,-1,-1,1,1)&amp;".1")</f>
        <v>5.1</v>
      </c>
      <c r="N279" s="23" t="s">
        <v>510</v>
      </c>
      <c r="O279" s="23"/>
      <c r="P279" s="23"/>
      <c r="Q279" s="144"/>
      <c r="R279" s="137"/>
      <c r="S279" s="169">
        <f>CEILING((IF(J279="Yes", 0, IF(H279="-",AA279,AA279+AA279*VLOOKUP(H279,BUFFERS_BY_TYPE,2,FALSE)))) +
   (IF(J279="Yes", 0, IF(H279="-",AA279,AA279+AA279*VLOOKUP(H279,BUFFERS_BY_TYPE,2,FALSE))))*VLOOKUP($S$5, SALES_CALL_SCALE_ARRAY, 2,FALSE),0.25)</f>
        <v>7</v>
      </c>
      <c r="T279" s="170"/>
      <c r="U279" s="24">
        <v>0</v>
      </c>
      <c r="V279" s="24">
        <v>1</v>
      </c>
      <c r="W279" s="24">
        <v>0</v>
      </c>
      <c r="X279" s="168">
        <v>7</v>
      </c>
      <c r="Y279" s="169">
        <f>CEILING((IF(P279=AS_DEV_EFFORT, DEV_EFFORT*Q279%,
                           IF(P279=AS_DURATION_EFFORT, (MANUAL_DURATION*5)*Q279%,
                                    (IF(Q279&lt;=1,X279,
                                          IF(SUM(U279:W279)=0,(Q279*X279),
                                               (((Q279*U279)*(X279+(X279*EXTRA_FOR_H)))+
                                               ((Q279*V279)*X279)+
                                               ((Q279*W279)*(X279-(X279*LESS_FOR_L)))
                                    )*IF(R279=0,1,R279))))))+Z279), 0.25)</f>
        <v>7</v>
      </c>
      <c r="Z279" s="25"/>
      <c r="AA279" s="169">
        <f>Y279+Y279*VLOOKUP(I279,EXTRAS_ARRAY,2,FALSE)</f>
        <v>7</v>
      </c>
      <c r="AB279" s="23"/>
      <c r="AC279" s="37"/>
      <c r="AD279" s="26" t="str">
        <f>IF(J279&lt;&gt;"Yes",
IF(S279&lt;=0,"Error: Effort value is not defined or is invalid.",
IF(AND(SUM(U279:W279)&gt;0,SUM(U279:W279)&lt;&gt;1),"Error: Complexity % distribution should sum to 100%.",
IF(AND(P279=AS_DEV_EFFORT,X279&lt;&gt;0),"Error: PDs should not be defined when defining as dev effort %.",
IF(AND(P279=AS_DURATION_EFFORT,X279&lt;&gt;0),"Error: PDs should not be defined when defining as duration effort %.","")))))</f>
        <v/>
      </c>
    </row>
    <row r="280" spans="1:30" ht="43.5" hidden="1" outlineLevel="2" x14ac:dyDescent="0.35">
      <c r="A280" s="93" t="s">
        <v>0</v>
      </c>
      <c r="B280" s="21"/>
      <c r="C280" s="85"/>
      <c r="D280" s="85"/>
      <c r="E280" s="85"/>
      <c r="F280" s="86"/>
      <c r="G280" s="22" t="s">
        <v>23</v>
      </c>
      <c r="H280" s="22" t="s">
        <v>23</v>
      </c>
      <c r="I280" s="23" t="s">
        <v>23</v>
      </c>
      <c r="J280" s="22" t="s">
        <v>23</v>
      </c>
      <c r="K280" s="38"/>
      <c r="L280" s="22"/>
      <c r="M280" s="286">
        <f ca="1">IFERROR(OFFSET(M280,-1,,1,1)+0.1,OFFSET(M280,-1,-1,1,1)&amp;".1")</f>
        <v>5.1999999999999993</v>
      </c>
      <c r="N280" s="23" t="s">
        <v>511</v>
      </c>
      <c r="O280" s="23"/>
      <c r="P280" s="23"/>
      <c r="Q280" s="144"/>
      <c r="R280" s="137"/>
      <c r="S280" s="169">
        <f>CEILING((IF(J280="Yes", 0, IF(H280="-",AA280,AA280+AA280*VLOOKUP(H280,BUFFERS_BY_TYPE,2,FALSE)))) +
   (IF(J280="Yes", 0, IF(H280="-",AA280,AA280+AA280*VLOOKUP(H280,BUFFERS_BY_TYPE,2,FALSE))))*VLOOKUP($S$5, SALES_CALL_SCALE_ARRAY, 2,FALSE),0.25)</f>
        <v>15</v>
      </c>
      <c r="T280" s="170"/>
      <c r="U280" s="24">
        <v>0</v>
      </c>
      <c r="V280" s="24">
        <v>1</v>
      </c>
      <c r="W280" s="24">
        <v>0</v>
      </c>
      <c r="X280" s="168">
        <v>15</v>
      </c>
      <c r="Y280" s="169">
        <f>CEILING((IF(P280=AS_DEV_EFFORT, DEV_EFFORT*Q280%,
                           IF(P280=AS_DURATION_EFFORT, (MANUAL_DURATION*5)*Q280%,
                                    (IF(Q280&lt;=1,X280,
                                          IF(SUM(U280:W280)=0,(Q280*X280),
                                               (((Q280*U280)*(X280+(X280*EXTRA_FOR_H)))+
                                               ((Q280*V280)*X280)+
                                               ((Q280*W280)*(X280-(X280*LESS_FOR_L)))
                                    )*IF(R280=0,1,R280))))))+Z280), 0.25)</f>
        <v>15</v>
      </c>
      <c r="Z280" s="25"/>
      <c r="AA280" s="169">
        <f>Y280+Y280*VLOOKUP(I280,EXTRAS_ARRAY,2,FALSE)</f>
        <v>15</v>
      </c>
      <c r="AB280" s="23"/>
      <c r="AC280" s="37"/>
      <c r="AD280" s="26" t="str">
        <f>IF(J280&lt;&gt;"Yes",
IF(S280&lt;=0,"Error: Effort value is not defined or is invalid.",
IF(AND(SUM(U280:W280)&gt;0,SUM(U280:W280)&lt;&gt;1),"Error: Complexity % distribution should sum to 100%.",
IF(AND(P280=AS_DEV_EFFORT,X280&lt;&gt;0),"Error: PDs should not be defined when defining as dev effort %.",
IF(AND(P280=AS_DURATION_EFFORT,X280&lt;&gt;0),"Error: PDs should not be defined when defining as duration effort %.","")))))</f>
        <v/>
      </c>
    </row>
    <row r="281" spans="1:30" ht="43.5" hidden="1" outlineLevel="2" x14ac:dyDescent="0.35">
      <c r="A281" s="93" t="s">
        <v>0</v>
      </c>
      <c r="B281" s="21"/>
      <c r="C281" s="85"/>
      <c r="D281" s="85"/>
      <c r="E281" s="85"/>
      <c r="F281" s="86"/>
      <c r="G281" s="22" t="s">
        <v>23</v>
      </c>
      <c r="H281" s="22" t="s">
        <v>23</v>
      </c>
      <c r="I281" s="23" t="s">
        <v>23</v>
      </c>
      <c r="J281" s="22" t="s">
        <v>23</v>
      </c>
      <c r="K281" s="38"/>
      <c r="L281" s="22"/>
      <c r="M281" s="286">
        <f ca="1">IFERROR(OFFSET(M281,-1,,1,1)+0.1,OFFSET(M281,-1,-1,1,1)&amp;".1")</f>
        <v>5.2999999999999989</v>
      </c>
      <c r="N281" s="23" t="s">
        <v>512</v>
      </c>
      <c r="O281" s="23"/>
      <c r="P281" s="23"/>
      <c r="Q281" s="144"/>
      <c r="R281" s="137"/>
      <c r="S281" s="169">
        <f>CEILING((IF(J281="Yes", 0, IF(H281="-",AA281,AA281+AA281*VLOOKUP(H281,BUFFERS_BY_TYPE,2,FALSE)))) +
   (IF(J281="Yes", 0, IF(H281="-",AA281,AA281+AA281*VLOOKUP(H281,BUFFERS_BY_TYPE,2,FALSE))))*VLOOKUP($S$5, SALES_CALL_SCALE_ARRAY, 2,FALSE),0.25)</f>
        <v>30</v>
      </c>
      <c r="T281" s="170"/>
      <c r="U281" s="24">
        <v>0</v>
      </c>
      <c r="V281" s="24">
        <v>1</v>
      </c>
      <c r="W281" s="24">
        <v>0</v>
      </c>
      <c r="X281" s="168">
        <v>30</v>
      </c>
      <c r="Y281" s="169">
        <f>CEILING((IF(P281=AS_DEV_EFFORT, DEV_EFFORT*Q281%,
                           IF(P281=AS_DURATION_EFFORT, (MANUAL_DURATION*5)*Q281%,
                                    (IF(Q281&lt;=1,X281,
                                          IF(SUM(U281:W281)=0,(Q281*X281),
                                               (((Q281*U281)*(X281+(X281*EXTRA_FOR_H)))+
                                               ((Q281*V281)*X281)+
                                               ((Q281*W281)*(X281-(X281*LESS_FOR_L)))
                                    )*IF(R281=0,1,R281))))))+Z281), 0.25)</f>
        <v>30</v>
      </c>
      <c r="Z281" s="25"/>
      <c r="AA281" s="169">
        <f>Y281+Y281*VLOOKUP(I281,EXTRAS_ARRAY,2,FALSE)</f>
        <v>30</v>
      </c>
      <c r="AB281" s="23"/>
      <c r="AC281" s="37"/>
      <c r="AD281" s="26" t="str">
        <f>IF(J281&lt;&gt;"Yes",
IF(S281&lt;=0,"Error: Effort value is not defined or is invalid.",
IF(AND(SUM(U281:W281)&gt;0,SUM(U281:W281)&lt;&gt;1),"Error: Complexity % distribution should sum to 100%.",
IF(AND(P281=AS_DEV_EFFORT,X281&lt;&gt;0),"Error: PDs should not be defined when defining as dev effort %.",
IF(AND(P281=AS_DURATION_EFFORT,X281&lt;&gt;0),"Error: PDs should not be defined when defining as duration effort %.","")))))</f>
        <v/>
      </c>
    </row>
    <row r="282" spans="1:30" ht="43.5" hidden="1" outlineLevel="2" x14ac:dyDescent="0.35">
      <c r="A282" s="93" t="s">
        <v>0</v>
      </c>
      <c r="B282" s="21"/>
      <c r="C282" s="85"/>
      <c r="D282" s="85"/>
      <c r="E282" s="85"/>
      <c r="F282" s="86"/>
      <c r="G282" s="22" t="s">
        <v>23</v>
      </c>
      <c r="H282" s="22" t="s">
        <v>23</v>
      </c>
      <c r="I282" s="23" t="s">
        <v>23</v>
      </c>
      <c r="J282" s="22" t="s">
        <v>23</v>
      </c>
      <c r="K282" s="38"/>
      <c r="L282" s="22"/>
      <c r="M282" s="286">
        <f ca="1">IFERROR(OFFSET(M282,-1,,1,1)+0.1,OFFSET(M282,-1,-1,1,1)&amp;".1")</f>
        <v>5.3999999999999986</v>
      </c>
      <c r="N282" s="23" t="s">
        <v>513</v>
      </c>
      <c r="O282" s="23"/>
      <c r="P282" s="23"/>
      <c r="Q282" s="144"/>
      <c r="R282" s="137"/>
      <c r="S282" s="169">
        <f>CEILING((IF(J282="Yes", 0, IF(H282="-",AA282,AA282+AA282*VLOOKUP(H282,BUFFERS_BY_TYPE,2,FALSE)))) +
   (IF(J282="Yes", 0, IF(H282="-",AA282,AA282+AA282*VLOOKUP(H282,BUFFERS_BY_TYPE,2,FALSE))))*VLOOKUP($S$5, SALES_CALL_SCALE_ARRAY, 2,FALSE),0.25)</f>
        <v>7</v>
      </c>
      <c r="T282" s="170"/>
      <c r="U282" s="24">
        <v>0</v>
      </c>
      <c r="V282" s="24">
        <v>1</v>
      </c>
      <c r="W282" s="24">
        <v>0</v>
      </c>
      <c r="X282" s="168">
        <v>7</v>
      </c>
      <c r="Y282" s="169">
        <f>CEILING((IF(P282=AS_DEV_EFFORT, DEV_EFFORT*Q282%,
                           IF(P282=AS_DURATION_EFFORT, (MANUAL_DURATION*5)*Q282%,
                                    (IF(Q282&lt;=1,X282,
                                          IF(SUM(U282:W282)=0,(Q282*X282),
                                               (((Q282*U282)*(X282+(X282*EXTRA_FOR_H)))+
                                               ((Q282*V282)*X282)+
                                               ((Q282*W282)*(X282-(X282*LESS_FOR_L)))
                                    )*IF(R282=0,1,R282))))))+Z282), 0.25)</f>
        <v>7</v>
      </c>
      <c r="Z282" s="25"/>
      <c r="AA282" s="169">
        <f>Y282+Y282*VLOOKUP(I282,EXTRAS_ARRAY,2,FALSE)</f>
        <v>7</v>
      </c>
      <c r="AB282" s="23"/>
      <c r="AC282" s="37"/>
      <c r="AD282" s="26" t="str">
        <f>IF(J282&lt;&gt;"Yes",
IF(S282&lt;=0,"Error: Effort value is not defined or is invalid.",
IF(AND(SUM(U282:W282)&gt;0,SUM(U282:W282)&lt;&gt;1),"Error: Complexity % distribution should sum to 100%.",
IF(AND(P282=AS_DEV_EFFORT,X282&lt;&gt;0),"Error: PDs should not be defined when defining as dev effort %.",
IF(AND(P282=AS_DURATION_EFFORT,X282&lt;&gt;0),"Error: PDs should not be defined when defining as duration effort %.","")))))</f>
        <v/>
      </c>
    </row>
    <row r="283" spans="1:30" s="11" customFormat="1" ht="7.5" hidden="1" customHeight="1" outlineLevel="2" x14ac:dyDescent="0.35">
      <c r="A283" s="93" t="s">
        <v>132</v>
      </c>
      <c r="B283" s="18"/>
      <c r="C283" s="78"/>
      <c r="D283" s="78"/>
      <c r="E283" s="78"/>
      <c r="F283" s="78"/>
      <c r="G283" s="10"/>
      <c r="H283" s="10"/>
      <c r="I283" s="10"/>
      <c r="J283" s="10"/>
      <c r="K283" s="10"/>
      <c r="L283" s="10"/>
      <c r="M283" s="287"/>
      <c r="N283" s="10"/>
      <c r="O283" s="10"/>
      <c r="P283" s="10"/>
      <c r="Q283" s="10"/>
      <c r="R283" s="10"/>
      <c r="S283" s="10"/>
      <c r="T283" s="18"/>
      <c r="U283" s="10"/>
      <c r="V283" s="10"/>
      <c r="W283" s="10"/>
      <c r="X283" s="18"/>
      <c r="Y283" s="10"/>
      <c r="Z283" s="10"/>
      <c r="AA283" s="10"/>
      <c r="AB283" s="60"/>
      <c r="AC283" s="60"/>
      <c r="AD283" s="12"/>
    </row>
    <row r="284" spans="1:30" s="11" customFormat="1" ht="3" hidden="1" customHeight="1" outlineLevel="1" x14ac:dyDescent="0.35">
      <c r="A284" s="93" t="s">
        <v>102</v>
      </c>
      <c r="B284" s="10"/>
      <c r="C284" s="78"/>
      <c r="D284" s="78"/>
      <c r="E284" s="78"/>
      <c r="F284" s="78"/>
      <c r="G284" s="59"/>
      <c r="H284" s="59"/>
      <c r="I284" s="59"/>
      <c r="J284" s="59"/>
      <c r="K284" s="59"/>
      <c r="L284" s="61"/>
      <c r="M284" s="288"/>
      <c r="N284" s="62"/>
      <c r="O284" s="62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2"/>
      <c r="AC284" s="62"/>
      <c r="AD284" s="12"/>
    </row>
    <row r="285" spans="1:30" s="17" customFormat="1" ht="18.5" collapsed="1" x14ac:dyDescent="0.35">
      <c r="A285" s="93" t="s">
        <v>98</v>
      </c>
      <c r="B285" s="14"/>
      <c r="C285" s="79"/>
      <c r="D285" s="79"/>
      <c r="E285" s="79"/>
      <c r="F285" s="78"/>
      <c r="G285" s="55"/>
      <c r="H285" s="55"/>
      <c r="I285" s="55"/>
      <c r="J285" s="55"/>
      <c r="K285" s="55"/>
      <c r="L285" s="55" t="s">
        <v>83</v>
      </c>
      <c r="M285" s="284" t="s">
        <v>76</v>
      </c>
      <c r="N285" s="56"/>
      <c r="O285" s="57"/>
      <c r="P285" s="58"/>
      <c r="Q285" s="58"/>
      <c r="R285" s="58"/>
      <c r="S285" s="301">
        <f>CEILING(SUMIF(J286:J291, "&lt;&gt;Yes", T286:T291),1)</f>
        <v>98</v>
      </c>
      <c r="T285" s="301"/>
      <c r="U285" s="58"/>
      <c r="V285" s="58"/>
      <c r="W285" s="58"/>
      <c r="X285" s="58"/>
      <c r="Y285" s="58"/>
      <c r="Z285" s="58"/>
      <c r="AA285" s="58"/>
      <c r="AB285" s="58"/>
      <c r="AC285" s="58"/>
      <c r="AD285" s="16"/>
    </row>
    <row r="286" spans="1:30" s="11" customFormat="1" ht="3" hidden="1" customHeight="1" outlineLevel="1" x14ac:dyDescent="0.35">
      <c r="A286" s="93" t="s">
        <v>99</v>
      </c>
      <c r="B286" s="18"/>
      <c r="C286" s="78"/>
      <c r="D286" s="78"/>
      <c r="E286" s="78"/>
      <c r="F286" s="78"/>
      <c r="G286" s="28"/>
      <c r="H286" s="28"/>
      <c r="I286" s="28"/>
      <c r="J286" s="28"/>
      <c r="K286" s="28"/>
      <c r="L286" s="29">
        <v>0</v>
      </c>
      <c r="M286" s="285"/>
      <c r="N286" s="28"/>
      <c r="O286" s="28"/>
      <c r="P286" s="28"/>
      <c r="Q286" s="28"/>
      <c r="R286" s="28"/>
      <c r="S286" s="28"/>
      <c r="T286" s="30"/>
      <c r="U286" s="28"/>
      <c r="V286" s="28"/>
      <c r="W286" s="28"/>
      <c r="X286" s="30"/>
      <c r="Y286" s="28"/>
      <c r="Z286" s="28"/>
      <c r="AA286" s="28"/>
      <c r="AB286" s="31"/>
      <c r="AC286" s="31"/>
      <c r="AD286" s="12"/>
    </row>
    <row r="287" spans="1:30" s="17" customFormat="1" ht="15.5" hidden="1" outlineLevel="1" collapsed="1" x14ac:dyDescent="0.35">
      <c r="A287" s="93" t="s">
        <v>100</v>
      </c>
      <c r="B287" s="21"/>
      <c r="C287" s="84"/>
      <c r="D287" s="84"/>
      <c r="E287" s="84"/>
      <c r="F287" s="83"/>
      <c r="G287" s="32"/>
      <c r="H287" s="32"/>
      <c r="I287" s="32"/>
      <c r="J287" s="32"/>
      <c r="K287" s="32"/>
      <c r="L287" s="20">
        <f ca="1">LOOKUP(1000,INDIRECT("L1:"&amp;CELL("address",INDIRECT("R[-1]C",FALSE))))+1</f>
        <v>1</v>
      </c>
      <c r="M287" s="298" t="s">
        <v>520</v>
      </c>
      <c r="N287" s="298"/>
      <c r="O287" s="5"/>
      <c r="P287" s="33"/>
      <c r="Q287" s="33"/>
      <c r="R287" s="33"/>
      <c r="S287" s="33"/>
      <c r="T287" s="167">
        <f>IF($S$6="Exclude", SUMIFS(S288:S290, J288:J290, "&lt;&gt;Yes", G288:G290, "&lt;&gt;Yes"), SUMIFS(S288:S290, J288:J290, "&lt;&gt;Yes"))</f>
        <v>97.25</v>
      </c>
      <c r="U287" s="33"/>
      <c r="V287" s="33"/>
      <c r="W287" s="33"/>
      <c r="X287" s="34"/>
      <c r="Y287" s="35"/>
      <c r="Z287" s="35"/>
      <c r="AA287" s="35"/>
      <c r="AB287" s="240"/>
      <c r="AC287" s="36"/>
      <c r="AD287" s="26" t="str">
        <f>IF(M287="", "Error: Task name cannot be empty.", "")</f>
        <v/>
      </c>
    </row>
    <row r="288" spans="1:30" s="15" customFormat="1" ht="1.5" hidden="1" customHeight="1" outlineLevel="2" x14ac:dyDescent="0.35">
      <c r="A288" s="93" t="s">
        <v>101</v>
      </c>
      <c r="B288" s="21"/>
      <c r="C288" s="84"/>
      <c r="D288" s="84"/>
      <c r="E288" s="84"/>
      <c r="F288" s="83"/>
      <c r="G288" s="32"/>
      <c r="H288" s="32"/>
      <c r="I288" s="32"/>
      <c r="J288" s="32"/>
      <c r="K288" s="32"/>
      <c r="L288" s="175">
        <f ca="1">L287</f>
        <v>1</v>
      </c>
      <c r="M288" s="176" t="s">
        <v>105</v>
      </c>
      <c r="N288" s="173"/>
      <c r="O288" s="174"/>
      <c r="P288" s="33"/>
      <c r="Q288" s="33"/>
      <c r="R288" s="33"/>
      <c r="S288" s="33"/>
      <c r="T288" s="167"/>
      <c r="U288" s="33"/>
      <c r="V288" s="33"/>
      <c r="W288" s="33"/>
      <c r="X288" s="34"/>
      <c r="Y288" s="35"/>
      <c r="Z288" s="35"/>
      <c r="AA288" s="35"/>
      <c r="AB288" s="36"/>
      <c r="AC288" s="36"/>
      <c r="AD288" s="26"/>
    </row>
    <row r="289" spans="1:30" ht="15.5" hidden="1" outlineLevel="2" x14ac:dyDescent="0.35">
      <c r="A289" s="93" t="s">
        <v>0</v>
      </c>
      <c r="B289" s="21"/>
      <c r="C289" s="85"/>
      <c r="D289" s="85"/>
      <c r="E289" s="85"/>
      <c r="F289" s="86"/>
      <c r="G289" s="22" t="s">
        <v>23</v>
      </c>
      <c r="H289" s="22" t="s">
        <v>23</v>
      </c>
      <c r="I289" s="23" t="s">
        <v>23</v>
      </c>
      <c r="J289" s="22" t="s">
        <v>23</v>
      </c>
      <c r="K289" s="38"/>
      <c r="L289" s="22"/>
      <c r="M289" s="286" t="str">
        <f ca="1">IFERROR(OFFSET(M289,-1,,1,1)+0.1,OFFSET(M289,-1,-1,1,1)&amp;".1")</f>
        <v>1.1</v>
      </c>
      <c r="N289" s="23" t="s">
        <v>521</v>
      </c>
      <c r="O289" s="23" t="s">
        <v>522</v>
      </c>
      <c r="P289" s="274">
        <v>0.1</v>
      </c>
      <c r="Q289" s="144"/>
      <c r="R289" s="137"/>
      <c r="S289" s="169">
        <f>CEILING((IF(J289="Yes", 0, IF(H289="-",AA289,AA289+AA289*VLOOKUP(H289,BUFFERS_BY_TYPE,2,FALSE)))) +
   (IF(J289="Yes", 0, IF(H289="-",AA289,AA289+AA289*VLOOKUP(H289,BUFFERS_BY_TYPE,2,FALSE))))*VLOOKUP($S$5, SALES_CALL_SCALE_ARRAY, 2,FALSE),0.25)</f>
        <v>97.25</v>
      </c>
      <c r="T289" s="170"/>
      <c r="U289" s="24">
        <v>0</v>
      </c>
      <c r="V289" s="24">
        <v>1</v>
      </c>
      <c r="W289" s="24">
        <v>0</v>
      </c>
      <c r="X289" s="168">
        <f>(REQ_EFFORT+DESIGN_EFFORT+DEV_EFFORT+QA_EFFORT+UAT_EFFORT) * P289</f>
        <v>97.2</v>
      </c>
      <c r="Y289" s="169">
        <f>CEILING((IF(P289=AS_DEV_EFFORT, DEV_EFFORT*Q289%,
                           IF(P289=AS_DURATION_EFFORT, (MANUAL_DURATION*5)*Q289%,
                                    (IF(Q289&lt;=1,X289,
                                          IF(SUM(U289:W289)=0,(Q289*X289),
                                               (((Q289*U289)*(X289+(X289*EXTRA_FOR_H)))+
                                               ((Q289*V289)*X289)+
                                               ((Q289*W289)*(X289-(X289*LESS_FOR_L)))
                                    )*IF(R289=0,1,R289))))))+Z289), 0.25)</f>
        <v>97.25</v>
      </c>
      <c r="Z289" s="25"/>
      <c r="AA289" s="169">
        <f>Y289+Y289*VLOOKUP(I289,EXTRAS_ARRAY,2,FALSE)</f>
        <v>97.25</v>
      </c>
      <c r="AB289" s="23"/>
      <c r="AC289" s="37"/>
      <c r="AD289" s="26" t="str">
        <f>IF(J289&lt;&gt;"Yes",
IF(S289&lt;=0,"Error: Effort value is not defined or is invalid.",
IF(AND(SUM(U289:W289)&gt;0,SUM(U289:W289)&lt;&gt;1),"Error: Complexity % distribution should sum to 100%.",
IF(AND(P289=AS_DEV_EFFORT,X289&lt;&gt;0),"Error: PDs should not be defined when defining as dev effort %.",
IF(AND(P289=AS_DURATION_EFFORT,X289&lt;&gt;0),"Error: PDs should not be defined when defining as duration effort %.","")))))</f>
        <v/>
      </c>
    </row>
    <row r="290" spans="1:30" s="11" customFormat="1" ht="7.5" hidden="1" customHeight="1" outlineLevel="2" x14ac:dyDescent="0.35">
      <c r="A290" s="93" t="s">
        <v>132</v>
      </c>
      <c r="B290" s="18"/>
      <c r="C290" s="78"/>
      <c r="D290" s="78"/>
      <c r="E290" s="78"/>
      <c r="F290" s="78"/>
      <c r="G290" s="10"/>
      <c r="H290" s="10"/>
      <c r="I290" s="10"/>
      <c r="J290" s="10"/>
      <c r="K290" s="10"/>
      <c r="L290" s="10"/>
      <c r="M290" s="287"/>
      <c r="N290" s="10"/>
      <c r="O290" s="10"/>
      <c r="P290" s="10"/>
      <c r="Q290" s="10"/>
      <c r="R290" s="10"/>
      <c r="S290" s="10"/>
      <c r="T290" s="18"/>
      <c r="U290" s="10"/>
      <c r="V290" s="10"/>
      <c r="W290" s="10"/>
      <c r="X290" s="18"/>
      <c r="Y290" s="10"/>
      <c r="Z290" s="10"/>
      <c r="AA290" s="10"/>
      <c r="AB290" s="60"/>
      <c r="AC290" s="60"/>
      <c r="AD290" s="12"/>
    </row>
    <row r="291" spans="1:30" s="11" customFormat="1" ht="3" hidden="1" customHeight="1" outlineLevel="1" x14ac:dyDescent="0.35">
      <c r="A291" s="93" t="s">
        <v>102</v>
      </c>
      <c r="B291" s="10"/>
      <c r="C291" s="78"/>
      <c r="D291" s="78"/>
      <c r="E291" s="78"/>
      <c r="F291" s="78"/>
      <c r="G291" s="59"/>
      <c r="H291" s="59"/>
      <c r="I291" s="59"/>
      <c r="J291" s="59"/>
      <c r="K291" s="59"/>
      <c r="L291" s="61"/>
      <c r="M291" s="288"/>
      <c r="N291" s="62"/>
      <c r="O291" s="62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2"/>
      <c r="AC291" s="62"/>
      <c r="AD291" s="12"/>
    </row>
    <row r="292" spans="1:30" s="11" customFormat="1" ht="20.25" customHeight="1" x14ac:dyDescent="0.35">
      <c r="A292" s="93" t="s">
        <v>103</v>
      </c>
      <c r="B292" s="10"/>
      <c r="C292" s="78"/>
      <c r="D292" s="78"/>
      <c r="E292" s="78"/>
      <c r="F292" s="78"/>
      <c r="G292" s="43"/>
      <c r="H292" s="43"/>
      <c r="I292" s="43"/>
      <c r="J292" s="43"/>
      <c r="K292" s="43"/>
      <c r="L292" s="146"/>
      <c r="M292" s="281"/>
      <c r="N292" s="43"/>
      <c r="O292" s="43"/>
      <c r="P292" s="43"/>
      <c r="Q292" s="43"/>
      <c r="R292" s="43"/>
      <c r="S292" s="302">
        <f>TOTAL_EFFORT</f>
        <v>1070</v>
      </c>
      <c r="T292" s="302"/>
      <c r="U292" s="43"/>
      <c r="V292" s="43"/>
      <c r="W292" s="43"/>
      <c r="X292" s="43"/>
      <c r="Y292" s="43"/>
      <c r="Z292" s="43"/>
      <c r="AA292" s="43"/>
      <c r="AB292" s="145"/>
      <c r="AC292" s="43"/>
      <c r="AD292" s="12"/>
    </row>
    <row r="293" spans="1:30" s="11" customFormat="1" x14ac:dyDescent="0.35">
      <c r="A293" s="93"/>
      <c r="B293" s="10"/>
      <c r="C293" s="80"/>
      <c r="D293" s="80"/>
      <c r="E293" s="80"/>
      <c r="F293" s="78"/>
      <c r="M293" s="275"/>
      <c r="N293" s="12"/>
      <c r="O293" s="12"/>
      <c r="AB293" s="12"/>
      <c r="AC293" s="12"/>
      <c r="AD293" s="12"/>
    </row>
    <row r="294" spans="1:30" s="11" customFormat="1" ht="20.25" customHeight="1" collapsed="1" x14ac:dyDescent="0.35">
      <c r="A294" s="93"/>
      <c r="B294" s="10"/>
      <c r="C294" s="78"/>
      <c r="D294" s="78"/>
      <c r="E294" s="78"/>
      <c r="F294" s="78"/>
      <c r="G294" s="308" t="s">
        <v>48</v>
      </c>
      <c r="H294" s="308"/>
      <c r="I294" s="200"/>
      <c r="J294" s="43"/>
      <c r="K294" s="43"/>
      <c r="L294" s="39"/>
      <c r="M294" s="289" t="s">
        <v>154</v>
      </c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12"/>
    </row>
    <row r="295" spans="1:30" s="11" customFormat="1" hidden="1" outlineLevel="1" x14ac:dyDescent="0.35">
      <c r="A295" s="93"/>
      <c r="B295" s="10"/>
      <c r="C295" s="80"/>
      <c r="D295" s="80"/>
      <c r="E295" s="80"/>
      <c r="F295" s="78"/>
      <c r="G295" s="28"/>
      <c r="H295" s="28"/>
      <c r="I295" s="28"/>
      <c r="J295" s="28"/>
      <c r="K295" s="28"/>
      <c r="L295" s="28"/>
      <c r="M295" s="285"/>
      <c r="N295" s="31"/>
      <c r="O295" s="31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31"/>
      <c r="AC295" s="31"/>
      <c r="AD295" s="12"/>
    </row>
    <row r="296" spans="1:30" s="11" customFormat="1" ht="15" hidden="1" customHeight="1" outlineLevel="1" x14ac:dyDescent="0.35">
      <c r="A296" s="93"/>
      <c r="B296" s="10"/>
      <c r="C296" s="80"/>
      <c r="D296" s="80"/>
      <c r="E296" s="80"/>
      <c r="F296" s="78"/>
      <c r="G296" s="28"/>
      <c r="H296" s="28"/>
      <c r="I296" s="28"/>
      <c r="J296" s="28"/>
      <c r="K296" s="28"/>
      <c r="L296" s="28"/>
      <c r="M296" s="325" t="s">
        <v>451</v>
      </c>
      <c r="N296" s="325"/>
      <c r="O296" s="325"/>
      <c r="P296" s="325"/>
      <c r="Q296" s="325"/>
      <c r="R296" s="325"/>
      <c r="S296" s="325"/>
      <c r="T296" s="325"/>
      <c r="U296" s="31"/>
      <c r="V296" s="31"/>
      <c r="W296" s="31"/>
      <c r="X296" s="28"/>
      <c r="Y296" s="28"/>
      <c r="Z296" s="28"/>
      <c r="AA296" s="28"/>
      <c r="AB296" s="31"/>
      <c r="AC296" s="31"/>
      <c r="AD296" s="12"/>
    </row>
    <row r="297" spans="1:30" s="11" customFormat="1" hidden="1" outlineLevel="1" x14ac:dyDescent="0.35">
      <c r="A297" s="93"/>
      <c r="B297" s="10"/>
      <c r="C297" s="80"/>
      <c r="D297" s="80"/>
      <c r="E297" s="80"/>
      <c r="F297" s="78"/>
      <c r="G297" s="28"/>
      <c r="H297" s="28"/>
      <c r="I297" s="28"/>
      <c r="J297" s="28"/>
      <c r="K297" s="28"/>
      <c r="L297" s="28"/>
      <c r="M297" s="325"/>
      <c r="N297" s="325"/>
      <c r="O297" s="325"/>
      <c r="P297" s="325"/>
      <c r="Q297" s="325"/>
      <c r="R297" s="325"/>
      <c r="S297" s="325"/>
      <c r="T297" s="325"/>
      <c r="U297" s="31"/>
      <c r="V297" s="31"/>
      <c r="W297" s="31"/>
      <c r="X297" s="28"/>
      <c r="Y297" s="28"/>
      <c r="Z297" s="28"/>
      <c r="AA297" s="28"/>
      <c r="AB297" s="31"/>
      <c r="AC297" s="31"/>
      <c r="AD297" s="12"/>
    </row>
    <row r="298" spans="1:30" s="11" customFormat="1" ht="3.75" hidden="1" customHeight="1" outlineLevel="1" x14ac:dyDescent="0.35">
      <c r="A298" s="93"/>
      <c r="B298" s="10"/>
      <c r="C298" s="80"/>
      <c r="D298" s="80"/>
      <c r="E298" s="80"/>
      <c r="F298" s="78"/>
      <c r="G298" s="28"/>
      <c r="H298" s="28"/>
      <c r="I298" s="28"/>
      <c r="J298" s="28"/>
      <c r="K298" s="28"/>
      <c r="L298" s="28"/>
      <c r="M298" s="285"/>
      <c r="N298" s="31"/>
      <c r="O298" s="31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31"/>
      <c r="AC298" s="31"/>
      <c r="AD298" s="12"/>
    </row>
    <row r="299" spans="1:30" s="11" customFormat="1" ht="15.5" hidden="1" outlineLevel="1" x14ac:dyDescent="0.35">
      <c r="A299" s="93"/>
      <c r="B299" s="10"/>
      <c r="C299" s="80"/>
      <c r="D299" s="80"/>
      <c r="E299" s="80"/>
      <c r="F299" s="78"/>
      <c r="G299" s="28"/>
      <c r="H299" s="28"/>
      <c r="I299" s="28"/>
      <c r="J299" s="28"/>
      <c r="K299" s="28"/>
      <c r="L299" s="28"/>
      <c r="M299" s="290" t="s">
        <v>153</v>
      </c>
      <c r="N299" s="203" t="s">
        <v>3</v>
      </c>
      <c r="O299" s="207" t="s">
        <v>59</v>
      </c>
      <c r="P299" s="206" t="str">
        <f>"Cost ("&amp;CHOSEN_CURRENCY&amp;")"</f>
        <v>Cost (-)</v>
      </c>
      <c r="Q299" s="28"/>
      <c r="R299" s="242" t="s">
        <v>441</v>
      </c>
      <c r="S299" s="63" t="s">
        <v>450</v>
      </c>
      <c r="T299" s="253" t="s">
        <v>452</v>
      </c>
      <c r="U299" s="241"/>
      <c r="V299" s="241"/>
      <c r="W299" s="28"/>
      <c r="X299" s="241"/>
      <c r="Y299" s="28"/>
      <c r="Z299" s="28"/>
      <c r="AA299" s="28"/>
      <c r="AB299" s="31"/>
      <c r="AC299" s="31"/>
      <c r="AD299" s="12"/>
    </row>
    <row r="300" spans="1:30" s="11" customFormat="1" ht="3" hidden="1" customHeight="1" outlineLevel="1" x14ac:dyDescent="0.35">
      <c r="A300" s="93"/>
      <c r="B300" s="10"/>
      <c r="C300" s="80"/>
      <c r="D300" s="80"/>
      <c r="E300" s="80"/>
      <c r="F300" s="78"/>
      <c r="G300" s="28"/>
      <c r="H300" s="28"/>
      <c r="I300" s="28"/>
      <c r="J300" s="28"/>
      <c r="K300" s="28"/>
      <c r="L300" s="28"/>
      <c r="M300" s="291"/>
      <c r="N300" s="268"/>
      <c r="O300" s="268"/>
      <c r="P300" s="267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31"/>
      <c r="AC300" s="31"/>
      <c r="AD300" s="12"/>
    </row>
    <row r="301" spans="1:30" s="11" customFormat="1" hidden="1" outlineLevel="1" x14ac:dyDescent="0.35">
      <c r="A301" s="93"/>
      <c r="B301" s="10"/>
      <c r="C301" s="80"/>
      <c r="D301" s="80"/>
      <c r="E301" s="80"/>
      <c r="F301" s="78"/>
      <c r="G301" s="28"/>
      <c r="H301" s="28"/>
      <c r="I301" s="28"/>
      <c r="J301" s="28"/>
      <c r="K301" s="28"/>
      <c r="L301" s="28"/>
      <c r="M301" s="285"/>
      <c r="N301" s="31"/>
      <c r="O301" s="31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31"/>
      <c r="AC301" s="31"/>
      <c r="AD301" s="12"/>
    </row>
    <row r="302" spans="1:30" s="11" customFormat="1" hidden="1" outlineLevel="1" x14ac:dyDescent="0.35">
      <c r="A302" s="93"/>
      <c r="B302" s="10"/>
      <c r="C302" s="80"/>
      <c r="D302" s="80"/>
      <c r="E302" s="80"/>
      <c r="F302" s="78"/>
      <c r="G302" s="28"/>
      <c r="H302" s="28"/>
      <c r="I302" s="28"/>
      <c r="J302" s="28"/>
      <c r="K302" s="28"/>
      <c r="L302" s="28"/>
      <c r="M302" s="285"/>
      <c r="N302" s="31"/>
      <c r="O302" s="31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31"/>
      <c r="AC302" s="31"/>
      <c r="AD302" s="12"/>
    </row>
    <row r="303" spans="1:30" s="11" customFormat="1" hidden="1" outlineLevel="1" x14ac:dyDescent="0.35">
      <c r="A303" s="93"/>
      <c r="B303" s="10"/>
      <c r="C303" s="80"/>
      <c r="D303" s="80"/>
      <c r="E303" s="80"/>
      <c r="F303" s="78"/>
      <c r="G303" s="28"/>
      <c r="H303" s="28"/>
      <c r="I303" s="28"/>
      <c r="J303" s="28"/>
      <c r="K303" s="28"/>
      <c r="L303" s="28"/>
      <c r="M303" s="285"/>
      <c r="N303" s="31"/>
      <c r="O303" s="31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31"/>
      <c r="AC303" s="31"/>
      <c r="AD303" s="12"/>
    </row>
    <row r="304" spans="1:30" s="11" customFormat="1" hidden="1" outlineLevel="1" x14ac:dyDescent="0.35">
      <c r="A304" s="93"/>
      <c r="B304" s="10"/>
      <c r="C304" s="80"/>
      <c r="D304" s="80"/>
      <c r="E304" s="80"/>
      <c r="F304" s="78"/>
      <c r="G304" s="28"/>
      <c r="H304" s="28"/>
      <c r="I304" s="28"/>
      <c r="J304" s="28"/>
      <c r="K304" s="28"/>
      <c r="L304" s="28"/>
      <c r="M304" s="285"/>
      <c r="N304" s="31"/>
      <c r="O304" s="31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31"/>
      <c r="AC304" s="31"/>
      <c r="AD304" s="12"/>
    </row>
    <row r="305" spans="1:30" s="11" customFormat="1" hidden="1" outlineLevel="1" x14ac:dyDescent="0.35">
      <c r="A305" s="93"/>
      <c r="B305" s="10"/>
      <c r="C305" s="80"/>
      <c r="D305" s="80"/>
      <c r="E305" s="80"/>
      <c r="F305" s="78"/>
      <c r="G305" s="28"/>
      <c r="H305" s="28"/>
      <c r="I305" s="28"/>
      <c r="J305" s="28"/>
      <c r="K305" s="28"/>
      <c r="L305" s="28"/>
      <c r="M305" s="285"/>
      <c r="N305" s="31"/>
      <c r="O305" s="31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31"/>
      <c r="AC305" s="31"/>
      <c r="AD305" s="12"/>
    </row>
    <row r="306" spans="1:30" s="11" customFormat="1" ht="3" hidden="1" customHeight="1" outlineLevel="1" x14ac:dyDescent="0.35">
      <c r="A306" s="93"/>
      <c r="B306" s="10"/>
      <c r="C306" s="80"/>
      <c r="D306" s="80"/>
      <c r="E306" s="80"/>
      <c r="F306" s="78"/>
      <c r="G306" s="28"/>
      <c r="H306" s="28"/>
      <c r="I306" s="28"/>
      <c r="J306" s="28"/>
      <c r="K306" s="28"/>
      <c r="L306" s="28"/>
      <c r="M306" s="291"/>
      <c r="N306" s="268"/>
      <c r="O306" s="268"/>
      <c r="P306" s="267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31"/>
      <c r="AC306" s="31"/>
      <c r="AD306" s="12"/>
    </row>
    <row r="307" spans="1:30" s="11" customFormat="1" hidden="1" outlineLevel="1" x14ac:dyDescent="0.35">
      <c r="A307" s="93"/>
      <c r="B307" s="10"/>
      <c r="C307" s="80"/>
      <c r="D307" s="80"/>
      <c r="E307" s="80"/>
      <c r="F307" s="78"/>
      <c r="G307" s="28"/>
      <c r="H307" s="28"/>
      <c r="I307" s="28"/>
      <c r="J307" s="28"/>
      <c r="K307" s="28"/>
      <c r="L307" s="28"/>
      <c r="M307" s="292"/>
      <c r="N307" s="204"/>
      <c r="O307" s="205">
        <f>TOTAL_EFFORT</f>
        <v>1070</v>
      </c>
      <c r="P307" s="205">
        <f>TOTAL_COST</f>
        <v>239680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31"/>
      <c r="AC307" s="31"/>
      <c r="AD307" s="12"/>
    </row>
    <row r="308" spans="1:30" s="11" customFormat="1" hidden="1" outlineLevel="1" x14ac:dyDescent="0.35">
      <c r="A308" s="93"/>
      <c r="B308" s="10"/>
      <c r="C308" s="80"/>
      <c r="D308" s="80"/>
      <c r="E308" s="80"/>
      <c r="F308" s="78"/>
      <c r="G308" s="28"/>
      <c r="H308" s="28"/>
      <c r="I308" s="28"/>
      <c r="J308" s="28"/>
      <c r="K308" s="28"/>
      <c r="L308" s="28"/>
      <c r="M308" s="285"/>
      <c r="N308" s="31"/>
      <c r="O308" s="31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31"/>
      <c r="AC308" s="31"/>
      <c r="AD308" s="12"/>
    </row>
    <row r="309" spans="1:30" s="11" customFormat="1" ht="20.25" hidden="1" customHeight="1" outlineLevel="1" x14ac:dyDescent="0.35">
      <c r="A309" s="93"/>
      <c r="B309" s="10"/>
      <c r="C309" s="78"/>
      <c r="D309" s="78"/>
      <c r="E309" s="78"/>
      <c r="F309" s="78"/>
      <c r="G309" s="43"/>
      <c r="H309" s="43"/>
      <c r="I309" s="43"/>
      <c r="J309" s="43"/>
      <c r="K309" s="43"/>
      <c r="L309" s="43"/>
      <c r="M309" s="281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12"/>
    </row>
    <row r="310" spans="1:30" ht="15" customHeight="1" x14ac:dyDescent="0.35">
      <c r="F310" s="78"/>
    </row>
    <row r="311" spans="1:30" s="11" customFormat="1" ht="20.25" customHeight="1" collapsed="1" x14ac:dyDescent="0.35">
      <c r="A311" s="93"/>
      <c r="B311" s="10"/>
      <c r="C311" s="78"/>
      <c r="D311" s="78"/>
      <c r="E311" s="78"/>
      <c r="F311" s="78"/>
      <c r="G311" s="308" t="s">
        <v>48</v>
      </c>
      <c r="H311" s="308"/>
      <c r="I311" s="178"/>
      <c r="J311" s="43"/>
      <c r="K311" s="43"/>
      <c r="L311" s="39"/>
      <c r="M311" s="289" t="s">
        <v>111</v>
      </c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12"/>
    </row>
    <row r="312" spans="1:30" hidden="1" outlineLevel="1" x14ac:dyDescent="0.35">
      <c r="F312" s="78"/>
      <c r="G312" s="63"/>
      <c r="H312" s="63"/>
      <c r="I312" s="63"/>
      <c r="J312" s="63"/>
      <c r="K312" s="63"/>
      <c r="L312" s="63"/>
      <c r="M312" s="294"/>
      <c r="N312" s="64"/>
      <c r="O312" s="64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4"/>
      <c r="AC312" s="31"/>
    </row>
    <row r="313" spans="1:30" hidden="1" outlineLevel="1" x14ac:dyDescent="0.35">
      <c r="F313" s="78"/>
      <c r="G313" s="68">
        <v>1</v>
      </c>
      <c r="H313" s="68"/>
      <c r="I313" s="68"/>
      <c r="J313" s="63"/>
      <c r="K313" s="63"/>
      <c r="L313" s="63"/>
      <c r="M313" s="294"/>
      <c r="N313" s="64"/>
      <c r="O313" s="64"/>
      <c r="P313" s="63"/>
      <c r="Q313" s="313" t="s">
        <v>79</v>
      </c>
      <c r="R313" s="313"/>
      <c r="S313" s="313"/>
      <c r="T313" s="313"/>
      <c r="U313" s="313"/>
      <c r="V313" s="313"/>
      <c r="W313" s="255"/>
      <c r="X313" s="222"/>
      <c r="Y313" s="63"/>
      <c r="Z313" s="63"/>
      <c r="AA313" s="63"/>
      <c r="AB313" s="64"/>
      <c r="AC313" s="31"/>
    </row>
    <row r="314" spans="1:30" ht="15" hidden="1" customHeight="1" outlineLevel="1" x14ac:dyDescent="0.35">
      <c r="B314" s="10" t="str">
        <f>IF(OR(COUNTBLANK(Q314:W314)&lt;&gt;0,SUM(Q314:W314)=0), ".", "")</f>
        <v/>
      </c>
      <c r="F314" s="78"/>
      <c r="G314" s="63">
        <v>2</v>
      </c>
      <c r="H314" s="68"/>
      <c r="I314" s="68"/>
      <c r="J314" s="63"/>
      <c r="K314" s="63"/>
      <c r="L314" s="63"/>
      <c r="M314" s="294"/>
      <c r="N314" s="100"/>
      <c r="O314" s="311" t="s">
        <v>29</v>
      </c>
      <c r="P314" s="311" t="s">
        <v>94</v>
      </c>
      <c r="Q314" s="53">
        <f>28 * 8</f>
        <v>224</v>
      </c>
      <c r="R314" s="53">
        <f t="shared" ref="R314:V314" si="15">28 * 8</f>
        <v>224</v>
      </c>
      <c r="S314" s="53">
        <f t="shared" si="15"/>
        <v>224</v>
      </c>
      <c r="T314" s="53">
        <f t="shared" si="15"/>
        <v>224</v>
      </c>
      <c r="U314" s="53">
        <f t="shared" si="15"/>
        <v>224</v>
      </c>
      <c r="V314" s="53">
        <f t="shared" si="15"/>
        <v>224</v>
      </c>
      <c r="W314" s="326" t="str">
        <f>CHOSEN_CURRENCY</f>
        <v>-</v>
      </c>
      <c r="X314" s="311"/>
      <c r="Y314" s="63"/>
      <c r="Z314" s="63"/>
      <c r="AA314" s="63"/>
      <c r="AB314" s="64"/>
      <c r="AC314" s="31"/>
    </row>
    <row r="315" spans="1:30" ht="15" hidden="1" customHeight="1" outlineLevel="1" x14ac:dyDescent="0.35">
      <c r="F315" s="78"/>
      <c r="G315" s="63">
        <v>3</v>
      </c>
      <c r="H315" s="68"/>
      <c r="I315" s="68"/>
      <c r="J315" s="63"/>
      <c r="K315" s="63"/>
      <c r="L315" s="63"/>
      <c r="M315" s="294"/>
      <c r="N315" s="100"/>
      <c r="O315" s="312"/>
      <c r="P315" s="312"/>
      <c r="Q315" s="295" t="s">
        <v>8</v>
      </c>
      <c r="R315" s="295" t="s">
        <v>9</v>
      </c>
      <c r="S315" s="295" t="s">
        <v>10</v>
      </c>
      <c r="T315" s="295" t="s">
        <v>12</v>
      </c>
      <c r="U315" s="295" t="s">
        <v>11</v>
      </c>
      <c r="V315" s="296" t="s">
        <v>13</v>
      </c>
      <c r="W315" s="327"/>
      <c r="X315" s="312"/>
      <c r="Y315" s="63"/>
      <c r="Z315" s="63"/>
      <c r="AA315" s="63"/>
      <c r="AB315" s="64"/>
      <c r="AC315" s="31"/>
    </row>
    <row r="316" spans="1:30" ht="15" hidden="1" customHeight="1" outlineLevel="1" x14ac:dyDescent="0.35">
      <c r="B316" s="10" t="str">
        <f t="shared" ref="B316:B321" si="16">IF(SUM(Q316:V316)&lt;&gt;1,".","")</f>
        <v/>
      </c>
      <c r="F316" s="78"/>
      <c r="G316" s="68">
        <v>4</v>
      </c>
      <c r="H316" s="68"/>
      <c r="I316" s="68"/>
      <c r="J316" s="63"/>
      <c r="K316" s="63"/>
      <c r="L316" s="67" t="s">
        <v>84</v>
      </c>
      <c r="M316" s="285" t="str">
        <f>$L$12</f>
        <v>A</v>
      </c>
      <c r="N316" s="31" t="str">
        <f>$M$12</f>
        <v>Discovery / Requirement Analysis</v>
      </c>
      <c r="O316" s="65">
        <f>S12</f>
        <v>196</v>
      </c>
      <c r="P316" s="104">
        <f>ROUND(REQ_EFFORT/5,0)</f>
        <v>39</v>
      </c>
      <c r="Q316" s="105">
        <v>0.85</v>
      </c>
      <c r="R316" s="269">
        <v>0.1</v>
      </c>
      <c r="S316" s="45"/>
      <c r="T316" s="45"/>
      <c r="U316" s="45"/>
      <c r="V316" s="46">
        <v>0.05</v>
      </c>
      <c r="W316" s="328">
        <f t="shared" ref="W316:W321" si="17">(($O316*Q316)*Q$314)+(($O316*R316)*R$314)+(($O316*S316)*S$314)+(($O316*T316)*T$314)+(($O316*U316)*U$314)+(($O316*V316)*V$314)</f>
        <v>43904</v>
      </c>
      <c r="X316" s="329"/>
      <c r="Y316" s="63"/>
      <c r="Z316" s="63"/>
      <c r="AA316" s="63"/>
      <c r="AB316" s="64"/>
      <c r="AC316" s="31"/>
    </row>
    <row r="317" spans="1:30" hidden="1" outlineLevel="1" x14ac:dyDescent="0.35">
      <c r="B317" s="10" t="str">
        <f t="shared" si="16"/>
        <v/>
      </c>
      <c r="F317" s="78"/>
      <c r="G317" s="63">
        <v>5</v>
      </c>
      <c r="H317" s="68"/>
      <c r="I317" s="68"/>
      <c r="J317" s="63"/>
      <c r="K317" s="63"/>
      <c r="L317" s="67" t="s">
        <v>85</v>
      </c>
      <c r="M317" s="285" t="str">
        <f>$L$59</f>
        <v>B</v>
      </c>
      <c r="N317" s="31" t="str">
        <f>$M$59</f>
        <v>System Design, Framework and Test Cases</v>
      </c>
      <c r="O317" s="65">
        <f>S59</f>
        <v>148</v>
      </c>
      <c r="P317" s="104">
        <f>ROUND(DESIGN_EFFORT/5,0)</f>
        <v>30</v>
      </c>
      <c r="Q317" s="45"/>
      <c r="R317" s="270">
        <v>0.7</v>
      </c>
      <c r="S317" s="44">
        <v>0.2</v>
      </c>
      <c r="T317" s="45"/>
      <c r="U317" s="44">
        <v>0.1</v>
      </c>
      <c r="V317" s="47"/>
      <c r="W317" s="328">
        <f t="shared" si="17"/>
        <v>33152</v>
      </c>
      <c r="X317" s="329"/>
      <c r="Y317" s="63"/>
      <c r="Z317" s="63"/>
      <c r="AA317" s="63"/>
      <c r="AB317" s="64"/>
      <c r="AC317" s="31"/>
    </row>
    <row r="318" spans="1:30" hidden="1" outlineLevel="1" x14ac:dyDescent="0.35">
      <c r="B318" s="10" t="str">
        <f t="shared" si="16"/>
        <v/>
      </c>
      <c r="F318" s="78"/>
      <c r="G318" s="63">
        <v>6</v>
      </c>
      <c r="H318" s="68"/>
      <c r="I318" s="68"/>
      <c r="J318" s="63"/>
      <c r="K318" s="63"/>
      <c r="L318" s="67" t="s">
        <v>87</v>
      </c>
      <c r="M318" s="285" t="str">
        <f>$L$90</f>
        <v>C</v>
      </c>
      <c r="N318" s="31" t="str">
        <f>$M$90</f>
        <v>Development and Unit Testing</v>
      </c>
      <c r="O318" s="65">
        <f>S90</f>
        <v>214</v>
      </c>
      <c r="P318" s="104">
        <f>ROUND(DEV_EFFORT/5,0)</f>
        <v>43</v>
      </c>
      <c r="Q318" s="45"/>
      <c r="R318" s="269"/>
      <c r="S318" s="44">
        <v>0.3</v>
      </c>
      <c r="T318" s="105">
        <v>0.7</v>
      </c>
      <c r="U318" s="45"/>
      <c r="V318" s="47"/>
      <c r="W318" s="328">
        <f t="shared" si="17"/>
        <v>47936</v>
      </c>
      <c r="X318" s="329"/>
      <c r="Y318" s="63"/>
      <c r="Z318" s="63"/>
      <c r="AA318" s="63"/>
      <c r="AB318" s="64"/>
      <c r="AC318" s="31"/>
    </row>
    <row r="319" spans="1:30" hidden="1" outlineLevel="1" x14ac:dyDescent="0.35">
      <c r="B319" s="10" t="str">
        <f t="shared" si="16"/>
        <v/>
      </c>
      <c r="F319" s="78"/>
      <c r="G319" s="68">
        <v>7</v>
      </c>
      <c r="H319" s="68"/>
      <c r="I319" s="68"/>
      <c r="J319" s="63"/>
      <c r="K319" s="63"/>
      <c r="L319" s="67" t="s">
        <v>11</v>
      </c>
      <c r="M319" s="285" t="str">
        <f>$L$220</f>
        <v>D</v>
      </c>
      <c r="N319" s="31" t="str">
        <f>$M$220</f>
        <v>System Testing and Stabilization</v>
      </c>
      <c r="O319" s="65">
        <f>S220</f>
        <v>297</v>
      </c>
      <c r="P319" s="104">
        <f>ROUND(QA_EFFORT/5,0)</f>
        <v>59</v>
      </c>
      <c r="Q319" s="45"/>
      <c r="R319" s="269"/>
      <c r="S319" s="44">
        <v>0.1</v>
      </c>
      <c r="T319" s="44">
        <v>0.1</v>
      </c>
      <c r="U319" s="105">
        <v>0.8</v>
      </c>
      <c r="V319" s="47"/>
      <c r="W319" s="328">
        <f t="shared" si="17"/>
        <v>66528.000000000015</v>
      </c>
      <c r="X319" s="329"/>
      <c r="Y319" s="63"/>
      <c r="Z319" s="63"/>
      <c r="AA319" s="63"/>
      <c r="AB319" s="64"/>
      <c r="AC319" s="31"/>
    </row>
    <row r="320" spans="1:30" hidden="1" outlineLevel="1" x14ac:dyDescent="0.35">
      <c r="B320" s="10" t="str">
        <f t="shared" si="16"/>
        <v/>
      </c>
      <c r="F320" s="78"/>
      <c r="G320" s="63">
        <v>8</v>
      </c>
      <c r="H320" s="68"/>
      <c r="I320" s="68"/>
      <c r="J320" s="63"/>
      <c r="K320" s="63"/>
      <c r="L320" s="67" t="s">
        <v>86</v>
      </c>
      <c r="M320" s="285" t="str">
        <f>$L$255</f>
        <v>E</v>
      </c>
      <c r="N320" s="31" t="str">
        <f>$M$255</f>
        <v>Deployment, UAT and Documentation</v>
      </c>
      <c r="O320" s="65">
        <f>S255</f>
        <v>117</v>
      </c>
      <c r="P320" s="104">
        <f>ROUND(UAT_EFFORT/5,0)</f>
        <v>23</v>
      </c>
      <c r="Q320" s="45"/>
      <c r="R320" s="269"/>
      <c r="S320" s="44">
        <v>0.4</v>
      </c>
      <c r="T320" s="105">
        <v>0.4</v>
      </c>
      <c r="U320" s="44">
        <v>0.2</v>
      </c>
      <c r="V320" s="47"/>
      <c r="W320" s="328">
        <f t="shared" si="17"/>
        <v>26208</v>
      </c>
      <c r="X320" s="329"/>
      <c r="Y320" s="63"/>
      <c r="Z320" s="63"/>
      <c r="AA320" s="63"/>
      <c r="AB320" s="64"/>
      <c r="AC320" s="31"/>
    </row>
    <row r="321" spans="2:29" hidden="1" outlineLevel="1" x14ac:dyDescent="0.35">
      <c r="B321" s="10" t="str">
        <f t="shared" si="16"/>
        <v/>
      </c>
      <c r="F321" s="78"/>
      <c r="G321" s="63">
        <v>9</v>
      </c>
      <c r="H321" s="68"/>
      <c r="I321" s="68"/>
      <c r="J321" s="63"/>
      <c r="K321" s="63"/>
      <c r="L321" s="67" t="s">
        <v>76</v>
      </c>
      <c r="M321" s="285" t="str">
        <f>$L$285</f>
        <v>F</v>
      </c>
      <c r="N321" s="31" t="str">
        <f>$M$285</f>
        <v>Others</v>
      </c>
      <c r="O321" s="65">
        <f>S285</f>
        <v>98</v>
      </c>
      <c r="P321" s="104">
        <f>ROUND(OTHER_EFFORT/5,0)</f>
        <v>20</v>
      </c>
      <c r="Q321" s="45"/>
      <c r="R321" s="269">
        <v>0.2</v>
      </c>
      <c r="S321" s="105">
        <v>0.8</v>
      </c>
      <c r="T321" s="45"/>
      <c r="U321" s="45"/>
      <c r="V321" s="47"/>
      <c r="W321" s="330">
        <f t="shared" si="17"/>
        <v>21952.000000000004</v>
      </c>
      <c r="X321" s="331"/>
      <c r="Y321" s="63"/>
      <c r="Z321" s="63"/>
      <c r="AA321" s="63"/>
      <c r="AB321" s="64"/>
      <c r="AC321" s="31"/>
    </row>
    <row r="322" spans="2:29" ht="21" hidden="1" outlineLevel="1" x14ac:dyDescent="0.35">
      <c r="F322" s="78"/>
      <c r="G322" s="68">
        <v>10</v>
      </c>
      <c r="H322" s="68"/>
      <c r="I322" s="68"/>
      <c r="J322" s="63"/>
      <c r="K322" s="63"/>
      <c r="L322" s="63"/>
      <c r="M322" s="294"/>
      <c r="N322" s="100"/>
      <c r="O322" s="261">
        <f>SUM(O316:O321)</f>
        <v>1070</v>
      </c>
      <c r="P322" s="262">
        <f>SUM(P316:P321)</f>
        <v>214</v>
      </c>
      <c r="Q322" s="333" t="s">
        <v>116</v>
      </c>
      <c r="R322" s="333"/>
      <c r="S322" s="333"/>
      <c r="T322" s="333"/>
      <c r="U322" s="333"/>
      <c r="V322" s="333"/>
      <c r="W322" s="332">
        <f>SUM(W316:W321)</f>
        <v>239680</v>
      </c>
      <c r="X322" s="332"/>
      <c r="Y322" s="63"/>
      <c r="Z322" s="63"/>
      <c r="AA322" s="63"/>
      <c r="AB322" s="64"/>
      <c r="AC322" s="31"/>
    </row>
    <row r="323" spans="2:29" hidden="1" outlineLevel="1" x14ac:dyDescent="0.35">
      <c r="F323" s="78"/>
      <c r="G323" s="63"/>
      <c r="H323" s="63"/>
      <c r="I323" s="63"/>
      <c r="J323" s="63"/>
      <c r="K323" s="63"/>
      <c r="L323" s="63"/>
      <c r="M323" s="294"/>
      <c r="N323" s="64"/>
      <c r="O323" s="64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4"/>
      <c r="AC323" s="31"/>
    </row>
    <row r="324" spans="2:29" ht="15" hidden="1" customHeight="1" outlineLevel="1" x14ac:dyDescent="0.35">
      <c r="F324" s="78"/>
      <c r="G324" s="63"/>
      <c r="H324" s="63"/>
      <c r="I324" s="63"/>
      <c r="J324" s="63"/>
      <c r="K324" s="63"/>
      <c r="L324" s="63"/>
      <c r="M324" s="294"/>
      <c r="N324" s="64"/>
      <c r="O324" s="64"/>
      <c r="P324" s="63"/>
      <c r="Q324" s="310" t="s">
        <v>114</v>
      </c>
      <c r="R324" s="310"/>
      <c r="S324" s="310"/>
      <c r="T324" s="310"/>
      <c r="U324" s="310"/>
      <c r="V324" s="310"/>
      <c r="W324" s="334" t="s">
        <v>453</v>
      </c>
      <c r="X324" s="334"/>
      <c r="Y324" s="222"/>
      <c r="Z324" s="222"/>
      <c r="AA324" s="222"/>
      <c r="AB324" s="64"/>
      <c r="AC324" s="31"/>
    </row>
    <row r="325" spans="2:29" ht="15" hidden="1" customHeight="1" outlineLevel="1" x14ac:dyDescent="0.35">
      <c r="F325" s="78"/>
      <c r="G325" s="63"/>
      <c r="H325" s="63"/>
      <c r="I325" s="63"/>
      <c r="J325" s="63"/>
      <c r="K325" s="63"/>
      <c r="L325" s="63"/>
      <c r="M325" s="285"/>
      <c r="N325" s="31"/>
      <c r="O325" s="107" t="s">
        <v>112</v>
      </c>
      <c r="P325" s="108" t="s">
        <v>113</v>
      </c>
      <c r="Q325" s="295" t="s">
        <v>8</v>
      </c>
      <c r="R325" s="295" t="s">
        <v>9</v>
      </c>
      <c r="S325" s="295" t="s">
        <v>10</v>
      </c>
      <c r="T325" s="295" t="s">
        <v>12</v>
      </c>
      <c r="U325" s="295" t="s">
        <v>11</v>
      </c>
      <c r="V325" s="296" t="s">
        <v>13</v>
      </c>
      <c r="W325" s="334"/>
      <c r="X325" s="334"/>
      <c r="Y325" s="63"/>
      <c r="Z325" s="102"/>
      <c r="AA325" s="102"/>
      <c r="AB325" s="102"/>
      <c r="AC325" s="102"/>
    </row>
    <row r="326" spans="2:29" ht="15" hidden="1" customHeight="1" outlineLevel="1" x14ac:dyDescent="0.35">
      <c r="F326" s="78"/>
      <c r="G326" s="63"/>
      <c r="H326" s="63"/>
      <c r="I326" s="63"/>
      <c r="J326" s="63"/>
      <c r="K326" s="63"/>
      <c r="L326" s="63"/>
      <c r="M326" s="285" t="str">
        <f>$L$12</f>
        <v>A</v>
      </c>
      <c r="N326" s="31" t="str">
        <f>$M$12</f>
        <v>Discovery / Requirement Analysis</v>
      </c>
      <c r="O326" s="112">
        <v>42583</v>
      </c>
      <c r="P326" s="109">
        <f>O326+(((P316*REQ_BA_PERCENT)/REQ_BA_COUNT)*7)</f>
        <v>42699.025000000001</v>
      </c>
      <c r="Q326" s="106">
        <v>2</v>
      </c>
      <c r="R326" s="223">
        <v>1</v>
      </c>
      <c r="S326" s="101"/>
      <c r="T326" s="101"/>
      <c r="U326" s="101"/>
      <c r="V326" s="54">
        <v>1</v>
      </c>
      <c r="W326" s="259">
        <v>0.75</v>
      </c>
      <c r="X326" s="63"/>
      <c r="Y326" s="324" t="s">
        <v>194</v>
      </c>
      <c r="Z326" s="324"/>
      <c r="AA326" s="324"/>
      <c r="AB326" s="64"/>
      <c r="AC326" s="103"/>
    </row>
    <row r="327" spans="2:29" hidden="1" outlineLevel="1" x14ac:dyDescent="0.35">
      <c r="F327" s="78"/>
      <c r="G327" s="63"/>
      <c r="H327" s="63"/>
      <c r="I327" s="63"/>
      <c r="J327" s="63"/>
      <c r="K327" s="63"/>
      <c r="L327" s="63"/>
      <c r="M327" s="285" t="str">
        <f>$L$59</f>
        <v>B</v>
      </c>
      <c r="N327" s="31" t="str">
        <f>$M$59</f>
        <v>System Design, Framework and Test Cases</v>
      </c>
      <c r="O327" s="110">
        <f>O326+((P326-O326)*W326)+1</f>
        <v>42671.018750000003</v>
      </c>
      <c r="P327" s="109">
        <f>O327+(((P317*DESIGN_TA_PERCENT)/DESIGN_TA_COUNT)*7)</f>
        <v>42720.018750000003</v>
      </c>
      <c r="Q327" s="101">
        <v>1</v>
      </c>
      <c r="R327" s="224">
        <v>3</v>
      </c>
      <c r="S327" s="101">
        <v>1</v>
      </c>
      <c r="T327" s="101"/>
      <c r="U327" s="101">
        <v>1</v>
      </c>
      <c r="V327" s="54"/>
      <c r="W327" s="260">
        <v>0.75</v>
      </c>
      <c r="X327" s="63"/>
      <c r="Y327" s="324"/>
      <c r="Z327" s="324"/>
      <c r="AA327" s="324"/>
      <c r="AB327" s="64"/>
      <c r="AC327" s="31"/>
    </row>
    <row r="328" spans="2:29" hidden="1" outlineLevel="1" x14ac:dyDescent="0.35">
      <c r="F328" s="78"/>
      <c r="G328" s="63"/>
      <c r="H328" s="63"/>
      <c r="I328" s="63"/>
      <c r="J328" s="63"/>
      <c r="K328" s="63"/>
      <c r="L328" s="63"/>
      <c r="M328" s="285" t="str">
        <f>$L$90</f>
        <v>C</v>
      </c>
      <c r="N328" s="31" t="str">
        <f>$M$90</f>
        <v>Development and Unit Testing</v>
      </c>
      <c r="O328" s="110">
        <f>O327+((P327-O327)*W327)+1</f>
        <v>42708.768750000003</v>
      </c>
      <c r="P328" s="109">
        <f>O328+(((P318*DEV_DEV_PERCENT)/DEV_DEV_COUNT)*7)</f>
        <v>42814.118750000001</v>
      </c>
      <c r="Q328" s="101"/>
      <c r="R328" s="223"/>
      <c r="S328" s="101">
        <v>1</v>
      </c>
      <c r="T328" s="106">
        <v>2</v>
      </c>
      <c r="U328" s="101"/>
      <c r="V328" s="54"/>
      <c r="W328" s="259">
        <v>0.75</v>
      </c>
      <c r="X328" s="63"/>
      <c r="Y328" s="324"/>
      <c r="Z328" s="324"/>
      <c r="AA328" s="324"/>
      <c r="AB328" s="64"/>
      <c r="AC328" s="31"/>
    </row>
    <row r="329" spans="2:29" hidden="1" outlineLevel="1" x14ac:dyDescent="0.35">
      <c r="F329" s="78"/>
      <c r="G329" s="63"/>
      <c r="H329" s="63"/>
      <c r="I329" s="63"/>
      <c r="J329" s="63"/>
      <c r="K329" s="63"/>
      <c r="L329" s="63"/>
      <c r="M329" s="285" t="str">
        <f>$L$220</f>
        <v>D</v>
      </c>
      <c r="N329" s="31" t="str">
        <f>$M$220</f>
        <v>System Testing and Stabilization</v>
      </c>
      <c r="O329" s="110">
        <f>O328+((P328-O328)*W328)+1</f>
        <v>42788.78125</v>
      </c>
      <c r="P329" s="109">
        <f>O329+(((P319*TESTING_QA_PERCENT)/TESTING_QA_COUNT)*7)</f>
        <v>43119.181250000001</v>
      </c>
      <c r="Q329" s="101"/>
      <c r="R329" s="223"/>
      <c r="S329" s="101">
        <v>1</v>
      </c>
      <c r="T329" s="101">
        <v>2</v>
      </c>
      <c r="U329" s="106">
        <v>1</v>
      </c>
      <c r="V329" s="256"/>
      <c r="W329" s="259">
        <v>1</v>
      </c>
      <c r="X329" s="63"/>
      <c r="Y329" s="324"/>
      <c r="Z329" s="324"/>
      <c r="AA329" s="324"/>
      <c r="AB329" s="64"/>
      <c r="AC329" s="31"/>
    </row>
    <row r="330" spans="2:29" hidden="1" outlineLevel="1" x14ac:dyDescent="0.35">
      <c r="F330" s="78"/>
      <c r="G330" s="63"/>
      <c r="H330" s="63"/>
      <c r="I330" s="63"/>
      <c r="J330" s="63"/>
      <c r="K330" s="63"/>
      <c r="L330" s="63"/>
      <c r="M330" s="285" t="str">
        <f>$L$255</f>
        <v>E</v>
      </c>
      <c r="N330" s="31" t="str">
        <f>$M$255</f>
        <v>Deployment, UAT and Documentation</v>
      </c>
      <c r="O330" s="110">
        <f>O329+((P329-O329)*W329)+1</f>
        <v>43120.181250000001</v>
      </c>
      <c r="P330" s="109">
        <f>O330+(((P320*UAT_DEV_PERCENT)/UAT_DEV_COUNT)*7)</f>
        <v>43152.381249999999</v>
      </c>
      <c r="Q330" s="101"/>
      <c r="R330" s="223"/>
      <c r="S330" s="101">
        <v>1</v>
      </c>
      <c r="T330" s="106">
        <v>2</v>
      </c>
      <c r="U330" s="101">
        <v>1</v>
      </c>
      <c r="V330" s="54"/>
      <c r="W330" s="259">
        <v>1</v>
      </c>
      <c r="X330" s="63"/>
      <c r="Y330" s="324"/>
      <c r="Z330" s="324"/>
      <c r="AA330" s="324"/>
      <c r="AB330" s="64"/>
      <c r="AC330" s="31"/>
    </row>
    <row r="331" spans="2:29" hidden="1" outlineLevel="1" x14ac:dyDescent="0.35">
      <c r="F331" s="78"/>
      <c r="G331" s="63"/>
      <c r="H331" s="63"/>
      <c r="I331" s="63"/>
      <c r="J331" s="63"/>
      <c r="K331" s="63"/>
      <c r="L331" s="63"/>
      <c r="M331" s="285" t="str">
        <f>$L$285</f>
        <v>F</v>
      </c>
      <c r="N331" s="31" t="str">
        <f>$M$285</f>
        <v>Others</v>
      </c>
      <c r="O331" s="111">
        <f>O330+((P330-O330)*W330)+1</f>
        <v>43153.381249999999</v>
      </c>
      <c r="P331" s="118">
        <f>O331+(((P321*OTHER_TL_PERCENT)/OTHER_TL_COUNT)*7)</f>
        <v>43265.381249999999</v>
      </c>
      <c r="Q331" s="119"/>
      <c r="R331" s="225">
        <v>0.5</v>
      </c>
      <c r="S331" s="120">
        <v>1</v>
      </c>
      <c r="T331" s="119"/>
      <c r="U331" s="119"/>
      <c r="V331" s="121"/>
      <c r="W331" s="257"/>
      <c r="X331" s="63"/>
      <c r="Y331" s="63"/>
      <c r="Z331" s="63"/>
      <c r="AA331" s="63"/>
      <c r="AB331" s="64"/>
      <c r="AC331" s="31"/>
    </row>
    <row r="332" spans="2:29" ht="15.5" hidden="1" outlineLevel="1" x14ac:dyDescent="0.35">
      <c r="F332" s="78"/>
      <c r="G332" s="63">
        <v>1</v>
      </c>
      <c r="H332" s="63"/>
      <c r="I332" s="63"/>
      <c r="J332" s="63"/>
      <c r="K332" s="63"/>
      <c r="L332" s="28"/>
      <c r="M332" s="285"/>
      <c r="N332" s="28"/>
      <c r="O332" s="115" t="s">
        <v>118</v>
      </c>
      <c r="P332" s="124">
        <f>NETWORKDAYS(START_DATE,AUTOMATED_END_DATE)/5</f>
        <v>97.8</v>
      </c>
      <c r="Q332" s="123" t="s">
        <v>94</v>
      </c>
      <c r="R332" s="122"/>
      <c r="S332" s="117" t="s">
        <v>117</v>
      </c>
      <c r="T332" s="303">
        <f>AUTOMATED_END_DATE</f>
        <v>43265.381249999999</v>
      </c>
      <c r="U332" s="303"/>
      <c r="V332" s="258"/>
      <c r="W332" s="258"/>
      <c r="X332" s="258"/>
      <c r="Y332" s="28"/>
      <c r="Z332" s="28"/>
      <c r="AA332" s="28"/>
      <c r="AB332" s="31"/>
      <c r="AC332" s="31"/>
    </row>
    <row r="333" spans="2:29" ht="15.5" hidden="1" outlineLevel="1" x14ac:dyDescent="0.35">
      <c r="F333" s="78"/>
      <c r="G333" s="63">
        <v>2</v>
      </c>
      <c r="H333" s="63"/>
      <c r="I333" s="63"/>
      <c r="J333" s="63"/>
      <c r="K333" s="63"/>
      <c r="L333" s="28"/>
      <c r="M333" s="285"/>
      <c r="N333" s="28"/>
      <c r="O333" s="115" t="s">
        <v>119</v>
      </c>
      <c r="P333" s="124">
        <f>NETWORKDAYS(START_DATE,MANUAL_END_DATE)/5</f>
        <v>-143</v>
      </c>
      <c r="Q333" s="123" t="s">
        <v>94</v>
      </c>
      <c r="R333" s="116"/>
      <c r="S333" s="117" t="s">
        <v>117</v>
      </c>
      <c r="T333" s="303">
        <f>MANUAL_END_DATE</f>
        <v>41583</v>
      </c>
      <c r="U333" s="303"/>
      <c r="V333" s="258"/>
      <c r="W333" s="258"/>
      <c r="X333" s="258"/>
      <c r="Y333" s="28"/>
      <c r="Z333" s="28"/>
      <c r="AA333" s="28"/>
      <c r="AB333" s="31"/>
      <c r="AC333" s="31"/>
    </row>
    <row r="334" spans="2:29" ht="15" hidden="1" customHeight="1" outlineLevel="1" x14ac:dyDescent="0.35">
      <c r="F334" s="78"/>
      <c r="G334" s="63"/>
      <c r="H334" s="63"/>
      <c r="I334" s="63"/>
      <c r="J334" s="63"/>
      <c r="K334" s="63"/>
      <c r="L334" s="28"/>
      <c r="M334" s="285"/>
      <c r="N334" s="28"/>
      <c r="O334" s="113"/>
      <c r="P334" s="66"/>
      <c r="Q334" s="114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31"/>
      <c r="AC334" s="31"/>
    </row>
    <row r="335" spans="2:29" hidden="1" outlineLevel="1" x14ac:dyDescent="0.35">
      <c r="F335" s="78"/>
      <c r="G335" s="63">
        <v>3</v>
      </c>
      <c r="H335" s="63"/>
      <c r="I335" s="63"/>
      <c r="J335" s="63"/>
      <c r="K335" s="63"/>
      <c r="L335" s="28"/>
      <c r="M335" s="285"/>
      <c r="N335" s="31"/>
      <c r="O335" s="31"/>
      <c r="P335" s="28"/>
      <c r="Q335" s="28"/>
      <c r="R335" s="28"/>
      <c r="S335" s="75" t="s">
        <v>115</v>
      </c>
      <c r="T335" s="76" t="s">
        <v>92</v>
      </c>
      <c r="U335" s="28"/>
      <c r="V335" s="28"/>
      <c r="W335" s="28"/>
      <c r="X335" s="28"/>
      <c r="Y335" s="28"/>
      <c r="Z335" s="28"/>
      <c r="AA335" s="28"/>
      <c r="AB335" s="31"/>
      <c r="AC335" s="31"/>
    </row>
    <row r="336" spans="2:29" hidden="1" outlineLevel="1" x14ac:dyDescent="0.35">
      <c r="F336" s="78"/>
      <c r="G336" s="63"/>
      <c r="H336" s="63"/>
      <c r="I336" s="63"/>
      <c r="J336" s="63"/>
      <c r="K336" s="63"/>
      <c r="L336" s="28"/>
      <c r="M336" s="285"/>
      <c r="N336" s="31"/>
      <c r="O336" s="31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31"/>
      <c r="AC336" s="31"/>
    </row>
    <row r="337" spans="1:30" s="11" customFormat="1" ht="20.25" hidden="1" customHeight="1" outlineLevel="1" x14ac:dyDescent="0.35">
      <c r="A337" s="93"/>
      <c r="B337" s="10"/>
      <c r="C337" s="78"/>
      <c r="D337" s="78"/>
      <c r="E337" s="78"/>
      <c r="F337" s="78"/>
      <c r="G337" s="43"/>
      <c r="H337" s="43"/>
      <c r="I337" s="43"/>
      <c r="J337" s="43"/>
      <c r="K337" s="43"/>
      <c r="L337" s="43"/>
      <c r="M337" s="281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12"/>
    </row>
    <row r="338" spans="1:30" s="11" customFormat="1" x14ac:dyDescent="0.35">
      <c r="A338" s="93"/>
      <c r="B338" s="10"/>
      <c r="C338" s="80"/>
      <c r="D338" s="80"/>
      <c r="E338" s="80"/>
      <c r="F338" s="78"/>
      <c r="M338" s="275"/>
      <c r="N338" s="12"/>
      <c r="O338" s="12"/>
      <c r="AB338" s="12"/>
      <c r="AC338" s="12"/>
      <c r="AD338" s="12"/>
    </row>
    <row r="339" spans="1:30" s="11" customFormat="1" ht="20.25" customHeight="1" collapsed="1" x14ac:dyDescent="0.35">
      <c r="A339" s="93"/>
      <c r="B339" s="10"/>
      <c r="C339" s="78"/>
      <c r="D339" s="78"/>
      <c r="E339" s="78"/>
      <c r="F339" s="78"/>
      <c r="G339" s="308" t="s">
        <v>48</v>
      </c>
      <c r="H339" s="308"/>
      <c r="I339" s="178"/>
      <c r="J339" s="43"/>
      <c r="K339" s="43"/>
      <c r="L339" s="39"/>
      <c r="M339" s="289" t="s">
        <v>185</v>
      </c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219" t="str">
        <f>TEMPLATE_NAME&amp;" "&amp;TEMPLATE_VER</f>
        <v>AG Estimation Template -  Version 2.0.4</v>
      </c>
      <c r="AC339" s="39"/>
      <c r="AD339" s="12"/>
    </row>
    <row r="340" spans="1:30" s="11" customFormat="1" hidden="1" outlineLevel="1" x14ac:dyDescent="0.35">
      <c r="A340" s="93"/>
      <c r="B340" s="10"/>
      <c r="C340" s="80"/>
      <c r="D340" s="80"/>
      <c r="E340" s="80"/>
      <c r="F340" s="78"/>
      <c r="G340" s="28"/>
      <c r="H340" s="28"/>
      <c r="I340" s="28"/>
      <c r="J340" s="28"/>
      <c r="K340" s="28"/>
      <c r="L340" s="28"/>
      <c r="M340" s="285"/>
      <c r="N340" s="31"/>
      <c r="O340" s="31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31"/>
      <c r="AC340" s="31"/>
      <c r="AD340" s="12"/>
    </row>
    <row r="341" spans="1:30" s="11" customFormat="1" ht="15" hidden="1" customHeight="1" outlineLevel="1" x14ac:dyDescent="0.35">
      <c r="A341" s="93"/>
      <c r="B341" s="10"/>
      <c r="C341" s="80"/>
      <c r="D341" s="80"/>
      <c r="E341" s="80"/>
      <c r="F341" s="78"/>
      <c r="G341" s="28"/>
      <c r="H341" s="28"/>
      <c r="I341" s="28"/>
      <c r="J341" s="28"/>
      <c r="K341" s="28"/>
      <c r="L341" s="28"/>
      <c r="M341" s="285"/>
      <c r="N341" s="142" t="s">
        <v>130</v>
      </c>
      <c r="O341" s="31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31"/>
      <c r="AC341" s="31"/>
      <c r="AD341" s="12"/>
    </row>
    <row r="342" spans="1:30" s="11" customFormat="1" ht="14.25" hidden="1" customHeight="1" outlineLevel="1" x14ac:dyDescent="0.35">
      <c r="A342" s="93"/>
      <c r="B342" s="10"/>
      <c r="C342" s="78"/>
      <c r="D342" s="78"/>
      <c r="E342" s="78"/>
      <c r="F342" s="78"/>
      <c r="G342" s="28"/>
      <c r="H342" s="28"/>
      <c r="I342" s="28"/>
      <c r="J342" s="28"/>
      <c r="K342" s="28"/>
      <c r="L342" s="28"/>
      <c r="M342" s="285"/>
      <c r="N342" s="157" t="s">
        <v>5</v>
      </c>
      <c r="O342" s="155" t="s">
        <v>5</v>
      </c>
      <c r="P342" s="187"/>
      <c r="Q342" s="187"/>
      <c r="R342" s="188"/>
      <c r="S342" s="189"/>
      <c r="T342" s="187"/>
      <c r="U342" s="187"/>
      <c r="V342" s="187"/>
      <c r="W342" s="187"/>
      <c r="X342" s="28"/>
      <c r="Y342" s="28"/>
      <c r="Z342" s="28"/>
      <c r="AA342" s="28"/>
      <c r="AB342" s="28"/>
      <c r="AC342" s="31"/>
      <c r="AD342" s="12"/>
    </row>
    <row r="343" spans="1:30" s="11" customFormat="1" ht="14.25" hidden="1" customHeight="1" outlineLevel="1" x14ac:dyDescent="0.35">
      <c r="A343" s="93"/>
      <c r="B343" s="10"/>
      <c r="C343" s="78"/>
      <c r="D343" s="78"/>
      <c r="E343" s="78"/>
      <c r="F343" s="78"/>
      <c r="G343" s="28"/>
      <c r="H343" s="28"/>
      <c r="I343" s="28"/>
      <c r="J343" s="28"/>
      <c r="K343" s="28"/>
      <c r="L343" s="28"/>
      <c r="M343" s="285"/>
      <c r="N343" s="157" t="s">
        <v>30</v>
      </c>
      <c r="O343" s="156" t="s">
        <v>30</v>
      </c>
      <c r="P343" s="187"/>
      <c r="Q343" s="187"/>
      <c r="R343" s="189"/>
      <c r="S343" s="189"/>
      <c r="T343" s="187"/>
      <c r="U343" s="187"/>
      <c r="V343" s="187"/>
      <c r="W343" s="187"/>
      <c r="X343" s="28"/>
      <c r="Y343" s="28"/>
      <c r="Z343" s="28"/>
      <c r="AA343" s="28"/>
      <c r="AB343" s="28"/>
      <c r="AC343" s="31"/>
      <c r="AD343" s="12"/>
    </row>
    <row r="344" spans="1:30" s="11" customFormat="1" ht="14.25" hidden="1" customHeight="1" outlineLevel="1" x14ac:dyDescent="0.35">
      <c r="A344" s="93"/>
      <c r="B344" s="10"/>
      <c r="C344" s="78"/>
      <c r="D344" s="78"/>
      <c r="E344" s="78"/>
      <c r="F344" s="78"/>
      <c r="G344" s="28"/>
      <c r="H344" s="28"/>
      <c r="I344" s="28"/>
      <c r="J344" s="28"/>
      <c r="K344" s="28"/>
      <c r="L344" s="28"/>
      <c r="M344" s="285"/>
      <c r="N344" s="157" t="s">
        <v>36</v>
      </c>
      <c r="O344" s="156" t="s">
        <v>23</v>
      </c>
      <c r="P344" s="187"/>
      <c r="Q344" s="187"/>
      <c r="R344" s="189"/>
      <c r="S344" s="140"/>
      <c r="T344" s="140"/>
      <c r="U344" s="140"/>
      <c r="V344" s="187"/>
      <c r="W344" s="187"/>
      <c r="X344" s="28"/>
      <c r="Y344" s="28"/>
      <c r="Z344" s="28"/>
      <c r="AA344" s="28"/>
      <c r="AB344" s="28"/>
      <c r="AC344" s="31"/>
      <c r="AD344" s="12"/>
    </row>
    <row r="345" spans="1:30" s="11" customFormat="1" ht="14.25" hidden="1" customHeight="1" outlineLevel="1" x14ac:dyDescent="0.35">
      <c r="A345" s="93"/>
      <c r="B345" s="10"/>
      <c r="C345" s="78"/>
      <c r="D345" s="78"/>
      <c r="E345" s="78"/>
      <c r="F345" s="78"/>
      <c r="G345" s="28"/>
      <c r="H345" s="28"/>
      <c r="I345" s="28"/>
      <c r="J345" s="28"/>
      <c r="K345" s="28"/>
      <c r="L345" s="28"/>
      <c r="M345" s="285"/>
      <c r="N345" s="157" t="s">
        <v>31</v>
      </c>
      <c r="O345" s="156" t="s">
        <v>23</v>
      </c>
      <c r="P345" s="187"/>
      <c r="Q345" s="187"/>
      <c r="R345" s="189"/>
      <c r="S345" s="140"/>
      <c r="T345" s="140"/>
      <c r="U345" s="140"/>
      <c r="V345" s="187"/>
      <c r="W345" s="187"/>
      <c r="X345" s="28"/>
      <c r="Y345" s="28"/>
      <c r="Z345" s="28"/>
      <c r="AA345" s="28"/>
      <c r="AB345" s="28"/>
      <c r="AC345" s="31"/>
      <c r="AD345" s="12"/>
    </row>
    <row r="346" spans="1:30" s="11" customFormat="1" ht="14.25" hidden="1" customHeight="1" outlineLevel="1" x14ac:dyDescent="0.35">
      <c r="A346" s="93"/>
      <c r="B346" s="10"/>
      <c r="C346" s="78"/>
      <c r="D346" s="78"/>
      <c r="E346" s="78"/>
      <c r="F346" s="78"/>
      <c r="G346" s="28"/>
      <c r="H346" s="28"/>
      <c r="I346" s="28"/>
      <c r="J346" s="28"/>
      <c r="K346" s="28"/>
      <c r="L346" s="28"/>
      <c r="M346" s="285"/>
      <c r="N346" s="157" t="s">
        <v>56</v>
      </c>
      <c r="O346" s="156" t="s">
        <v>56</v>
      </c>
      <c r="P346" s="187"/>
      <c r="Q346" s="187"/>
      <c r="R346" s="189"/>
      <c r="S346" s="140"/>
      <c r="T346" s="140"/>
      <c r="U346" s="140"/>
      <c r="V346" s="187"/>
      <c r="W346" s="187"/>
      <c r="X346" s="28"/>
      <c r="Y346" s="28"/>
      <c r="Z346" s="28"/>
      <c r="AA346" s="28"/>
      <c r="AB346" s="28"/>
      <c r="AC346" s="31"/>
      <c r="AD346" s="12"/>
    </row>
    <row r="347" spans="1:30" s="11" customFormat="1" ht="14.25" hidden="1" customHeight="1" outlineLevel="1" x14ac:dyDescent="0.35">
      <c r="A347" s="93"/>
      <c r="B347" s="10"/>
      <c r="C347" s="78"/>
      <c r="D347" s="78"/>
      <c r="E347" s="78"/>
      <c r="F347" s="78"/>
      <c r="G347" s="28"/>
      <c r="H347" s="28"/>
      <c r="I347" s="28"/>
      <c r="J347" s="28"/>
      <c r="K347" s="28"/>
      <c r="L347" s="28"/>
      <c r="M347" s="285"/>
      <c r="N347" s="157" t="s">
        <v>67</v>
      </c>
      <c r="O347" s="156" t="s">
        <v>23</v>
      </c>
      <c r="P347" s="187"/>
      <c r="Q347" s="187"/>
      <c r="R347" s="155"/>
      <c r="S347" s="140"/>
      <c r="T347" s="140"/>
      <c r="U347" s="140"/>
      <c r="V347" s="187"/>
      <c r="W347" s="187"/>
      <c r="X347" s="28"/>
      <c r="Y347" s="28"/>
      <c r="Z347" s="28"/>
      <c r="AA347" s="28"/>
      <c r="AB347" s="28"/>
      <c r="AC347" s="31"/>
      <c r="AD347" s="12"/>
    </row>
    <row r="348" spans="1:30" s="11" customFormat="1" ht="14.25" hidden="1" customHeight="1" outlineLevel="1" x14ac:dyDescent="0.35">
      <c r="A348" s="93"/>
      <c r="B348" s="10"/>
      <c r="C348" s="78"/>
      <c r="D348" s="78"/>
      <c r="E348" s="78"/>
      <c r="F348" s="78"/>
      <c r="G348" s="28"/>
      <c r="H348" s="28"/>
      <c r="I348" s="28"/>
      <c r="J348" s="28"/>
      <c r="K348" s="28"/>
      <c r="L348" s="28"/>
      <c r="M348" s="285"/>
      <c r="N348" s="157" t="s">
        <v>4</v>
      </c>
      <c r="O348" s="155" t="s">
        <v>23</v>
      </c>
      <c r="P348" s="187"/>
      <c r="Q348" s="187"/>
      <c r="R348" s="187"/>
      <c r="S348" s="140"/>
      <c r="T348" s="140"/>
      <c r="U348" s="140"/>
      <c r="V348" s="187"/>
      <c r="W348" s="187"/>
      <c r="X348" s="28"/>
      <c r="Y348" s="28"/>
      <c r="Z348" s="28"/>
      <c r="AA348" s="28"/>
      <c r="AB348" s="28"/>
      <c r="AC348" s="31"/>
      <c r="AD348" s="12"/>
    </row>
    <row r="349" spans="1:30" s="11" customFormat="1" ht="14.25" hidden="1" customHeight="1" outlineLevel="1" x14ac:dyDescent="0.35">
      <c r="A349" s="93"/>
      <c r="B349" s="10"/>
      <c r="C349" s="78"/>
      <c r="D349" s="78"/>
      <c r="E349" s="78"/>
      <c r="F349" s="78"/>
      <c r="G349" s="28"/>
      <c r="H349" s="28"/>
      <c r="I349" s="28"/>
      <c r="J349" s="28"/>
      <c r="K349" s="28"/>
      <c r="L349" s="28"/>
      <c r="M349" s="285"/>
      <c r="N349" s="157" t="s">
        <v>26</v>
      </c>
      <c r="O349" s="155" t="s">
        <v>23</v>
      </c>
      <c r="P349" s="187"/>
      <c r="Q349" s="187"/>
      <c r="R349" s="187"/>
      <c r="S349" s="140"/>
      <c r="T349" s="140"/>
      <c r="U349" s="140"/>
      <c r="V349" s="187"/>
      <c r="W349" s="187"/>
      <c r="X349" s="28"/>
      <c r="Y349" s="28"/>
      <c r="Z349" s="28"/>
      <c r="AA349" s="28"/>
      <c r="AB349" s="28"/>
      <c r="AC349" s="31"/>
      <c r="AD349" s="12"/>
    </row>
    <row r="350" spans="1:30" s="11" customFormat="1" ht="14.25" hidden="1" customHeight="1" outlineLevel="1" x14ac:dyDescent="0.35">
      <c r="A350" s="93"/>
      <c r="B350" s="10"/>
      <c r="C350" s="78"/>
      <c r="D350" s="78"/>
      <c r="E350" s="78"/>
      <c r="F350" s="78"/>
      <c r="G350" s="28"/>
      <c r="H350" s="28"/>
      <c r="I350" s="28"/>
      <c r="J350" s="28"/>
      <c r="K350" s="28"/>
      <c r="L350" s="28"/>
      <c r="M350" s="285"/>
      <c r="N350" s="157"/>
      <c r="O350" s="28"/>
      <c r="P350" s="28"/>
      <c r="Q350" s="28"/>
      <c r="R350" s="28"/>
      <c r="S350" s="139"/>
      <c r="T350" s="139"/>
      <c r="U350" s="139"/>
      <c r="V350" s="139"/>
      <c r="W350" s="139"/>
      <c r="X350" s="28"/>
      <c r="Y350" s="28"/>
      <c r="Z350" s="28"/>
      <c r="AA350" s="28"/>
      <c r="AB350" s="139"/>
      <c r="AC350" s="31"/>
      <c r="AD350" s="12"/>
    </row>
    <row r="351" spans="1:30" s="11" customFormat="1" ht="15" hidden="1" customHeight="1" outlineLevel="1" x14ac:dyDescent="0.35">
      <c r="A351" s="93"/>
      <c r="B351" s="10"/>
      <c r="C351" s="80"/>
      <c r="D351" s="80"/>
      <c r="E351" s="80"/>
      <c r="F351" s="78"/>
      <c r="G351" s="28"/>
      <c r="H351" s="28"/>
      <c r="I351" s="28"/>
      <c r="J351" s="28"/>
      <c r="K351" s="28"/>
      <c r="L351" s="28"/>
      <c r="M351" s="285"/>
      <c r="N351" s="314" t="str">
        <f>"Total effort is "&amp;TEXT(TOTAL_EFFORT,"##,##,###")&amp;" PDs. How much up or down it can safely be without being way off?"</f>
        <v>Total effort is 1,070 PDs. How much up or down it can safely be without being way off?</v>
      </c>
      <c r="O351" s="142" t="s">
        <v>128</v>
      </c>
      <c r="P351" s="142" t="s">
        <v>129</v>
      </c>
      <c r="Q351" s="28"/>
      <c r="R351" s="28"/>
      <c r="S351" s="139"/>
      <c r="T351" s="139"/>
      <c r="U351" s="139"/>
      <c r="V351" s="139"/>
      <c r="W351" s="139"/>
      <c r="X351" s="28"/>
      <c r="Y351" s="28"/>
      <c r="Z351" s="28"/>
      <c r="AA351" s="28"/>
      <c r="AB351" s="31"/>
      <c r="AC351" s="31"/>
      <c r="AD351" s="12"/>
    </row>
    <row r="352" spans="1:30" s="11" customFormat="1" ht="15" hidden="1" customHeight="1" outlineLevel="1" x14ac:dyDescent="0.35">
      <c r="A352" s="93"/>
      <c r="B352" s="10"/>
      <c r="C352" s="80"/>
      <c r="D352" s="80"/>
      <c r="E352" s="80"/>
      <c r="F352" s="78"/>
      <c r="G352" s="28"/>
      <c r="H352" s="28"/>
      <c r="I352" s="28"/>
      <c r="J352" s="28"/>
      <c r="K352" s="28"/>
      <c r="L352" s="28"/>
      <c r="M352" s="285"/>
      <c r="N352" s="314"/>
      <c r="O352" s="151">
        <v>-0.2</v>
      </c>
      <c r="P352" s="152">
        <v>0.2</v>
      </c>
      <c r="Q352" s="28"/>
      <c r="R352" s="28"/>
      <c r="S352" s="139"/>
      <c r="T352" s="139"/>
      <c r="U352" s="139"/>
      <c r="V352" s="139"/>
      <c r="W352" s="139"/>
      <c r="X352" s="28"/>
      <c r="Y352" s="28"/>
      <c r="Z352" s="28"/>
      <c r="AA352" s="28"/>
      <c r="AB352" s="31"/>
      <c r="AC352" s="31"/>
      <c r="AD352" s="12"/>
    </row>
    <row r="353" spans="1:30" s="11" customFormat="1" hidden="1" outlineLevel="1" x14ac:dyDescent="0.35">
      <c r="A353" s="93"/>
      <c r="B353" s="10"/>
      <c r="C353" s="80"/>
      <c r="D353" s="80"/>
      <c r="E353" s="80"/>
      <c r="F353" s="78"/>
      <c r="G353" s="28"/>
      <c r="H353" s="28"/>
      <c r="I353" s="28"/>
      <c r="J353" s="28"/>
      <c r="K353" s="28"/>
      <c r="L353" s="28"/>
      <c r="M353" s="285"/>
      <c r="N353" s="314"/>
      <c r="O353" s="31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31"/>
      <c r="AC353" s="31"/>
      <c r="AD353" s="12"/>
    </row>
    <row r="354" spans="1:30" s="11" customFormat="1" hidden="1" outlineLevel="1" x14ac:dyDescent="0.35">
      <c r="A354" s="93"/>
      <c r="B354" s="10"/>
      <c r="C354" s="80"/>
      <c r="D354" s="80"/>
      <c r="E354" s="80"/>
      <c r="F354" s="78"/>
      <c r="G354" s="28"/>
      <c r="H354" s="28"/>
      <c r="I354" s="28"/>
      <c r="J354" s="28"/>
      <c r="K354" s="28"/>
      <c r="L354" s="28"/>
      <c r="M354" s="285"/>
      <c r="N354" s="161" t="s">
        <v>454</v>
      </c>
      <c r="O354" s="139"/>
      <c r="P354" s="162" t="s">
        <v>96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31"/>
      <c r="AC354" s="31"/>
      <c r="AD354" s="12"/>
    </row>
    <row r="355" spans="1:30" s="11" customFormat="1" hidden="1" outlineLevel="1" x14ac:dyDescent="0.35">
      <c r="A355" s="93"/>
      <c r="B355" s="10"/>
      <c r="C355" s="80"/>
      <c r="D355" s="80"/>
      <c r="E355" s="80"/>
      <c r="F355" s="78"/>
      <c r="G355" s="28"/>
      <c r="H355" s="28"/>
      <c r="I355" s="28"/>
      <c r="J355" s="28"/>
      <c r="K355" s="28"/>
      <c r="L355" s="28"/>
      <c r="M355" s="285"/>
      <c r="N355" s="263" t="s">
        <v>156</v>
      </c>
      <c r="O355" s="28"/>
      <c r="P355" s="160" t="s">
        <v>78</v>
      </c>
      <c r="Q355" s="141" t="s">
        <v>193</v>
      </c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31"/>
      <c r="AD355" s="12"/>
    </row>
    <row r="356" spans="1:30" s="11" customFormat="1" hidden="1" outlineLevel="1" x14ac:dyDescent="0.35">
      <c r="A356" s="93"/>
      <c r="B356" s="10"/>
      <c r="C356" s="80"/>
      <c r="D356" s="80"/>
      <c r="E356" s="80"/>
      <c r="F356" s="78"/>
      <c r="G356" s="28"/>
      <c r="H356" s="28"/>
      <c r="I356" s="28"/>
      <c r="J356" s="28"/>
      <c r="K356" s="28"/>
      <c r="L356" s="28"/>
      <c r="M356" s="285"/>
      <c r="N356" s="263" t="s">
        <v>169</v>
      </c>
      <c r="O356" s="28"/>
      <c r="P356" s="160" t="s">
        <v>97</v>
      </c>
      <c r="Q356" s="141" t="s">
        <v>192</v>
      </c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31"/>
      <c r="AD356" s="12"/>
    </row>
    <row r="357" spans="1:30" s="11" customFormat="1" hidden="1" outlineLevel="1" x14ac:dyDescent="0.35">
      <c r="A357" s="93"/>
      <c r="B357" s="10"/>
      <c r="C357" s="80"/>
      <c r="D357" s="80"/>
      <c r="E357" s="80"/>
      <c r="F357" s="78"/>
      <c r="G357" s="28"/>
      <c r="H357" s="28"/>
      <c r="I357" s="28"/>
      <c r="J357" s="28"/>
      <c r="K357" s="28"/>
      <c r="L357" s="28"/>
      <c r="M357" s="285"/>
      <c r="N357" s="263" t="s">
        <v>170</v>
      </c>
      <c r="O357" s="28"/>
      <c r="P357" s="28"/>
      <c r="Q357" s="28"/>
      <c r="R357" s="28"/>
      <c r="S357" s="28"/>
      <c r="T357" s="28"/>
      <c r="U357" s="160"/>
      <c r="V357" s="28"/>
      <c r="W357" s="28"/>
      <c r="X357" s="28"/>
      <c r="Y357" s="28"/>
      <c r="Z357" s="28"/>
      <c r="AA357" s="28"/>
      <c r="AB357" s="28"/>
      <c r="AC357" s="31"/>
      <c r="AD357" s="12"/>
    </row>
    <row r="358" spans="1:30" s="11" customFormat="1" ht="15" hidden="1" customHeight="1" outlineLevel="1" x14ac:dyDescent="0.35">
      <c r="A358" s="93"/>
      <c r="B358" s="10"/>
      <c r="C358" s="80"/>
      <c r="D358" s="80"/>
      <c r="E358" s="80"/>
      <c r="F358" s="78"/>
      <c r="G358" s="28"/>
      <c r="H358" s="28"/>
      <c r="I358" s="28"/>
      <c r="J358" s="28"/>
      <c r="K358" s="28"/>
      <c r="L358" s="28"/>
      <c r="M358" s="285"/>
      <c r="N358" s="263" t="s">
        <v>171</v>
      </c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31"/>
      <c r="AD358" s="12"/>
    </row>
    <row r="359" spans="1:30" s="11" customFormat="1" hidden="1" outlineLevel="1" x14ac:dyDescent="0.35">
      <c r="A359" s="93"/>
      <c r="B359" s="10"/>
      <c r="C359" s="80"/>
      <c r="D359" s="80"/>
      <c r="E359" s="80"/>
      <c r="F359" s="78"/>
      <c r="G359" s="28"/>
      <c r="H359" s="28"/>
      <c r="I359" s="28"/>
      <c r="J359" s="28"/>
      <c r="K359" s="28"/>
      <c r="L359" s="28"/>
      <c r="M359" s="285"/>
      <c r="N359" s="263" t="s">
        <v>172</v>
      </c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31"/>
      <c r="AD359" s="12"/>
    </row>
    <row r="360" spans="1:30" s="11" customFormat="1" hidden="1" outlineLevel="1" x14ac:dyDescent="0.35">
      <c r="A360" s="93"/>
      <c r="B360" s="10"/>
      <c r="C360" s="80"/>
      <c r="D360" s="80"/>
      <c r="E360" s="80"/>
      <c r="F360" s="78"/>
      <c r="G360" s="28"/>
      <c r="H360" s="28"/>
      <c r="I360" s="28"/>
      <c r="J360" s="28"/>
      <c r="K360" s="28"/>
      <c r="L360" s="28"/>
      <c r="M360" s="285"/>
      <c r="N360" s="263" t="s">
        <v>173</v>
      </c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31"/>
      <c r="AD360" s="12"/>
    </row>
    <row r="361" spans="1:30" s="11" customFormat="1" hidden="1" outlineLevel="1" x14ac:dyDescent="0.35">
      <c r="A361" s="93"/>
      <c r="B361" s="10"/>
      <c r="C361" s="80"/>
      <c r="D361" s="80"/>
      <c r="E361" s="80"/>
      <c r="F361" s="78"/>
      <c r="G361" s="28"/>
      <c r="H361" s="28"/>
      <c r="I361" s="28"/>
      <c r="J361" s="28"/>
      <c r="K361" s="28"/>
      <c r="L361" s="28"/>
      <c r="M361" s="285"/>
      <c r="N361" s="263" t="s">
        <v>174</v>
      </c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31"/>
      <c r="AD361" s="12"/>
    </row>
    <row r="362" spans="1:30" s="11" customFormat="1" hidden="1" outlineLevel="1" x14ac:dyDescent="0.35">
      <c r="A362" s="93"/>
      <c r="B362" s="10"/>
      <c r="C362" s="80"/>
      <c r="D362" s="80"/>
      <c r="E362" s="80"/>
      <c r="F362" s="78"/>
      <c r="G362" s="28"/>
      <c r="H362" s="28"/>
      <c r="I362" s="28"/>
      <c r="J362" s="28"/>
      <c r="K362" s="28"/>
      <c r="L362" s="28"/>
      <c r="M362" s="285"/>
      <c r="N362" s="263" t="s">
        <v>155</v>
      </c>
      <c r="O362" s="31"/>
      <c r="P362" s="141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31"/>
      <c r="AD362" s="12"/>
    </row>
    <row r="363" spans="1:30" s="11" customFormat="1" hidden="1" outlineLevel="1" x14ac:dyDescent="0.35">
      <c r="A363" s="93"/>
      <c r="B363" s="10"/>
      <c r="C363" s="80"/>
      <c r="D363" s="80"/>
      <c r="E363" s="80"/>
      <c r="F363" s="78"/>
      <c r="G363" s="28"/>
      <c r="H363" s="28"/>
      <c r="I363" s="28"/>
      <c r="J363" s="28"/>
      <c r="K363" s="28"/>
      <c r="L363" s="28"/>
      <c r="M363" s="285"/>
      <c r="N363" s="263" t="s">
        <v>158</v>
      </c>
      <c r="O363" s="31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31"/>
      <c r="AD363" s="12"/>
    </row>
    <row r="364" spans="1:30" s="11" customFormat="1" hidden="1" outlineLevel="1" x14ac:dyDescent="0.35">
      <c r="A364" s="93"/>
      <c r="B364" s="10"/>
      <c r="C364" s="80"/>
      <c r="D364" s="80"/>
      <c r="E364" s="80"/>
      <c r="F364" s="78"/>
      <c r="G364" s="28"/>
      <c r="H364" s="28"/>
      <c r="I364" s="28"/>
      <c r="J364" s="28"/>
      <c r="K364" s="28"/>
      <c r="L364" s="28"/>
      <c r="M364" s="285"/>
      <c r="N364" s="263" t="s">
        <v>160</v>
      </c>
      <c r="O364" s="31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31"/>
      <c r="AD364" s="12"/>
    </row>
    <row r="365" spans="1:30" s="11" customFormat="1" hidden="1" outlineLevel="1" x14ac:dyDescent="0.35">
      <c r="A365" s="93"/>
      <c r="B365" s="10"/>
      <c r="C365" s="80"/>
      <c r="D365" s="80"/>
      <c r="E365" s="80"/>
      <c r="F365" s="78"/>
      <c r="G365" s="28"/>
      <c r="H365" s="28"/>
      <c r="I365" s="28"/>
      <c r="J365" s="28"/>
      <c r="K365" s="28"/>
      <c r="L365" s="28"/>
      <c r="M365" s="285"/>
      <c r="N365" s="263" t="s">
        <v>159</v>
      </c>
      <c r="O365" s="31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31"/>
      <c r="AD365" s="12"/>
    </row>
    <row r="366" spans="1:30" s="11" customFormat="1" hidden="1" outlineLevel="1" x14ac:dyDescent="0.35">
      <c r="A366" s="93"/>
      <c r="B366" s="10"/>
      <c r="C366" s="80"/>
      <c r="D366" s="80"/>
      <c r="E366" s="80"/>
      <c r="F366" s="78"/>
      <c r="G366" s="28"/>
      <c r="H366" s="28"/>
      <c r="I366" s="28"/>
      <c r="J366" s="28"/>
      <c r="K366" s="28"/>
      <c r="L366" s="28"/>
      <c r="M366" s="285"/>
      <c r="N366" s="263" t="s">
        <v>161</v>
      </c>
      <c r="O366" s="31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31"/>
      <c r="AD366" s="12"/>
    </row>
    <row r="367" spans="1:30" s="11" customFormat="1" hidden="1" outlineLevel="1" x14ac:dyDescent="0.35">
      <c r="A367" s="93"/>
      <c r="B367" s="10"/>
      <c r="C367" s="80"/>
      <c r="D367" s="80"/>
      <c r="E367" s="80"/>
      <c r="F367" s="78"/>
      <c r="G367" s="28"/>
      <c r="H367" s="28"/>
      <c r="I367" s="28"/>
      <c r="J367" s="28"/>
      <c r="K367" s="28"/>
      <c r="L367" s="28"/>
      <c r="M367" s="285"/>
      <c r="N367" s="263" t="s">
        <v>162</v>
      </c>
      <c r="O367" s="31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31"/>
      <c r="AD367" s="12"/>
    </row>
    <row r="368" spans="1:30" s="11" customFormat="1" hidden="1" outlineLevel="1" x14ac:dyDescent="0.35">
      <c r="A368" s="93"/>
      <c r="B368" s="10"/>
      <c r="C368" s="80"/>
      <c r="D368" s="80"/>
      <c r="E368" s="80"/>
      <c r="F368" s="78"/>
      <c r="G368" s="28"/>
      <c r="H368" s="28"/>
      <c r="I368" s="28"/>
      <c r="J368" s="28"/>
      <c r="K368" s="28"/>
      <c r="L368" s="28"/>
      <c r="M368" s="285"/>
      <c r="N368" s="263" t="s">
        <v>163</v>
      </c>
      <c r="O368" s="31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31"/>
      <c r="AD368" s="12"/>
    </row>
    <row r="369" spans="1:30" s="11" customFormat="1" hidden="1" outlineLevel="1" x14ac:dyDescent="0.35">
      <c r="A369" s="93"/>
      <c r="B369" s="10"/>
      <c r="C369" s="80"/>
      <c r="D369" s="80"/>
      <c r="E369" s="80"/>
      <c r="F369" s="78"/>
      <c r="G369" s="28"/>
      <c r="H369" s="28"/>
      <c r="I369" s="28"/>
      <c r="J369" s="28"/>
      <c r="K369" s="28"/>
      <c r="L369" s="28"/>
      <c r="M369" s="285"/>
      <c r="N369" s="263" t="s">
        <v>157</v>
      </c>
      <c r="O369" s="31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31"/>
      <c r="AD369" s="12"/>
    </row>
    <row r="370" spans="1:30" s="11" customFormat="1" hidden="1" outlineLevel="1" x14ac:dyDescent="0.35">
      <c r="A370" s="93"/>
      <c r="B370" s="10"/>
      <c r="C370" s="80"/>
      <c r="D370" s="80"/>
      <c r="E370" s="80"/>
      <c r="F370" s="78"/>
      <c r="G370" s="28"/>
      <c r="H370" s="28"/>
      <c r="I370" s="28"/>
      <c r="J370" s="28"/>
      <c r="K370" s="28"/>
      <c r="L370" s="28"/>
      <c r="M370" s="285"/>
      <c r="N370" s="263" t="s">
        <v>164</v>
      </c>
      <c r="O370" s="31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31"/>
      <c r="AD370" s="12"/>
    </row>
    <row r="371" spans="1:30" s="11" customFormat="1" hidden="1" outlineLevel="1" x14ac:dyDescent="0.35">
      <c r="A371" s="93"/>
      <c r="B371" s="10"/>
      <c r="C371" s="80"/>
      <c r="D371" s="80"/>
      <c r="E371" s="80"/>
      <c r="F371" s="78"/>
      <c r="G371" s="28"/>
      <c r="H371" s="28"/>
      <c r="I371" s="28"/>
      <c r="J371" s="28"/>
      <c r="K371" s="28"/>
      <c r="L371" s="28"/>
      <c r="M371" s="285"/>
      <c r="N371" s="263" t="s">
        <v>165</v>
      </c>
      <c r="O371" s="31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31"/>
      <c r="AD371" s="12"/>
    </row>
    <row r="372" spans="1:30" s="11" customFormat="1" hidden="1" outlineLevel="1" x14ac:dyDescent="0.35">
      <c r="A372" s="93"/>
      <c r="B372" s="10"/>
      <c r="C372" s="80"/>
      <c r="D372" s="80"/>
      <c r="E372" s="80"/>
      <c r="F372" s="78"/>
      <c r="G372" s="28"/>
      <c r="H372" s="28"/>
      <c r="I372" s="28"/>
      <c r="J372" s="28"/>
      <c r="K372" s="28"/>
      <c r="L372" s="28"/>
      <c r="M372" s="285"/>
      <c r="N372" s="263" t="s">
        <v>166</v>
      </c>
      <c r="O372" s="31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31"/>
      <c r="AD372" s="12"/>
    </row>
    <row r="373" spans="1:30" s="11" customFormat="1" hidden="1" outlineLevel="1" x14ac:dyDescent="0.35">
      <c r="A373" s="93"/>
      <c r="B373" s="10"/>
      <c r="C373" s="80"/>
      <c r="D373" s="80"/>
      <c r="E373" s="80"/>
      <c r="F373" s="78"/>
      <c r="G373" s="28"/>
      <c r="H373" s="28"/>
      <c r="I373" s="28"/>
      <c r="J373" s="28"/>
      <c r="K373" s="28"/>
      <c r="L373" s="28"/>
      <c r="M373" s="285"/>
      <c r="N373" s="263" t="s">
        <v>167</v>
      </c>
      <c r="O373" s="31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31"/>
      <c r="AD373" s="12"/>
    </row>
    <row r="374" spans="1:30" s="11" customFormat="1" hidden="1" outlineLevel="1" x14ac:dyDescent="0.35">
      <c r="A374" s="93"/>
      <c r="B374" s="10"/>
      <c r="C374" s="80"/>
      <c r="D374" s="80"/>
      <c r="E374" s="80"/>
      <c r="F374" s="78"/>
      <c r="G374" s="28"/>
      <c r="H374" s="28"/>
      <c r="I374" s="28"/>
      <c r="J374" s="28"/>
      <c r="K374" s="28"/>
      <c r="L374" s="28"/>
      <c r="M374" s="285"/>
      <c r="N374" s="263" t="s">
        <v>168</v>
      </c>
      <c r="O374" s="31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31"/>
      <c r="AD374" s="12"/>
    </row>
    <row r="375" spans="1:30" s="11" customFormat="1" hidden="1" outlineLevel="1" x14ac:dyDescent="0.35">
      <c r="A375" s="93"/>
      <c r="B375" s="10"/>
      <c r="C375" s="80"/>
      <c r="D375" s="80"/>
      <c r="E375" s="80"/>
      <c r="F375" s="78"/>
      <c r="G375" s="28"/>
      <c r="H375" s="28"/>
      <c r="I375" s="28"/>
      <c r="J375" s="28"/>
      <c r="K375" s="28"/>
      <c r="L375" s="28"/>
      <c r="M375" s="285"/>
      <c r="N375" s="139"/>
      <c r="O375" s="31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31"/>
      <c r="AD375" s="12"/>
    </row>
    <row r="376" spans="1:30" s="11" customFormat="1" ht="15" hidden="1" customHeight="1" outlineLevel="1" x14ac:dyDescent="0.3">
      <c r="A376" s="93"/>
      <c r="B376" s="10"/>
      <c r="C376" s="80"/>
      <c r="D376" s="80"/>
      <c r="E376" s="80"/>
      <c r="F376" s="78"/>
      <c r="G376" s="28"/>
      <c r="H376" s="28"/>
      <c r="I376" s="28"/>
      <c r="J376" s="28"/>
      <c r="K376" s="28"/>
      <c r="L376" s="28"/>
      <c r="M376" s="285"/>
      <c r="N376" s="165" t="s">
        <v>77</v>
      </c>
      <c r="O376" s="165" t="s">
        <v>144</v>
      </c>
      <c r="P376" s="28"/>
      <c r="Q376" s="186"/>
      <c r="R376" s="186"/>
      <c r="S376" s="28"/>
      <c r="T376" s="28"/>
      <c r="U376" s="28"/>
      <c r="V376" s="28"/>
      <c r="W376" s="28"/>
      <c r="X376" s="28"/>
      <c r="Y376" s="28"/>
      <c r="Z376" s="28"/>
      <c r="AA376" s="28"/>
      <c r="AB376" s="31"/>
      <c r="AC376" s="31"/>
      <c r="AD376" s="12"/>
    </row>
    <row r="377" spans="1:30" s="11" customFormat="1" ht="15" hidden="1" customHeight="1" outlineLevel="1" x14ac:dyDescent="0.35">
      <c r="A377" s="93"/>
      <c r="B377" s="10"/>
      <c r="C377" s="80"/>
      <c r="D377" s="80"/>
      <c r="E377" s="80"/>
      <c r="F377" s="78"/>
      <c r="G377" s="28"/>
      <c r="H377" s="28"/>
      <c r="I377" s="28"/>
      <c r="J377" s="28"/>
      <c r="K377" s="28"/>
      <c r="L377" s="28"/>
      <c r="M377" s="285"/>
      <c r="N377" s="159" t="s">
        <v>65</v>
      </c>
      <c r="O377" s="164">
        <v>0.5</v>
      </c>
      <c r="P377" s="315" t="s">
        <v>140</v>
      </c>
      <c r="Q377" s="315"/>
      <c r="R377" s="315"/>
      <c r="S377" s="28"/>
      <c r="T377" s="28"/>
      <c r="U377" s="28"/>
      <c r="V377" s="28"/>
      <c r="W377" s="28"/>
      <c r="X377" s="28"/>
      <c r="Y377" s="28"/>
      <c r="Z377" s="28"/>
      <c r="AA377" s="28"/>
      <c r="AB377" s="31"/>
      <c r="AC377" s="31"/>
      <c r="AD377" s="12"/>
    </row>
    <row r="378" spans="1:30" s="11" customFormat="1" hidden="1" outlineLevel="1" x14ac:dyDescent="0.35">
      <c r="A378" s="93"/>
      <c r="B378" s="10"/>
      <c r="C378" s="80"/>
      <c r="D378" s="80"/>
      <c r="E378" s="80"/>
      <c r="F378" s="78"/>
      <c r="G378" s="28"/>
      <c r="H378" s="28"/>
      <c r="I378" s="28"/>
      <c r="J378" s="28"/>
      <c r="K378" s="28"/>
      <c r="L378" s="28"/>
      <c r="M378" s="285"/>
      <c r="N378" s="159" t="s">
        <v>66</v>
      </c>
      <c r="O378" s="164">
        <v>0.25</v>
      </c>
      <c r="P378" s="315"/>
      <c r="Q378" s="315"/>
      <c r="R378" s="315"/>
      <c r="S378" s="28"/>
      <c r="T378" s="28"/>
      <c r="U378" s="28"/>
      <c r="V378" s="28"/>
      <c r="W378" s="28"/>
      <c r="X378" s="28"/>
      <c r="Y378" s="28"/>
      <c r="Z378" s="28"/>
      <c r="AA378" s="28"/>
      <c r="AB378" s="31"/>
      <c r="AC378" s="31"/>
      <c r="AD378" s="12"/>
    </row>
    <row r="379" spans="1:30" s="11" customFormat="1" hidden="1" outlineLevel="1" x14ac:dyDescent="0.35">
      <c r="A379" s="93"/>
      <c r="B379" s="10"/>
      <c r="C379" s="80"/>
      <c r="D379" s="80"/>
      <c r="E379" s="80"/>
      <c r="F379" s="78"/>
      <c r="G379" s="28"/>
      <c r="H379" s="28"/>
      <c r="I379" s="28"/>
      <c r="J379" s="28"/>
      <c r="K379" s="28"/>
      <c r="L379" s="28"/>
      <c r="M379" s="285"/>
      <c r="N379" s="31"/>
      <c r="O379" s="31"/>
      <c r="P379" s="315"/>
      <c r="Q379" s="315"/>
      <c r="R379" s="315"/>
      <c r="S379" s="28"/>
      <c r="T379" s="28"/>
      <c r="U379" s="28"/>
      <c r="V379" s="28"/>
      <c r="W379" s="28"/>
      <c r="X379" s="28"/>
      <c r="Y379" s="28"/>
      <c r="Z379" s="28"/>
      <c r="AA379" s="28"/>
      <c r="AB379" s="31"/>
      <c r="AC379" s="31"/>
      <c r="AD379" s="12"/>
    </row>
    <row r="380" spans="1:30" s="11" customFormat="1" hidden="1" outlineLevel="1" x14ac:dyDescent="0.35">
      <c r="A380" s="93"/>
      <c r="B380" s="10"/>
      <c r="C380" s="80"/>
      <c r="D380" s="80"/>
      <c r="E380" s="80"/>
      <c r="F380" s="78"/>
      <c r="G380" s="28"/>
      <c r="H380" s="28"/>
      <c r="I380" s="28"/>
      <c r="J380" s="28"/>
      <c r="K380" s="28"/>
      <c r="L380" s="28"/>
      <c r="M380" s="285"/>
      <c r="N380" s="31"/>
      <c r="O380" s="31"/>
      <c r="P380" s="315"/>
      <c r="Q380" s="315"/>
      <c r="R380" s="315"/>
      <c r="S380" s="28"/>
      <c r="T380" s="28"/>
      <c r="U380" s="28"/>
      <c r="V380" s="28"/>
      <c r="W380" s="28"/>
      <c r="X380" s="28"/>
      <c r="Y380" s="28"/>
      <c r="Z380" s="28"/>
      <c r="AA380" s="28"/>
      <c r="AB380" s="31"/>
      <c r="AC380" s="31"/>
      <c r="AD380" s="12"/>
    </row>
    <row r="381" spans="1:30" s="11" customFormat="1" hidden="1" outlineLevel="1" x14ac:dyDescent="0.3">
      <c r="A381" s="93"/>
      <c r="B381" s="10"/>
      <c r="C381" s="80"/>
      <c r="D381" s="80"/>
      <c r="E381" s="80"/>
      <c r="F381" s="78"/>
      <c r="G381" s="28"/>
      <c r="H381" s="28"/>
      <c r="I381" s="28"/>
      <c r="J381" s="28"/>
      <c r="K381" s="28"/>
      <c r="L381" s="28"/>
      <c r="M381" s="285"/>
      <c r="N381" s="161" t="s">
        <v>133</v>
      </c>
      <c r="O381" s="165" t="s">
        <v>144</v>
      </c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31"/>
      <c r="AC381" s="31"/>
      <c r="AD381" s="12"/>
    </row>
    <row r="382" spans="1:30" s="11" customFormat="1" hidden="1" outlineLevel="1" x14ac:dyDescent="0.35">
      <c r="A382" s="93"/>
      <c r="B382" s="10"/>
      <c r="C382" s="80"/>
      <c r="D382" s="80"/>
      <c r="E382" s="80"/>
      <c r="F382" s="78"/>
      <c r="G382" s="28"/>
      <c r="H382" s="28"/>
      <c r="I382" s="28"/>
      <c r="J382" s="28"/>
      <c r="K382" s="28"/>
      <c r="L382" s="28"/>
      <c r="M382" s="285"/>
      <c r="N382" s="271" t="s">
        <v>23</v>
      </c>
      <c r="O382" s="272">
        <v>0</v>
      </c>
      <c r="P382" s="315" t="s">
        <v>141</v>
      </c>
      <c r="Q382" s="315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31"/>
      <c r="AC382" s="31"/>
      <c r="AD382" s="12"/>
    </row>
    <row r="383" spans="1:30" s="11" customFormat="1" ht="15" hidden="1" customHeight="1" outlineLevel="1" x14ac:dyDescent="0.35">
      <c r="A383" s="93"/>
      <c r="B383" s="10"/>
      <c r="C383" s="80"/>
      <c r="D383" s="80"/>
      <c r="E383" s="80"/>
      <c r="F383" s="78"/>
      <c r="G383" s="28"/>
      <c r="H383" s="28"/>
      <c r="I383" s="28"/>
      <c r="J383" s="28"/>
      <c r="K383" s="28"/>
      <c r="L383" s="28"/>
      <c r="M383" s="285"/>
      <c r="N383" s="271" t="s">
        <v>134</v>
      </c>
      <c r="O383" s="272">
        <v>0.25</v>
      </c>
      <c r="P383" s="315"/>
      <c r="Q383" s="315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31"/>
      <c r="AC383" s="31"/>
      <c r="AD383" s="12"/>
    </row>
    <row r="384" spans="1:30" s="11" customFormat="1" hidden="1" outlineLevel="1" x14ac:dyDescent="0.35">
      <c r="A384" s="93"/>
      <c r="B384" s="10"/>
      <c r="C384" s="80"/>
      <c r="D384" s="80"/>
      <c r="E384" s="80"/>
      <c r="F384" s="78"/>
      <c r="G384" s="28"/>
      <c r="H384" s="28"/>
      <c r="I384" s="28"/>
      <c r="J384" s="28"/>
      <c r="K384" s="28"/>
      <c r="L384" s="28"/>
      <c r="M384" s="285"/>
      <c r="N384" s="271" t="s">
        <v>135</v>
      </c>
      <c r="O384" s="273">
        <v>0.1</v>
      </c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31"/>
      <c r="AC384" s="31"/>
      <c r="AD384" s="12"/>
    </row>
    <row r="385" spans="1:30" s="11" customFormat="1" hidden="1" outlineLevel="1" x14ac:dyDescent="0.35">
      <c r="A385" s="93"/>
      <c r="B385" s="10"/>
      <c r="C385" s="80"/>
      <c r="D385" s="80"/>
      <c r="E385" s="80"/>
      <c r="F385" s="78"/>
      <c r="G385" s="28"/>
      <c r="H385" s="28"/>
      <c r="I385" s="28"/>
      <c r="J385" s="28"/>
      <c r="K385" s="28"/>
      <c r="L385" s="28"/>
      <c r="M385" s="285"/>
      <c r="N385" s="271" t="s">
        <v>136</v>
      </c>
      <c r="O385" s="273">
        <v>0</v>
      </c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31"/>
      <c r="AC385" s="31"/>
      <c r="AD385" s="12"/>
    </row>
    <row r="386" spans="1:30" s="11" customFormat="1" hidden="1" outlineLevel="1" x14ac:dyDescent="0.35">
      <c r="A386" s="93"/>
      <c r="B386" s="10"/>
      <c r="C386" s="80"/>
      <c r="D386" s="80"/>
      <c r="E386" s="80"/>
      <c r="F386" s="78"/>
      <c r="G386" s="28"/>
      <c r="H386" s="28"/>
      <c r="I386" s="28"/>
      <c r="J386" s="28"/>
      <c r="K386" s="28"/>
      <c r="L386" s="28"/>
      <c r="M386" s="285"/>
      <c r="N386" s="271" t="s">
        <v>137</v>
      </c>
      <c r="O386" s="273">
        <v>0</v>
      </c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31"/>
      <c r="AC386" s="31"/>
      <c r="AD386" s="12"/>
    </row>
    <row r="387" spans="1:30" s="11" customFormat="1" hidden="1" outlineLevel="1" x14ac:dyDescent="0.35">
      <c r="A387" s="93"/>
      <c r="B387" s="10"/>
      <c r="C387" s="80"/>
      <c r="D387" s="80"/>
      <c r="E387" s="80"/>
      <c r="F387" s="78"/>
      <c r="G387" s="28"/>
      <c r="H387" s="28"/>
      <c r="I387" s="28"/>
      <c r="J387" s="28"/>
      <c r="K387" s="28"/>
      <c r="L387" s="28"/>
      <c r="M387" s="285"/>
      <c r="N387" s="271" t="s">
        <v>138</v>
      </c>
      <c r="O387" s="273">
        <v>0</v>
      </c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31"/>
      <c r="AC387" s="31"/>
      <c r="AD387" s="12"/>
    </row>
    <row r="388" spans="1:30" s="11" customFormat="1" hidden="1" outlineLevel="1" x14ac:dyDescent="0.35">
      <c r="A388" s="93"/>
      <c r="B388" s="10"/>
      <c r="C388" s="80"/>
      <c r="D388" s="80"/>
      <c r="E388" s="80"/>
      <c r="F388" s="78"/>
      <c r="G388" s="28"/>
      <c r="H388" s="28"/>
      <c r="I388" s="28"/>
      <c r="J388" s="28"/>
      <c r="K388" s="28"/>
      <c r="L388" s="28"/>
      <c r="M388" s="285"/>
      <c r="N388" s="31"/>
      <c r="O388" s="31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31"/>
      <c r="AC388" s="31"/>
      <c r="AD388" s="12"/>
    </row>
    <row r="389" spans="1:30" s="11" customFormat="1" hidden="1" outlineLevel="1" x14ac:dyDescent="0.3">
      <c r="A389" s="93"/>
      <c r="B389" s="10"/>
      <c r="C389" s="80"/>
      <c r="D389" s="80"/>
      <c r="E389" s="80"/>
      <c r="F389" s="78"/>
      <c r="G389" s="28"/>
      <c r="H389" s="28"/>
      <c r="I389" s="28"/>
      <c r="J389" s="28"/>
      <c r="K389" s="28"/>
      <c r="L389" s="28"/>
      <c r="M389" s="285"/>
      <c r="N389" s="161" t="s">
        <v>142</v>
      </c>
      <c r="O389" s="165" t="s">
        <v>144</v>
      </c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31"/>
      <c r="AC389" s="31"/>
      <c r="AD389" s="12"/>
    </row>
    <row r="390" spans="1:30" s="11" customFormat="1" ht="15" hidden="1" customHeight="1" outlineLevel="1" x14ac:dyDescent="0.35">
      <c r="A390" s="93"/>
      <c r="B390" s="10"/>
      <c r="C390" s="80"/>
      <c r="D390" s="80"/>
      <c r="E390" s="80"/>
      <c r="F390" s="78"/>
      <c r="G390" s="28"/>
      <c r="H390" s="28"/>
      <c r="I390" s="28"/>
      <c r="J390" s="28"/>
      <c r="K390" s="28"/>
      <c r="L390" s="28"/>
      <c r="M390" s="285"/>
      <c r="N390" s="158" t="str">
        <f>Lists!B46</f>
        <v>Low</v>
      </c>
      <c r="O390" s="164">
        <v>0.1</v>
      </c>
      <c r="P390" s="315" t="s">
        <v>143</v>
      </c>
      <c r="Q390" s="315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31"/>
      <c r="AC390" s="31"/>
      <c r="AD390" s="12"/>
    </row>
    <row r="391" spans="1:30" s="11" customFormat="1" hidden="1" outlineLevel="1" x14ac:dyDescent="0.35">
      <c r="A391" s="93"/>
      <c r="B391" s="10"/>
      <c r="C391" s="80"/>
      <c r="D391" s="80"/>
      <c r="E391" s="80"/>
      <c r="F391" s="78"/>
      <c r="G391" s="28"/>
      <c r="H391" s="28"/>
      <c r="I391" s="28"/>
      <c r="J391" s="28"/>
      <c r="K391" s="28"/>
      <c r="L391" s="28"/>
      <c r="M391" s="285"/>
      <c r="N391" s="158" t="str">
        <f>Lists!B47</f>
        <v>Medium</v>
      </c>
      <c r="O391" s="164">
        <v>0.15</v>
      </c>
      <c r="P391" s="315"/>
      <c r="Q391" s="315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31"/>
      <c r="AC391" s="31"/>
      <c r="AD391" s="12"/>
    </row>
    <row r="392" spans="1:30" s="11" customFormat="1" hidden="1" outlineLevel="1" x14ac:dyDescent="0.35">
      <c r="A392" s="93"/>
      <c r="B392" s="10"/>
      <c r="C392" s="80"/>
      <c r="D392" s="80"/>
      <c r="E392" s="80"/>
      <c r="F392" s="78"/>
      <c r="G392" s="28"/>
      <c r="H392" s="28"/>
      <c r="I392" s="28"/>
      <c r="J392" s="28"/>
      <c r="K392" s="28"/>
      <c r="L392" s="28"/>
      <c r="M392" s="285"/>
      <c r="N392" s="158" t="str">
        <f>Lists!B48</f>
        <v>High</v>
      </c>
      <c r="O392" s="164">
        <v>0.2</v>
      </c>
      <c r="P392" s="315"/>
      <c r="Q392" s="315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31"/>
      <c r="AC392" s="31"/>
      <c r="AD392" s="12"/>
    </row>
    <row r="393" spans="1:30" s="11" customFormat="1" hidden="1" outlineLevel="1" x14ac:dyDescent="0.35">
      <c r="A393" s="93"/>
      <c r="B393" s="10"/>
      <c r="C393" s="80"/>
      <c r="D393" s="80"/>
      <c r="E393" s="80"/>
      <c r="F393" s="78"/>
      <c r="G393" s="28"/>
      <c r="H393" s="28"/>
      <c r="I393" s="28"/>
      <c r="J393" s="28"/>
      <c r="K393" s="28"/>
      <c r="L393" s="28"/>
      <c r="M393" s="285"/>
      <c r="N393" s="31"/>
      <c r="O393" s="31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31"/>
      <c r="AC393" s="31"/>
      <c r="AD393" s="12"/>
    </row>
    <row r="394" spans="1:30" s="11" customFormat="1" ht="20.25" hidden="1" customHeight="1" outlineLevel="1" x14ac:dyDescent="0.35">
      <c r="A394" s="93"/>
      <c r="B394" s="10"/>
      <c r="C394" s="78"/>
      <c r="D394" s="78"/>
      <c r="E394" s="78"/>
      <c r="F394" s="78"/>
      <c r="G394" s="43"/>
      <c r="H394" s="43"/>
      <c r="I394" s="43"/>
      <c r="J394" s="43"/>
      <c r="K394" s="43"/>
      <c r="L394" s="43"/>
      <c r="M394" s="281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12"/>
    </row>
    <row r="395" spans="1:30" x14ac:dyDescent="0.35">
      <c r="F395" s="78"/>
    </row>
    <row r="459" spans="1:30" s="11" customFormat="1" ht="20.25" customHeight="1" x14ac:dyDescent="0.35">
      <c r="A459" s="93"/>
      <c r="B459" s="10"/>
      <c r="C459" s="78"/>
      <c r="D459" s="78"/>
      <c r="E459" s="78"/>
      <c r="F459" s="78"/>
      <c r="G459" s="308" t="s">
        <v>48</v>
      </c>
      <c r="H459" s="308"/>
      <c r="I459" s="178"/>
      <c r="J459" s="43"/>
      <c r="K459" s="43"/>
      <c r="L459" s="39"/>
      <c r="M459" s="289" t="s">
        <v>125</v>
      </c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12"/>
    </row>
    <row r="460" spans="1:30" hidden="1" x14ac:dyDescent="0.35"/>
    <row r="461" spans="1:30" s="17" customFormat="1" ht="18.5" hidden="1" collapsed="1" x14ac:dyDescent="0.35">
      <c r="A461" s="93" t="s">
        <v>98</v>
      </c>
      <c r="B461" s="21"/>
      <c r="C461" s="81"/>
      <c r="D461" s="81"/>
      <c r="E461" s="81"/>
      <c r="F461" s="82"/>
      <c r="G461" s="55"/>
      <c r="H461" s="55"/>
      <c r="I461" s="55"/>
      <c r="J461" s="55"/>
      <c r="K461" s="55"/>
      <c r="L461" s="55" t="s">
        <v>105</v>
      </c>
      <c r="M461" s="284" t="s">
        <v>106</v>
      </c>
      <c r="N461" s="56"/>
      <c r="O461" s="57"/>
      <c r="P461" s="58"/>
      <c r="Q461" s="58"/>
      <c r="R461" s="58"/>
      <c r="S461" s="299">
        <f>CEILING(SUMIFS(T462:T467, J462:J467, "&lt;&gt;Yes", A462:A467,"T1"),1)</f>
        <v>0</v>
      </c>
      <c r="T461" s="299"/>
      <c r="U461" s="58"/>
      <c r="V461" s="58"/>
      <c r="W461" s="58"/>
      <c r="X461" s="58"/>
      <c r="Y461" s="58"/>
      <c r="Z461" s="58"/>
      <c r="AA461" s="58"/>
      <c r="AB461" s="58"/>
      <c r="AC461" s="58"/>
      <c r="AD461" s="26" t="str">
        <f>IF(M461="", "Section name cannot be empty.", "")</f>
        <v/>
      </c>
    </row>
    <row r="462" spans="1:30" s="11" customFormat="1" ht="1.5" hidden="1" customHeight="1" outlineLevel="1" x14ac:dyDescent="0.35">
      <c r="A462" s="93" t="s">
        <v>99</v>
      </c>
      <c r="B462" s="18"/>
      <c r="C462" s="78"/>
      <c r="D462" s="78"/>
      <c r="E462" s="78"/>
      <c r="F462" s="78"/>
      <c r="G462" s="28"/>
      <c r="H462" s="28"/>
      <c r="I462" s="28"/>
      <c r="J462" s="28"/>
      <c r="K462" s="28"/>
      <c r="L462" s="29">
        <v>0</v>
      </c>
      <c r="M462" s="285"/>
      <c r="N462" s="28"/>
      <c r="O462" s="28"/>
      <c r="P462" s="28"/>
      <c r="Q462" s="28"/>
      <c r="R462" s="28"/>
      <c r="S462" s="28"/>
      <c r="T462" s="30"/>
      <c r="U462" s="28"/>
      <c r="V462" s="28"/>
      <c r="W462" s="28"/>
      <c r="X462" s="30"/>
      <c r="Y462" s="28"/>
      <c r="Z462" s="28"/>
      <c r="AA462" s="28"/>
      <c r="AB462" s="31"/>
      <c r="AC462" s="31"/>
      <c r="AD462" s="12"/>
    </row>
    <row r="463" spans="1:30" s="17" customFormat="1" ht="15.5" hidden="1" outlineLevel="1" x14ac:dyDescent="0.35">
      <c r="A463" s="93" t="s">
        <v>100</v>
      </c>
      <c r="B463" s="21"/>
      <c r="C463" s="84"/>
      <c r="D463" s="84"/>
      <c r="E463" s="84"/>
      <c r="F463" s="83"/>
      <c r="G463" s="32"/>
      <c r="H463" s="32"/>
      <c r="I463" s="32"/>
      <c r="J463" s="32"/>
      <c r="K463" s="32"/>
      <c r="L463" s="20">
        <f ca="1">LOOKUP(1000,INDIRECT("L1:"&amp;CELL("address",INDIRECT("R[-1]C",FALSE))))+1</f>
        <v>1</v>
      </c>
      <c r="M463" s="298" t="s">
        <v>108</v>
      </c>
      <c r="N463" s="298"/>
      <c r="O463" s="5"/>
      <c r="P463" s="33"/>
      <c r="Q463" s="33"/>
      <c r="R463" s="33"/>
      <c r="S463" s="33"/>
      <c r="T463" s="167">
        <f>IF($S$6="Exclude", SUMIFS(S464:S466, J464:J466, "&lt;&gt;Yes", G464:G466, "&lt;&gt;Yes"), SUMIFS(S464:S466, J464:J466, "&lt;&gt;Yes"))</f>
        <v>0</v>
      </c>
      <c r="U463" s="33"/>
      <c r="V463" s="33"/>
      <c r="W463" s="33"/>
      <c r="X463" s="34"/>
      <c r="Y463" s="35"/>
      <c r="Z463" s="35"/>
      <c r="AA463" s="35"/>
      <c r="AB463" s="240" t="s">
        <v>443</v>
      </c>
      <c r="AC463" s="36"/>
      <c r="AD463" s="26" t="str">
        <f>IF(M463="", "Error: Task name cannot be empty.", "")</f>
        <v/>
      </c>
    </row>
    <row r="464" spans="1:30" s="15" customFormat="1" ht="1.5" hidden="1" customHeight="1" outlineLevel="2" x14ac:dyDescent="0.35">
      <c r="A464" s="93" t="s">
        <v>101</v>
      </c>
      <c r="B464" s="21"/>
      <c r="C464" s="84"/>
      <c r="D464" s="84"/>
      <c r="E464" s="84"/>
      <c r="F464" s="83"/>
      <c r="G464" s="32"/>
      <c r="H464" s="32"/>
      <c r="I464" s="32"/>
      <c r="J464" s="32"/>
      <c r="K464" s="32"/>
      <c r="L464" s="175">
        <f ca="1">L463</f>
        <v>1</v>
      </c>
      <c r="M464" s="176" t="s">
        <v>105</v>
      </c>
      <c r="N464" s="173"/>
      <c r="O464" s="174"/>
      <c r="P464" s="33"/>
      <c r="Q464" s="33"/>
      <c r="R464" s="33"/>
      <c r="S464" s="33"/>
      <c r="T464" s="167"/>
      <c r="U464" s="33"/>
      <c r="V464" s="33"/>
      <c r="W464" s="33"/>
      <c r="X464" s="34"/>
      <c r="Y464" s="35"/>
      <c r="Z464" s="35"/>
      <c r="AA464" s="35"/>
      <c r="AB464" s="36"/>
      <c r="AC464" s="36"/>
      <c r="AD464" s="26"/>
    </row>
    <row r="465" spans="1:30" ht="58" hidden="1" outlineLevel="2" x14ac:dyDescent="0.35">
      <c r="A465" s="93" t="s">
        <v>0</v>
      </c>
      <c r="B465" s="21"/>
      <c r="C465" s="85"/>
      <c r="D465" s="85"/>
      <c r="E465" s="85"/>
      <c r="F465" s="86"/>
      <c r="G465" s="22" t="s">
        <v>23</v>
      </c>
      <c r="H465" s="22" t="s">
        <v>23</v>
      </c>
      <c r="I465" s="23" t="s">
        <v>23</v>
      </c>
      <c r="J465" s="22" t="s">
        <v>23</v>
      </c>
      <c r="K465" s="38"/>
      <c r="L465" s="22"/>
      <c r="M465" s="286" t="str">
        <f ca="1">IFERROR(OFFSET(M465,-1,,1,1)+0.1,OFFSET(M465,-1,-1,1,1)&amp;".1")</f>
        <v>1.1</v>
      </c>
      <c r="N465" s="23" t="s">
        <v>442</v>
      </c>
      <c r="O465" s="23"/>
      <c r="P465" s="23"/>
      <c r="Q465" s="144"/>
      <c r="R465" s="137"/>
      <c r="S465" s="169">
        <f>CEILING((IF(J465="Yes", 0, IF(H465="-",AA465,AA465+AA465*VLOOKUP(H465,BUFFERS_BY_TYPE,2,FALSE)))) +
   (IF(J465="Yes", 0, IF(H465="-",AA465,AA465+AA465*VLOOKUP(H465,BUFFERS_BY_TYPE,2,FALSE))))*VLOOKUP($S$5, SALES_CALL_SCALE_ARRAY, 2,FALSE),0.25)</f>
        <v>0</v>
      </c>
      <c r="T465" s="170"/>
      <c r="U465" s="24">
        <v>0</v>
      </c>
      <c r="V465" s="24">
        <v>1</v>
      </c>
      <c r="W465" s="24">
        <v>0</v>
      </c>
      <c r="X465" s="168"/>
      <c r="Y465" s="169">
        <f>CEILING((IF(P465=AS_DEV_EFFORT, DEV_EFFORT*Q465%,
                           IF(P465=AS_DURATION_EFFORT, (MANUAL_DURATION*5)*Q465%,
                                    (IF(Q465&lt;=1,X465,
                                          IF(SUM(U465:W465)=0,(Q465*X465),
                                               (((Q465*U465)*(X465+(X465*EXTRA_FOR_H)))+
                                               ((Q465*V465)*X465)+
                                               ((Q465*W465)*(X465-(X465*LESS_FOR_L)))
                                    )*IF(R465=0,1,R465))))))+Z465), 0.25)</f>
        <v>0</v>
      </c>
      <c r="Z465" s="25"/>
      <c r="AA465" s="169">
        <f>Y465+Y465*VLOOKUP(I465,EXTRAS_ARRAY,2,FALSE)</f>
        <v>0</v>
      </c>
      <c r="AB465" s="23" t="s">
        <v>445</v>
      </c>
      <c r="AC465" s="37"/>
      <c r="AD465" s="26" t="str">
        <f>IF(J465&lt;&gt;"Yes",
IF(S465&lt;=0,"Error: Effort value is not defined or is invalid.",
IF(AND(SUM(U465:W465)&gt;0,SUM(U465:W465)&lt;&gt;1),"Error: Complexity % distribution should sum to 100%.",
IF(AND(P465=AS_DEV_EFFORT,X465&lt;&gt;0),"Error: PDs should not be defined when defining as dev effort %.",
IF(AND(P465=AS_DURATION_EFFORT,X465&lt;&gt;0),"Error: PDs should not be defined when defining as duration effort %.","")))))</f>
        <v>Error: Effort value is not defined or is invalid.</v>
      </c>
    </row>
    <row r="466" spans="1:30" s="11" customFormat="1" ht="7.5" hidden="1" customHeight="1" outlineLevel="2" x14ac:dyDescent="0.35">
      <c r="A466" s="93" t="s">
        <v>132</v>
      </c>
      <c r="B466" s="18"/>
      <c r="C466" s="78"/>
      <c r="D466" s="78"/>
      <c r="E466" s="78"/>
      <c r="F466" s="78"/>
      <c r="G466" s="10"/>
      <c r="H466" s="10"/>
      <c r="I466" s="10"/>
      <c r="J466" s="10"/>
      <c r="K466" s="10"/>
      <c r="L466" s="10"/>
      <c r="M466" s="287"/>
      <c r="N466" s="10"/>
      <c r="O466" s="10"/>
      <c r="P466" s="10"/>
      <c r="Q466" s="10"/>
      <c r="R466" s="10"/>
      <c r="S466" s="10"/>
      <c r="T466" s="18"/>
      <c r="U466" s="10"/>
      <c r="V466" s="10"/>
      <c r="W466" s="10"/>
      <c r="X466" s="18"/>
      <c r="Y466" s="10"/>
      <c r="Z466" s="10"/>
      <c r="AA466" s="10"/>
      <c r="AB466" s="60"/>
      <c r="AC466" s="60"/>
      <c r="AD466" s="12"/>
    </row>
    <row r="467" spans="1:30" s="11" customFormat="1" ht="1.5" hidden="1" customHeight="1" outlineLevel="1" x14ac:dyDescent="0.35">
      <c r="A467" s="93" t="s">
        <v>102</v>
      </c>
      <c r="B467" s="10"/>
      <c r="C467" s="78"/>
      <c r="D467" s="78"/>
      <c r="E467" s="78"/>
      <c r="F467" s="78"/>
      <c r="G467" s="59"/>
      <c r="H467" s="59"/>
      <c r="I467" s="59"/>
      <c r="J467" s="59"/>
      <c r="K467" s="59"/>
      <c r="L467" s="61"/>
      <c r="M467" s="288"/>
      <c r="N467" s="62"/>
      <c r="O467" s="62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2"/>
      <c r="AC467" s="62"/>
      <c r="AD467" s="12"/>
    </row>
    <row r="468" spans="1:30" hidden="1" collapsed="1" x14ac:dyDescent="0.35"/>
    <row r="469" spans="1:30" s="17" customFormat="1" ht="15.5" hidden="1" outlineLevel="1" x14ac:dyDescent="0.35">
      <c r="A469" s="93" t="s">
        <v>107</v>
      </c>
      <c r="B469" s="21"/>
      <c r="C469" s="84"/>
      <c r="D469" s="84"/>
      <c r="E469" s="84"/>
      <c r="F469" s="83"/>
      <c r="G469" s="185"/>
      <c r="H469" s="185"/>
      <c r="I469" s="185"/>
      <c r="J469" s="185"/>
      <c r="K469" s="185"/>
      <c r="L469" s="92" t="s">
        <v>109</v>
      </c>
      <c r="M469" s="316" t="s">
        <v>124</v>
      </c>
      <c r="N469" s="316"/>
      <c r="O469" s="87"/>
      <c r="P469" s="88"/>
      <c r="Q469" s="88"/>
      <c r="R469" s="88"/>
      <c r="S469" s="300">
        <f>SUMGROUP(ROW(), "T")</f>
        <v>0</v>
      </c>
      <c r="T469" s="300"/>
      <c r="U469" s="309"/>
      <c r="V469" s="309"/>
      <c r="W469" s="309"/>
      <c r="X469" s="89"/>
      <c r="Y469" s="90"/>
      <c r="Z469" s="90"/>
      <c r="AA469" s="90"/>
      <c r="AB469" s="243"/>
      <c r="AC469" s="91"/>
      <c r="AD469" s="26" t="str">
        <f>IF(M469="", "Error: Module name cannot be empty.", "")</f>
        <v/>
      </c>
    </row>
    <row r="470" spans="1:30" hidden="1" x14ac:dyDescent="0.35"/>
    <row r="471" spans="1:30" s="11" customFormat="1" ht="20.25" customHeight="1" x14ac:dyDescent="0.35">
      <c r="A471" s="93"/>
      <c r="B471" s="10"/>
      <c r="C471" s="78"/>
      <c r="D471" s="78"/>
      <c r="E471" s="78"/>
      <c r="F471" s="78"/>
      <c r="G471" s="43"/>
      <c r="H471" s="43"/>
      <c r="I471" s="43"/>
      <c r="J471" s="43"/>
      <c r="K471" s="43"/>
      <c r="L471" s="43"/>
      <c r="M471" s="281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12"/>
    </row>
  </sheetData>
  <sheetProtection algorithmName="SHA-512" hashValue="inNwiZgd3ukz8Cn7uRHkwUn59yu3Ln7wUCyFw23oRMEQOGZH2ju0nFTU2w5Zo8gLBU5FGpU3Jny/aAD0OunL6w==" saltValue="Axh/p3uUccfGQhjtfudOFg==" spinCount="100000" sheet="1" objects="1" scenarios="1"/>
  <dataConsolidate/>
  <mergeCells count="108">
    <mergeCell ref="M273:N273"/>
    <mergeCell ref="M192:N192"/>
    <mergeCell ref="M198:N198"/>
    <mergeCell ref="M202:N202"/>
    <mergeCell ref="M206:N206"/>
    <mergeCell ref="M169:N169"/>
    <mergeCell ref="M175:N175"/>
    <mergeCell ref="M179:N179"/>
    <mergeCell ref="M183:N183"/>
    <mergeCell ref="M187:N187"/>
    <mergeCell ref="M146:N146"/>
    <mergeCell ref="M150:N150"/>
    <mergeCell ref="M156:N156"/>
    <mergeCell ref="M161:N161"/>
    <mergeCell ref="M165:N165"/>
    <mergeCell ref="M124:N124"/>
    <mergeCell ref="M129:N129"/>
    <mergeCell ref="M133:N133"/>
    <mergeCell ref="M137:N137"/>
    <mergeCell ref="M142:N142"/>
    <mergeCell ref="U222:W222"/>
    <mergeCell ref="M228:N228"/>
    <mergeCell ref="S228:T228"/>
    <mergeCell ref="U228:W228"/>
    <mergeCell ref="U210:W210"/>
    <mergeCell ref="U107:W107"/>
    <mergeCell ref="M92:N92"/>
    <mergeCell ref="M108:N108"/>
    <mergeCell ref="M99:N99"/>
    <mergeCell ref="M107:N107"/>
    <mergeCell ref="M115:N115"/>
    <mergeCell ref="M119:N119"/>
    <mergeCell ref="M263:N263"/>
    <mergeCell ref="M268:N268"/>
    <mergeCell ref="M277:N277"/>
    <mergeCell ref="M241:N241"/>
    <mergeCell ref="M248:N248"/>
    <mergeCell ref="M257:N257"/>
    <mergeCell ref="M236:N236"/>
    <mergeCell ref="M229:N229"/>
    <mergeCell ref="M211:N211"/>
    <mergeCell ref="M210:N210"/>
    <mergeCell ref="S210:T210"/>
    <mergeCell ref="M223:N223"/>
    <mergeCell ref="M222:N222"/>
    <mergeCell ref="S222:T222"/>
    <mergeCell ref="M20:N20"/>
    <mergeCell ref="M66:N66"/>
    <mergeCell ref="M71:N71"/>
    <mergeCell ref="M79:N79"/>
    <mergeCell ref="S59:T59"/>
    <mergeCell ref="M26:N26"/>
    <mergeCell ref="M33:N33"/>
    <mergeCell ref="M39:N39"/>
    <mergeCell ref="M45:N45"/>
    <mergeCell ref="M51:N51"/>
    <mergeCell ref="Y326:AA330"/>
    <mergeCell ref="U10:W10"/>
    <mergeCell ref="M296:T297"/>
    <mergeCell ref="W314:X315"/>
    <mergeCell ref="W316:X316"/>
    <mergeCell ref="W317:X317"/>
    <mergeCell ref="W318:X318"/>
    <mergeCell ref="W319:X319"/>
    <mergeCell ref="W320:X320"/>
    <mergeCell ref="W321:X321"/>
    <mergeCell ref="W322:X322"/>
    <mergeCell ref="Q322:V322"/>
    <mergeCell ref="M14:N14"/>
    <mergeCell ref="M61:N61"/>
    <mergeCell ref="W324:X325"/>
    <mergeCell ref="S11:T11"/>
    <mergeCell ref="C2:F9"/>
    <mergeCell ref="C10:F10"/>
    <mergeCell ref="G9:J9"/>
    <mergeCell ref="G294:H294"/>
    <mergeCell ref="C11:F11"/>
    <mergeCell ref="C12:E12"/>
    <mergeCell ref="G3:J3"/>
    <mergeCell ref="J5:K5"/>
    <mergeCell ref="AB5:AB6"/>
    <mergeCell ref="P10:R10"/>
    <mergeCell ref="G311:H311"/>
    <mergeCell ref="U469:W469"/>
    <mergeCell ref="Q324:V324"/>
    <mergeCell ref="P314:P315"/>
    <mergeCell ref="G339:H339"/>
    <mergeCell ref="G459:H459"/>
    <mergeCell ref="Q313:V313"/>
    <mergeCell ref="O314:O315"/>
    <mergeCell ref="N351:N353"/>
    <mergeCell ref="P377:R380"/>
    <mergeCell ref="P382:Q383"/>
    <mergeCell ref="P390:Q392"/>
    <mergeCell ref="M469:N469"/>
    <mergeCell ref="M463:N463"/>
    <mergeCell ref="S12:T12"/>
    <mergeCell ref="S90:T90"/>
    <mergeCell ref="S220:T220"/>
    <mergeCell ref="S255:T255"/>
    <mergeCell ref="S107:T107"/>
    <mergeCell ref="M287:N287"/>
    <mergeCell ref="S461:T461"/>
    <mergeCell ref="S469:T469"/>
    <mergeCell ref="S285:T285"/>
    <mergeCell ref="S292:T292"/>
    <mergeCell ref="T333:U333"/>
    <mergeCell ref="T332:U332"/>
  </mergeCells>
  <conditionalFormatting sqref="B316">
    <cfRule type="cellIs" dxfId="1478" priority="10812" operator="equal">
      <formula>"."</formula>
    </cfRule>
  </conditionalFormatting>
  <conditionalFormatting sqref="C313:E313 C332:E335">
    <cfRule type="expression" dxfId="1477" priority="10692">
      <formula>$H313&lt;&gt;""</formula>
    </cfRule>
  </conditionalFormatting>
  <conditionalFormatting sqref="C314:E322">
    <cfRule type="expression" dxfId="1476" priority="10690">
      <formula>$H314&lt;&gt;""</formula>
    </cfRule>
  </conditionalFormatting>
  <conditionalFormatting sqref="B314">
    <cfRule type="cellIs" dxfId="1475" priority="10686" operator="equal">
      <formula>"."</formula>
    </cfRule>
  </conditionalFormatting>
  <conditionalFormatting sqref="B465">
    <cfRule type="expression" dxfId="1474" priority="10581">
      <formula>AD465&lt;&gt;""</formula>
    </cfRule>
  </conditionalFormatting>
  <conditionalFormatting sqref="Z465">
    <cfRule type="cellIs" dxfId="1473" priority="10579" operator="greaterThan">
      <formula>0</formula>
    </cfRule>
    <cfRule type="cellIs" dxfId="1472" priority="10580" operator="lessThan">
      <formula>0</formula>
    </cfRule>
  </conditionalFormatting>
  <conditionalFormatting sqref="S465">
    <cfRule type="cellIs" dxfId="1471" priority="10578" operator="lessThan">
      <formula>0</formula>
    </cfRule>
  </conditionalFormatting>
  <conditionalFormatting sqref="T463:T464">
    <cfRule type="expression" dxfId="1470" priority="10582">
      <formula>#REF!="Yes"</formula>
    </cfRule>
  </conditionalFormatting>
  <conditionalFormatting sqref="P465">
    <cfRule type="cellIs" dxfId="1469" priority="10575" operator="equal">
      <formula>AS_DURATION_EFFORT</formula>
    </cfRule>
    <cfRule type="cellIs" dxfId="1468" priority="10576" operator="equal">
      <formula>AS_DEV_EFFORT</formula>
    </cfRule>
  </conditionalFormatting>
  <conditionalFormatting sqref="S469">
    <cfRule type="expression" dxfId="1467" priority="10391">
      <formula>#REF!="Yes"</formula>
    </cfRule>
  </conditionalFormatting>
  <conditionalFormatting sqref="B461">
    <cfRule type="expression" dxfId="1466" priority="10383">
      <formula>AD461&lt;&gt;""</formula>
    </cfRule>
  </conditionalFormatting>
  <conditionalFormatting sqref="B463:B464">
    <cfRule type="expression" dxfId="1465" priority="10382">
      <formula>AD463&lt;&gt;""</formula>
    </cfRule>
  </conditionalFormatting>
  <conditionalFormatting sqref="B469">
    <cfRule type="expression" dxfId="1464" priority="10381">
      <formula>AD469&lt;&gt;""</formula>
    </cfRule>
  </conditionalFormatting>
  <conditionalFormatting sqref="L28:M28 L35:M35 O28:AC28 O35:AC35 L36:AC37 L47:AC49 L53:AC56 L77:O77 L94:AC97 L73:AC74 L75:O75 Q75:AC75 Q77:AC77 L63:AC64 L16:AC17 L23:AC24 L41:AC43 L68:AC68 L81:AC85 L231:AC234 L225:AC226 L238:AC239 L213:AC217 L131:AC131 L135:AC135 L139:AC140 L144:AC144 L148:AC148 L152:AC154 L158:AC159 L163:AC163 L167:AC167 L171:AC173 L177:AC177 L181:AC181 L185:AC185 L194:AC196 L200:AC200 L110:AC113 L117:AC117 L121:AC122 L126:AC127 L189:AC190 L204:AC204 L101:AC105 L243:AC246 L279:AC282 L289:AC289 L465:AC465 L250:AC252 L259:AC261 L265:AC266 L270:AC271">
    <cfRule type="expression" dxfId="1463" priority="12670">
      <formula>AND($G16="Yes", $S$6="Exclude")</formula>
    </cfRule>
    <cfRule type="expression" dxfId="1462" priority="12671">
      <formula>$J16="Yes"</formula>
    </cfRule>
  </conditionalFormatting>
  <conditionalFormatting sqref="T5">
    <cfRule type="expression" dxfId="1461" priority="9964">
      <formula>OR($S$5="Reduce by:", $S$5="Increase by:")</formula>
    </cfRule>
  </conditionalFormatting>
  <conditionalFormatting sqref="F465">
    <cfRule type="expression" dxfId="1460" priority="7214">
      <formula>$K465&lt;&gt;""</formula>
    </cfRule>
  </conditionalFormatting>
  <conditionalFormatting sqref="C465">
    <cfRule type="expression" dxfId="1459" priority="7170">
      <formula>$G465&lt;&gt;"-"</formula>
    </cfRule>
  </conditionalFormatting>
  <conditionalFormatting sqref="D465">
    <cfRule type="expression" dxfId="1458" priority="7168">
      <formula>$H465&lt;&gt;"-"</formula>
    </cfRule>
  </conditionalFormatting>
  <conditionalFormatting sqref="E465">
    <cfRule type="expression" dxfId="1457" priority="7167">
      <formula>$I465&lt;&gt;"-"</formula>
    </cfRule>
  </conditionalFormatting>
  <conditionalFormatting sqref="B317">
    <cfRule type="cellIs" dxfId="1456" priority="3611" operator="equal">
      <formula>"."</formula>
    </cfRule>
  </conditionalFormatting>
  <conditionalFormatting sqref="B318">
    <cfRule type="cellIs" dxfId="1455" priority="3610" operator="equal">
      <formula>"."</formula>
    </cfRule>
  </conditionalFormatting>
  <conditionalFormatting sqref="B319">
    <cfRule type="cellIs" dxfId="1454" priority="3609" operator="equal">
      <formula>"."</formula>
    </cfRule>
  </conditionalFormatting>
  <conditionalFormatting sqref="B320">
    <cfRule type="cellIs" dxfId="1453" priority="3608" operator="equal">
      <formula>"."</formula>
    </cfRule>
  </conditionalFormatting>
  <conditionalFormatting sqref="B321">
    <cfRule type="cellIs" dxfId="1452" priority="3607" operator="equal">
      <formula>"."</formula>
    </cfRule>
  </conditionalFormatting>
  <conditionalFormatting sqref="B16">
    <cfRule type="expression" dxfId="1451" priority="3603">
      <formula>AD16&lt;&gt;""</formula>
    </cfRule>
  </conditionalFormatting>
  <conditionalFormatting sqref="Z16">
    <cfRule type="cellIs" dxfId="1450" priority="3601" operator="greaterThan">
      <formula>0</formula>
    </cfRule>
    <cfRule type="cellIs" dxfId="1449" priority="3602" operator="lessThan">
      <formula>0</formula>
    </cfRule>
  </conditionalFormatting>
  <conditionalFormatting sqref="S16">
    <cfRule type="cellIs" dxfId="1448" priority="3600" operator="lessThan">
      <formula>0</formula>
    </cfRule>
  </conditionalFormatting>
  <conditionalFormatting sqref="T14:T15">
    <cfRule type="expression" dxfId="1447" priority="3604">
      <formula>#REF!="Yes"</formula>
    </cfRule>
  </conditionalFormatting>
  <conditionalFormatting sqref="P16">
    <cfRule type="cellIs" dxfId="1446" priority="3598" operator="equal">
      <formula>AS_DURATION_EFFORT</formula>
    </cfRule>
    <cfRule type="cellIs" dxfId="1445" priority="3599" operator="equal">
      <formula>AS_DEV_EFFORT</formula>
    </cfRule>
  </conditionalFormatting>
  <conditionalFormatting sqref="B14:B15">
    <cfRule type="expression" dxfId="1444" priority="3597">
      <formula>AD14&lt;&gt;""</formula>
    </cfRule>
  </conditionalFormatting>
  <conditionalFormatting sqref="F16">
    <cfRule type="expression" dxfId="1443" priority="3596">
      <formula>$K16&lt;&gt;""</formula>
    </cfRule>
  </conditionalFormatting>
  <conditionalFormatting sqref="C16">
    <cfRule type="expression" dxfId="1442" priority="3595">
      <formula>$G16&lt;&gt;"-"</formula>
    </cfRule>
  </conditionalFormatting>
  <conditionalFormatting sqref="D16">
    <cfRule type="expression" dxfId="1441" priority="3594">
      <formula>$H16&lt;&gt;"-"</formula>
    </cfRule>
  </conditionalFormatting>
  <conditionalFormatting sqref="E16">
    <cfRule type="expression" dxfId="1440" priority="3593">
      <formula>$I16&lt;&gt;"-"</formula>
    </cfRule>
  </conditionalFormatting>
  <conditionalFormatting sqref="B17">
    <cfRule type="expression" dxfId="1439" priority="3590">
      <formula>AD17&lt;&gt;""</formula>
    </cfRule>
  </conditionalFormatting>
  <conditionalFormatting sqref="Z17">
    <cfRule type="cellIs" dxfId="1438" priority="3588" operator="greaterThan">
      <formula>0</formula>
    </cfRule>
    <cfRule type="cellIs" dxfId="1437" priority="3589" operator="lessThan">
      <formula>0</formula>
    </cfRule>
  </conditionalFormatting>
  <conditionalFormatting sqref="S17">
    <cfRule type="cellIs" dxfId="1436" priority="3587" operator="lessThan">
      <formula>0</formula>
    </cfRule>
  </conditionalFormatting>
  <conditionalFormatting sqref="P17">
    <cfRule type="cellIs" dxfId="1435" priority="3585" operator="equal">
      <formula>AS_DURATION_EFFORT</formula>
    </cfRule>
    <cfRule type="cellIs" dxfId="1434" priority="3586" operator="equal">
      <formula>AS_DEV_EFFORT</formula>
    </cfRule>
  </conditionalFormatting>
  <conditionalFormatting sqref="F17">
    <cfRule type="expression" dxfId="1433" priority="3584">
      <formula>$K17&lt;&gt;""</formula>
    </cfRule>
  </conditionalFormatting>
  <conditionalFormatting sqref="C17">
    <cfRule type="expression" dxfId="1432" priority="3583">
      <formula>$G17&lt;&gt;"-"</formula>
    </cfRule>
  </conditionalFormatting>
  <conditionalFormatting sqref="D17">
    <cfRule type="expression" dxfId="1431" priority="3582">
      <formula>$H17&lt;&gt;"-"</formula>
    </cfRule>
  </conditionalFormatting>
  <conditionalFormatting sqref="E17">
    <cfRule type="expression" dxfId="1430" priority="3581">
      <formula>$I17&lt;&gt;"-"</formula>
    </cfRule>
  </conditionalFormatting>
  <conditionalFormatting sqref="B63">
    <cfRule type="expression" dxfId="1429" priority="3577">
      <formula>AD63&lt;&gt;""</formula>
    </cfRule>
  </conditionalFormatting>
  <conditionalFormatting sqref="Z63">
    <cfRule type="cellIs" dxfId="1428" priority="3575" operator="greaterThan">
      <formula>0</formula>
    </cfRule>
    <cfRule type="cellIs" dxfId="1427" priority="3576" operator="lessThan">
      <formula>0</formula>
    </cfRule>
  </conditionalFormatting>
  <conditionalFormatting sqref="S63">
    <cfRule type="cellIs" dxfId="1426" priority="3574" operator="lessThan">
      <formula>0</formula>
    </cfRule>
  </conditionalFormatting>
  <conditionalFormatting sqref="T61:T62">
    <cfRule type="expression" dxfId="1425" priority="3578">
      <formula>#REF!="Yes"</formula>
    </cfRule>
  </conditionalFormatting>
  <conditionalFormatting sqref="P63">
    <cfRule type="cellIs" dxfId="1424" priority="3572" operator="equal">
      <formula>AS_DURATION_EFFORT</formula>
    </cfRule>
    <cfRule type="cellIs" dxfId="1423" priority="3573" operator="equal">
      <formula>AS_DEV_EFFORT</formula>
    </cfRule>
  </conditionalFormatting>
  <conditionalFormatting sqref="B61:B62">
    <cfRule type="expression" dxfId="1422" priority="3571">
      <formula>AD61&lt;&gt;""</formula>
    </cfRule>
  </conditionalFormatting>
  <conditionalFormatting sqref="F63">
    <cfRule type="expression" dxfId="1421" priority="3570">
      <formula>$K63&lt;&gt;""</formula>
    </cfRule>
  </conditionalFormatting>
  <conditionalFormatting sqref="C63">
    <cfRule type="expression" dxfId="1420" priority="3569">
      <formula>$G63&lt;&gt;"-"</formula>
    </cfRule>
  </conditionalFormatting>
  <conditionalFormatting sqref="D63">
    <cfRule type="expression" dxfId="1419" priority="3568">
      <formula>$H63&lt;&gt;"-"</formula>
    </cfRule>
  </conditionalFormatting>
  <conditionalFormatting sqref="E63">
    <cfRule type="expression" dxfId="1418" priority="3567">
      <formula>$I63&lt;&gt;"-"</formula>
    </cfRule>
  </conditionalFormatting>
  <conditionalFormatting sqref="B94">
    <cfRule type="expression" dxfId="1417" priority="3507">
      <formula>AD94&lt;&gt;""</formula>
    </cfRule>
  </conditionalFormatting>
  <conditionalFormatting sqref="Z94">
    <cfRule type="cellIs" dxfId="1416" priority="3505" operator="greaterThan">
      <formula>0</formula>
    </cfRule>
    <cfRule type="cellIs" dxfId="1415" priority="3506" operator="lessThan">
      <formula>0</formula>
    </cfRule>
  </conditionalFormatting>
  <conditionalFormatting sqref="S94">
    <cfRule type="cellIs" dxfId="1414" priority="3504" operator="lessThan">
      <formula>0</formula>
    </cfRule>
  </conditionalFormatting>
  <conditionalFormatting sqref="T92:T93">
    <cfRule type="expression" dxfId="1413" priority="3508">
      <formula>#REF!="Yes"</formula>
    </cfRule>
  </conditionalFormatting>
  <conditionalFormatting sqref="P94">
    <cfRule type="cellIs" dxfId="1412" priority="3502" operator="equal">
      <formula>AS_DURATION_EFFORT</formula>
    </cfRule>
    <cfRule type="cellIs" dxfId="1411" priority="3503" operator="equal">
      <formula>AS_DEV_EFFORT</formula>
    </cfRule>
  </conditionalFormatting>
  <conditionalFormatting sqref="B92:B93">
    <cfRule type="expression" dxfId="1410" priority="3501">
      <formula>AD92&lt;&gt;""</formula>
    </cfRule>
  </conditionalFormatting>
  <conditionalFormatting sqref="F94">
    <cfRule type="expression" dxfId="1409" priority="3500">
      <formula>$K94&lt;&gt;""</formula>
    </cfRule>
  </conditionalFormatting>
  <conditionalFormatting sqref="C94">
    <cfRule type="expression" dxfId="1408" priority="3499">
      <formula>$G94&lt;&gt;"-"</formula>
    </cfRule>
  </conditionalFormatting>
  <conditionalFormatting sqref="D94">
    <cfRule type="expression" dxfId="1407" priority="3498">
      <formula>$H94&lt;&gt;"-"</formula>
    </cfRule>
  </conditionalFormatting>
  <conditionalFormatting sqref="E94">
    <cfRule type="expression" dxfId="1406" priority="3497">
      <formula>$I94&lt;&gt;"-"</formula>
    </cfRule>
  </conditionalFormatting>
  <conditionalFormatting sqref="B110">
    <cfRule type="expression" dxfId="1405" priority="3479">
      <formula>AD110&lt;&gt;""</formula>
    </cfRule>
  </conditionalFormatting>
  <conditionalFormatting sqref="Z110">
    <cfRule type="cellIs" dxfId="1404" priority="3477" operator="greaterThan">
      <formula>0</formula>
    </cfRule>
    <cfRule type="cellIs" dxfId="1403" priority="3478" operator="lessThan">
      <formula>0</formula>
    </cfRule>
  </conditionalFormatting>
  <conditionalFormatting sqref="S110">
    <cfRule type="cellIs" dxfId="1402" priority="3476" operator="lessThan">
      <formula>0</formula>
    </cfRule>
  </conditionalFormatting>
  <conditionalFormatting sqref="T108:T109">
    <cfRule type="expression" dxfId="1401" priority="3480">
      <formula>#REF!="Yes"</formula>
    </cfRule>
  </conditionalFormatting>
  <conditionalFormatting sqref="P110">
    <cfRule type="cellIs" dxfId="1400" priority="3474" operator="equal">
      <formula>AS_DURATION_EFFORT</formula>
    </cfRule>
    <cfRule type="cellIs" dxfId="1399" priority="3475" operator="equal">
      <formula>AS_DEV_EFFORT</formula>
    </cfRule>
  </conditionalFormatting>
  <conditionalFormatting sqref="B108:B109">
    <cfRule type="expression" dxfId="1398" priority="3473">
      <formula>AD108&lt;&gt;""</formula>
    </cfRule>
  </conditionalFormatting>
  <conditionalFormatting sqref="F110">
    <cfRule type="expression" dxfId="1397" priority="3472">
      <formula>$K110&lt;&gt;""</formula>
    </cfRule>
  </conditionalFormatting>
  <conditionalFormatting sqref="C110">
    <cfRule type="expression" dxfId="1396" priority="3471">
      <formula>$G110&lt;&gt;"-"</formula>
    </cfRule>
  </conditionalFormatting>
  <conditionalFormatting sqref="D110">
    <cfRule type="expression" dxfId="1395" priority="3470">
      <formula>$H110&lt;&gt;"-"</formula>
    </cfRule>
  </conditionalFormatting>
  <conditionalFormatting sqref="E110">
    <cfRule type="expression" dxfId="1394" priority="3469">
      <formula>$I110&lt;&gt;"-"</formula>
    </cfRule>
  </conditionalFormatting>
  <conditionalFormatting sqref="B101">
    <cfRule type="expression" dxfId="1393" priority="3465">
      <formula>AD101&lt;&gt;""</formula>
    </cfRule>
  </conditionalFormatting>
  <conditionalFormatting sqref="Z101">
    <cfRule type="cellIs" dxfId="1392" priority="3463" operator="greaterThan">
      <formula>0</formula>
    </cfRule>
    <cfRule type="cellIs" dxfId="1391" priority="3464" operator="lessThan">
      <formula>0</formula>
    </cfRule>
  </conditionalFormatting>
  <conditionalFormatting sqref="S101">
    <cfRule type="cellIs" dxfId="1390" priority="3462" operator="lessThan">
      <formula>0</formula>
    </cfRule>
  </conditionalFormatting>
  <conditionalFormatting sqref="T99:T100">
    <cfRule type="expression" dxfId="1389" priority="3466">
      <formula>#REF!="Yes"</formula>
    </cfRule>
  </conditionalFormatting>
  <conditionalFormatting sqref="P101">
    <cfRule type="cellIs" dxfId="1388" priority="3460" operator="equal">
      <formula>AS_DURATION_EFFORT</formula>
    </cfRule>
    <cfRule type="cellIs" dxfId="1387" priority="3461" operator="equal">
      <formula>AS_DEV_EFFORT</formula>
    </cfRule>
  </conditionalFormatting>
  <conditionalFormatting sqref="B99:B100">
    <cfRule type="expression" dxfId="1386" priority="3459">
      <formula>AD99&lt;&gt;""</formula>
    </cfRule>
  </conditionalFormatting>
  <conditionalFormatting sqref="F101">
    <cfRule type="expression" dxfId="1385" priority="3458">
      <formula>$K101&lt;&gt;""</formula>
    </cfRule>
  </conditionalFormatting>
  <conditionalFormatting sqref="C101">
    <cfRule type="expression" dxfId="1384" priority="3457">
      <formula>$G101&lt;&gt;"-"</formula>
    </cfRule>
  </conditionalFormatting>
  <conditionalFormatting sqref="D101">
    <cfRule type="expression" dxfId="1383" priority="3456">
      <formula>$H101&lt;&gt;"-"</formula>
    </cfRule>
  </conditionalFormatting>
  <conditionalFormatting sqref="E101">
    <cfRule type="expression" dxfId="1382" priority="3455">
      <formula>$I101&lt;&gt;"-"</formula>
    </cfRule>
  </conditionalFormatting>
  <conditionalFormatting sqref="S107">
    <cfRule type="expression" dxfId="1381" priority="3450">
      <formula>#REF!="Yes"</formula>
    </cfRule>
  </conditionalFormatting>
  <conditionalFormatting sqref="B107">
    <cfRule type="expression" dxfId="1380" priority="3449">
      <formula>AD107&lt;&gt;""</formula>
    </cfRule>
  </conditionalFormatting>
  <conditionalFormatting sqref="B23">
    <cfRule type="expression" dxfId="1379" priority="3445">
      <formula>AD23&lt;&gt;""</formula>
    </cfRule>
  </conditionalFormatting>
  <conditionalFormatting sqref="Z23">
    <cfRule type="cellIs" dxfId="1378" priority="3443" operator="greaterThan">
      <formula>0</formula>
    </cfRule>
    <cfRule type="cellIs" dxfId="1377" priority="3444" operator="lessThan">
      <formula>0</formula>
    </cfRule>
  </conditionalFormatting>
  <conditionalFormatting sqref="S23">
    <cfRule type="cellIs" dxfId="1376" priority="3442" operator="lessThan">
      <formula>0</formula>
    </cfRule>
  </conditionalFormatting>
  <conditionalFormatting sqref="T20:T21">
    <cfRule type="expression" dxfId="1375" priority="3446">
      <formula>#REF!="Yes"</formula>
    </cfRule>
  </conditionalFormatting>
  <conditionalFormatting sqref="P23">
    <cfRule type="cellIs" dxfId="1374" priority="3440" operator="equal">
      <formula>AS_DURATION_EFFORT</formula>
    </cfRule>
    <cfRule type="cellIs" dxfId="1373" priority="3441" operator="equal">
      <formula>AS_DEV_EFFORT</formula>
    </cfRule>
  </conditionalFormatting>
  <conditionalFormatting sqref="B20:B21">
    <cfRule type="expression" dxfId="1372" priority="3439">
      <formula>AD20&lt;&gt;""</formula>
    </cfRule>
  </conditionalFormatting>
  <conditionalFormatting sqref="F23">
    <cfRule type="expression" dxfId="1371" priority="3438">
      <formula>$K23&lt;&gt;""</formula>
    </cfRule>
  </conditionalFormatting>
  <conditionalFormatting sqref="C23">
    <cfRule type="expression" dxfId="1370" priority="3437">
      <formula>$G23&lt;&gt;"-"</formula>
    </cfRule>
  </conditionalFormatting>
  <conditionalFormatting sqref="D23">
    <cfRule type="expression" dxfId="1369" priority="3436">
      <formula>$H23&lt;&gt;"-"</formula>
    </cfRule>
  </conditionalFormatting>
  <conditionalFormatting sqref="E23">
    <cfRule type="expression" dxfId="1368" priority="3435">
      <formula>$I23&lt;&gt;"-"</formula>
    </cfRule>
  </conditionalFormatting>
  <conditionalFormatting sqref="B24">
    <cfRule type="expression" dxfId="1367" priority="3432">
      <formula>AD24&lt;&gt;""</formula>
    </cfRule>
  </conditionalFormatting>
  <conditionalFormatting sqref="Z24">
    <cfRule type="cellIs" dxfId="1366" priority="3430" operator="greaterThan">
      <formula>0</formula>
    </cfRule>
    <cfRule type="cellIs" dxfId="1365" priority="3431" operator="lessThan">
      <formula>0</formula>
    </cfRule>
  </conditionalFormatting>
  <conditionalFormatting sqref="S24">
    <cfRule type="cellIs" dxfId="1364" priority="3429" operator="lessThan">
      <formula>0</formula>
    </cfRule>
  </conditionalFormatting>
  <conditionalFormatting sqref="P24">
    <cfRule type="cellIs" dxfId="1363" priority="3427" operator="equal">
      <formula>AS_DURATION_EFFORT</formula>
    </cfRule>
    <cfRule type="cellIs" dxfId="1362" priority="3428" operator="equal">
      <formula>AS_DEV_EFFORT</formula>
    </cfRule>
  </conditionalFormatting>
  <conditionalFormatting sqref="F24">
    <cfRule type="expression" dxfId="1361" priority="3426">
      <formula>$K24&lt;&gt;""</formula>
    </cfRule>
  </conditionalFormatting>
  <conditionalFormatting sqref="C24">
    <cfRule type="expression" dxfId="1360" priority="3425">
      <formula>$G24&lt;&gt;"-"</formula>
    </cfRule>
  </conditionalFormatting>
  <conditionalFormatting sqref="D24">
    <cfRule type="expression" dxfId="1359" priority="3424">
      <formula>$H24&lt;&gt;"-"</formula>
    </cfRule>
  </conditionalFormatting>
  <conditionalFormatting sqref="E24">
    <cfRule type="expression" dxfId="1358" priority="3423">
      <formula>$I24&lt;&gt;"-"</formula>
    </cfRule>
  </conditionalFormatting>
  <conditionalFormatting sqref="B68">
    <cfRule type="expression" dxfId="1357" priority="3369">
      <formula>AD68&lt;&gt;""</formula>
    </cfRule>
  </conditionalFormatting>
  <conditionalFormatting sqref="Z68">
    <cfRule type="cellIs" dxfId="1356" priority="3367" operator="greaterThan">
      <formula>0</formula>
    </cfRule>
    <cfRule type="cellIs" dxfId="1355" priority="3368" operator="lessThan">
      <formula>0</formula>
    </cfRule>
  </conditionalFormatting>
  <conditionalFormatting sqref="S68">
    <cfRule type="cellIs" dxfId="1354" priority="3366" operator="lessThan">
      <formula>0</formula>
    </cfRule>
  </conditionalFormatting>
  <conditionalFormatting sqref="T66:T67">
    <cfRule type="expression" dxfId="1353" priority="3370">
      <formula>#REF!="Yes"</formula>
    </cfRule>
  </conditionalFormatting>
  <conditionalFormatting sqref="P68">
    <cfRule type="cellIs" dxfId="1352" priority="3364" operator="equal">
      <formula>AS_DURATION_EFFORT</formula>
    </cfRule>
    <cfRule type="cellIs" dxfId="1351" priority="3365" operator="equal">
      <formula>AS_DEV_EFFORT</formula>
    </cfRule>
  </conditionalFormatting>
  <conditionalFormatting sqref="B66:B67">
    <cfRule type="expression" dxfId="1350" priority="3363">
      <formula>AD66&lt;&gt;""</formula>
    </cfRule>
  </conditionalFormatting>
  <conditionalFormatting sqref="F68">
    <cfRule type="expression" dxfId="1349" priority="3362">
      <formula>$K68&lt;&gt;""</formula>
    </cfRule>
  </conditionalFormatting>
  <conditionalFormatting sqref="C68">
    <cfRule type="expression" dxfId="1348" priority="3361">
      <formula>$G68&lt;&gt;"-"</formula>
    </cfRule>
  </conditionalFormatting>
  <conditionalFormatting sqref="D68">
    <cfRule type="expression" dxfId="1347" priority="3360">
      <formula>$H68&lt;&gt;"-"</formula>
    </cfRule>
  </conditionalFormatting>
  <conditionalFormatting sqref="E68">
    <cfRule type="expression" dxfId="1346" priority="3359">
      <formula>$I68&lt;&gt;"-"</formula>
    </cfRule>
  </conditionalFormatting>
  <conditionalFormatting sqref="B73">
    <cfRule type="expression" dxfId="1345" priority="3355">
      <formula>AD73&lt;&gt;""</formula>
    </cfRule>
  </conditionalFormatting>
  <conditionalFormatting sqref="Z73">
    <cfRule type="cellIs" dxfId="1344" priority="3353" operator="greaterThan">
      <formula>0</formula>
    </cfRule>
    <cfRule type="cellIs" dxfId="1343" priority="3354" operator="lessThan">
      <formula>0</formula>
    </cfRule>
  </conditionalFormatting>
  <conditionalFormatting sqref="S73">
    <cfRule type="cellIs" dxfId="1342" priority="3352" operator="lessThan">
      <formula>0</formula>
    </cfRule>
  </conditionalFormatting>
  <conditionalFormatting sqref="T71:T72">
    <cfRule type="expression" dxfId="1341" priority="3356">
      <formula>#REF!="Yes"</formula>
    </cfRule>
  </conditionalFormatting>
  <conditionalFormatting sqref="P73">
    <cfRule type="cellIs" dxfId="1340" priority="3350" operator="equal">
      <formula>AS_DURATION_EFFORT</formula>
    </cfRule>
    <cfRule type="cellIs" dxfId="1339" priority="3351" operator="equal">
      <formula>AS_DEV_EFFORT</formula>
    </cfRule>
  </conditionalFormatting>
  <conditionalFormatting sqref="B71:B72">
    <cfRule type="expression" dxfId="1338" priority="3349">
      <formula>AD71&lt;&gt;""</formula>
    </cfRule>
  </conditionalFormatting>
  <conditionalFormatting sqref="F73">
    <cfRule type="expression" dxfId="1337" priority="3348">
      <formula>$K73&lt;&gt;""</formula>
    </cfRule>
  </conditionalFormatting>
  <conditionalFormatting sqref="C73">
    <cfRule type="expression" dxfId="1336" priority="3347">
      <formula>$G73&lt;&gt;"-"</formula>
    </cfRule>
  </conditionalFormatting>
  <conditionalFormatting sqref="D73">
    <cfRule type="expression" dxfId="1335" priority="3346">
      <formula>$H73&lt;&gt;"-"</formula>
    </cfRule>
  </conditionalFormatting>
  <conditionalFormatting sqref="E73">
    <cfRule type="expression" dxfId="1334" priority="3345">
      <formula>$I73&lt;&gt;"-"</formula>
    </cfRule>
  </conditionalFormatting>
  <conditionalFormatting sqref="B81">
    <cfRule type="expression" dxfId="1333" priority="3341">
      <formula>AD81&lt;&gt;""</formula>
    </cfRule>
  </conditionalFormatting>
  <conditionalFormatting sqref="Z81">
    <cfRule type="cellIs" dxfId="1332" priority="3339" operator="greaterThan">
      <formula>0</formula>
    </cfRule>
    <cfRule type="cellIs" dxfId="1331" priority="3340" operator="lessThan">
      <formula>0</formula>
    </cfRule>
  </conditionalFormatting>
  <conditionalFormatting sqref="S81">
    <cfRule type="cellIs" dxfId="1330" priority="3338" operator="lessThan">
      <formula>0</formula>
    </cfRule>
  </conditionalFormatting>
  <conditionalFormatting sqref="T79:T80">
    <cfRule type="expression" dxfId="1329" priority="3342">
      <formula>#REF!="Yes"</formula>
    </cfRule>
  </conditionalFormatting>
  <conditionalFormatting sqref="P81">
    <cfRule type="cellIs" dxfId="1328" priority="3336" operator="equal">
      <formula>AS_DURATION_EFFORT</formula>
    </cfRule>
    <cfRule type="cellIs" dxfId="1327" priority="3337" operator="equal">
      <formula>AS_DEV_EFFORT</formula>
    </cfRule>
  </conditionalFormatting>
  <conditionalFormatting sqref="B79:B80">
    <cfRule type="expression" dxfId="1326" priority="3335">
      <formula>AD79&lt;&gt;""</formula>
    </cfRule>
  </conditionalFormatting>
  <conditionalFormatting sqref="F81">
    <cfRule type="expression" dxfId="1325" priority="3334">
      <formula>$K81&lt;&gt;""</formula>
    </cfRule>
  </conditionalFormatting>
  <conditionalFormatting sqref="C81">
    <cfRule type="expression" dxfId="1324" priority="3333">
      <formula>$G81&lt;&gt;"-"</formula>
    </cfRule>
  </conditionalFormatting>
  <conditionalFormatting sqref="D81">
    <cfRule type="expression" dxfId="1323" priority="3332">
      <formula>$H81&lt;&gt;"-"</formula>
    </cfRule>
  </conditionalFormatting>
  <conditionalFormatting sqref="E81">
    <cfRule type="expression" dxfId="1322" priority="3331">
      <formula>$I81&lt;&gt;"-"</formula>
    </cfRule>
  </conditionalFormatting>
  <conditionalFormatting sqref="B64">
    <cfRule type="expression" dxfId="1321" priority="3300">
      <formula>AD64&lt;&gt;""</formula>
    </cfRule>
  </conditionalFormatting>
  <conditionalFormatting sqref="Z64">
    <cfRule type="cellIs" dxfId="1320" priority="3298" operator="greaterThan">
      <formula>0</formula>
    </cfRule>
    <cfRule type="cellIs" dxfId="1319" priority="3299" operator="lessThan">
      <formula>0</formula>
    </cfRule>
  </conditionalFormatting>
  <conditionalFormatting sqref="S64">
    <cfRule type="cellIs" dxfId="1318" priority="3297" operator="lessThan">
      <formula>0</formula>
    </cfRule>
  </conditionalFormatting>
  <conditionalFormatting sqref="P64">
    <cfRule type="cellIs" dxfId="1317" priority="3295" operator="equal">
      <formula>AS_DURATION_EFFORT</formula>
    </cfRule>
    <cfRule type="cellIs" dxfId="1316" priority="3296" operator="equal">
      <formula>AS_DEV_EFFORT</formula>
    </cfRule>
  </conditionalFormatting>
  <conditionalFormatting sqref="F64">
    <cfRule type="expression" dxfId="1315" priority="3294">
      <formula>$K64&lt;&gt;""</formula>
    </cfRule>
  </conditionalFormatting>
  <conditionalFormatting sqref="C64">
    <cfRule type="expression" dxfId="1314" priority="3293">
      <formula>$G64&lt;&gt;"-"</formula>
    </cfRule>
  </conditionalFormatting>
  <conditionalFormatting sqref="D64">
    <cfRule type="expression" dxfId="1313" priority="3292">
      <formula>$H64&lt;&gt;"-"</formula>
    </cfRule>
  </conditionalFormatting>
  <conditionalFormatting sqref="E64">
    <cfRule type="expression" dxfId="1312" priority="3291">
      <formula>$I64&lt;&gt;"-"</formula>
    </cfRule>
  </conditionalFormatting>
  <conditionalFormatting sqref="B74">
    <cfRule type="expression" dxfId="1311" priority="3288">
      <formula>AD74&lt;&gt;""</formula>
    </cfRule>
  </conditionalFormatting>
  <conditionalFormatting sqref="Z74">
    <cfRule type="cellIs" dxfId="1310" priority="3286" operator="greaterThan">
      <formula>0</formula>
    </cfRule>
    <cfRule type="cellIs" dxfId="1309" priority="3287" operator="lessThan">
      <formula>0</formula>
    </cfRule>
  </conditionalFormatting>
  <conditionalFormatting sqref="S74">
    <cfRule type="cellIs" dxfId="1308" priority="3285" operator="lessThan">
      <formula>0</formula>
    </cfRule>
  </conditionalFormatting>
  <conditionalFormatting sqref="P74">
    <cfRule type="cellIs" dxfId="1307" priority="3283" operator="equal">
      <formula>AS_DURATION_EFFORT</formula>
    </cfRule>
    <cfRule type="cellIs" dxfId="1306" priority="3284" operator="equal">
      <formula>AS_DEV_EFFORT</formula>
    </cfRule>
  </conditionalFormatting>
  <conditionalFormatting sqref="F74">
    <cfRule type="expression" dxfId="1305" priority="3282">
      <formula>$K74&lt;&gt;""</formula>
    </cfRule>
  </conditionalFormatting>
  <conditionalFormatting sqref="C74">
    <cfRule type="expression" dxfId="1304" priority="3281">
      <formula>$G74&lt;&gt;"-"</formula>
    </cfRule>
  </conditionalFormatting>
  <conditionalFormatting sqref="D74">
    <cfRule type="expression" dxfId="1303" priority="3280">
      <formula>$H74&lt;&gt;"-"</formula>
    </cfRule>
  </conditionalFormatting>
  <conditionalFormatting sqref="E74">
    <cfRule type="expression" dxfId="1302" priority="3279">
      <formula>$I74&lt;&gt;"-"</formula>
    </cfRule>
  </conditionalFormatting>
  <conditionalFormatting sqref="B75">
    <cfRule type="expression" dxfId="1301" priority="3276">
      <formula>AD75&lt;&gt;""</formula>
    </cfRule>
  </conditionalFormatting>
  <conditionalFormatting sqref="Z75">
    <cfRule type="cellIs" dxfId="1300" priority="3274" operator="greaterThan">
      <formula>0</formula>
    </cfRule>
    <cfRule type="cellIs" dxfId="1299" priority="3275" operator="lessThan">
      <formula>0</formula>
    </cfRule>
  </conditionalFormatting>
  <conditionalFormatting sqref="S75">
    <cfRule type="cellIs" dxfId="1298" priority="3273" operator="lessThan">
      <formula>0</formula>
    </cfRule>
  </conditionalFormatting>
  <conditionalFormatting sqref="F75">
    <cfRule type="expression" dxfId="1297" priority="3270">
      <formula>$K75&lt;&gt;""</formula>
    </cfRule>
  </conditionalFormatting>
  <conditionalFormatting sqref="C75">
    <cfRule type="expression" dxfId="1296" priority="3269">
      <formula>$G75&lt;&gt;"-"</formula>
    </cfRule>
  </conditionalFormatting>
  <conditionalFormatting sqref="D75">
    <cfRule type="expression" dxfId="1295" priority="3268">
      <formula>$H75&lt;&gt;"-"</formula>
    </cfRule>
  </conditionalFormatting>
  <conditionalFormatting sqref="E75">
    <cfRule type="expression" dxfId="1294" priority="3267">
      <formula>$I75&lt;&gt;"-"</formula>
    </cfRule>
  </conditionalFormatting>
  <conditionalFormatting sqref="B77">
    <cfRule type="expression" dxfId="1293" priority="3264">
      <formula>AD77&lt;&gt;""</formula>
    </cfRule>
  </conditionalFormatting>
  <conditionalFormatting sqref="Z77">
    <cfRule type="cellIs" dxfId="1292" priority="3262" operator="greaterThan">
      <formula>0</formula>
    </cfRule>
    <cfRule type="cellIs" dxfId="1291" priority="3263" operator="lessThan">
      <formula>0</formula>
    </cfRule>
  </conditionalFormatting>
  <conditionalFormatting sqref="S77">
    <cfRule type="cellIs" dxfId="1290" priority="3261" operator="lessThan">
      <formula>0</formula>
    </cfRule>
  </conditionalFormatting>
  <conditionalFormatting sqref="F77">
    <cfRule type="expression" dxfId="1289" priority="3258">
      <formula>$K77&lt;&gt;""</formula>
    </cfRule>
  </conditionalFormatting>
  <conditionalFormatting sqref="C77">
    <cfRule type="expression" dxfId="1288" priority="3257">
      <formula>$G77&lt;&gt;"-"</formula>
    </cfRule>
  </conditionalFormatting>
  <conditionalFormatting sqref="D77">
    <cfRule type="expression" dxfId="1287" priority="3256">
      <formula>$H77&lt;&gt;"-"</formula>
    </cfRule>
  </conditionalFormatting>
  <conditionalFormatting sqref="E77">
    <cfRule type="expression" dxfId="1286" priority="3255">
      <formula>$I77&lt;&gt;"-"</formula>
    </cfRule>
  </conditionalFormatting>
  <conditionalFormatting sqref="B85">
    <cfRule type="expression" dxfId="1285" priority="3204">
      <formula>AD85&lt;&gt;""</formula>
    </cfRule>
  </conditionalFormatting>
  <conditionalFormatting sqref="Z85">
    <cfRule type="cellIs" dxfId="1284" priority="3202" operator="greaterThan">
      <formula>0</formula>
    </cfRule>
    <cfRule type="cellIs" dxfId="1283" priority="3203" operator="lessThan">
      <formula>0</formula>
    </cfRule>
  </conditionalFormatting>
  <conditionalFormatting sqref="S85">
    <cfRule type="cellIs" dxfId="1282" priority="3201" operator="lessThan">
      <formula>0</formula>
    </cfRule>
  </conditionalFormatting>
  <conditionalFormatting sqref="P85">
    <cfRule type="cellIs" dxfId="1281" priority="3199" operator="equal">
      <formula>AS_DURATION_EFFORT</formula>
    </cfRule>
    <cfRule type="cellIs" dxfId="1280" priority="3200" operator="equal">
      <formula>AS_DEV_EFFORT</formula>
    </cfRule>
  </conditionalFormatting>
  <conditionalFormatting sqref="F85">
    <cfRule type="expression" dxfId="1279" priority="3198">
      <formula>$K85&lt;&gt;""</formula>
    </cfRule>
  </conditionalFormatting>
  <conditionalFormatting sqref="C85">
    <cfRule type="expression" dxfId="1278" priority="3197">
      <formula>$G85&lt;&gt;"-"</formula>
    </cfRule>
  </conditionalFormatting>
  <conditionalFormatting sqref="D85">
    <cfRule type="expression" dxfId="1277" priority="3196">
      <formula>$H85&lt;&gt;"-"</formula>
    </cfRule>
  </conditionalFormatting>
  <conditionalFormatting sqref="E85">
    <cfRule type="expression" dxfId="1276" priority="3195">
      <formula>$I85&lt;&gt;"-"</formula>
    </cfRule>
  </conditionalFormatting>
  <conditionalFormatting sqref="B84">
    <cfRule type="expression" dxfId="1275" priority="3180">
      <formula>AD84&lt;&gt;""</formula>
    </cfRule>
  </conditionalFormatting>
  <conditionalFormatting sqref="Z84">
    <cfRule type="cellIs" dxfId="1274" priority="3178" operator="greaterThan">
      <formula>0</formula>
    </cfRule>
    <cfRule type="cellIs" dxfId="1273" priority="3179" operator="lessThan">
      <formula>0</formula>
    </cfRule>
  </conditionalFormatting>
  <conditionalFormatting sqref="S84">
    <cfRule type="cellIs" dxfId="1272" priority="3177" operator="lessThan">
      <formula>0</formula>
    </cfRule>
  </conditionalFormatting>
  <conditionalFormatting sqref="P84">
    <cfRule type="cellIs" dxfId="1271" priority="3175" operator="equal">
      <formula>AS_DURATION_EFFORT</formula>
    </cfRule>
    <cfRule type="cellIs" dxfId="1270" priority="3176" operator="equal">
      <formula>AS_DEV_EFFORT</formula>
    </cfRule>
  </conditionalFormatting>
  <conditionalFormatting sqref="F84">
    <cfRule type="expression" dxfId="1269" priority="3174">
      <formula>$K84&lt;&gt;""</formula>
    </cfRule>
  </conditionalFormatting>
  <conditionalFormatting sqref="C84">
    <cfRule type="expression" dxfId="1268" priority="3173">
      <formula>$G84&lt;&gt;"-"</formula>
    </cfRule>
  </conditionalFormatting>
  <conditionalFormatting sqref="D84">
    <cfRule type="expression" dxfId="1267" priority="3172">
      <formula>$H84&lt;&gt;"-"</formula>
    </cfRule>
  </conditionalFormatting>
  <conditionalFormatting sqref="E84">
    <cfRule type="expression" dxfId="1266" priority="3171">
      <formula>$I84&lt;&gt;"-"</formula>
    </cfRule>
  </conditionalFormatting>
  <conditionalFormatting sqref="B83">
    <cfRule type="expression" dxfId="1265" priority="3156">
      <formula>AD83&lt;&gt;""</formula>
    </cfRule>
  </conditionalFormatting>
  <conditionalFormatting sqref="Z83">
    <cfRule type="cellIs" dxfId="1264" priority="3154" operator="greaterThan">
      <formula>0</formula>
    </cfRule>
    <cfRule type="cellIs" dxfId="1263" priority="3155" operator="lessThan">
      <formula>0</formula>
    </cfRule>
  </conditionalFormatting>
  <conditionalFormatting sqref="S83">
    <cfRule type="cellIs" dxfId="1262" priority="3153" operator="lessThan">
      <formula>0</formula>
    </cfRule>
  </conditionalFormatting>
  <conditionalFormatting sqref="P83">
    <cfRule type="cellIs" dxfId="1261" priority="3151" operator="equal">
      <formula>AS_DURATION_EFFORT</formula>
    </cfRule>
    <cfRule type="cellIs" dxfId="1260" priority="3152" operator="equal">
      <formula>AS_DEV_EFFORT</formula>
    </cfRule>
  </conditionalFormatting>
  <conditionalFormatting sqref="F83">
    <cfRule type="expression" dxfId="1259" priority="3150">
      <formula>$K83&lt;&gt;""</formula>
    </cfRule>
  </conditionalFormatting>
  <conditionalFormatting sqref="C83">
    <cfRule type="expression" dxfId="1258" priority="3149">
      <formula>$G83&lt;&gt;"-"</formula>
    </cfRule>
  </conditionalFormatting>
  <conditionalFormatting sqref="D83">
    <cfRule type="expression" dxfId="1257" priority="3148">
      <formula>$H83&lt;&gt;"-"</formula>
    </cfRule>
  </conditionalFormatting>
  <conditionalFormatting sqref="E83">
    <cfRule type="expression" dxfId="1256" priority="3147">
      <formula>$I83&lt;&gt;"-"</formula>
    </cfRule>
  </conditionalFormatting>
  <conditionalFormatting sqref="B82">
    <cfRule type="expression" dxfId="1255" priority="3144">
      <formula>AD82&lt;&gt;""</formula>
    </cfRule>
  </conditionalFormatting>
  <conditionalFormatting sqref="Z82">
    <cfRule type="cellIs" dxfId="1254" priority="3142" operator="greaterThan">
      <formula>0</formula>
    </cfRule>
    <cfRule type="cellIs" dxfId="1253" priority="3143" operator="lessThan">
      <formula>0</formula>
    </cfRule>
  </conditionalFormatting>
  <conditionalFormatting sqref="S82">
    <cfRule type="cellIs" dxfId="1252" priority="3141" operator="lessThan">
      <formula>0</formula>
    </cfRule>
  </conditionalFormatting>
  <conditionalFormatting sqref="P82">
    <cfRule type="cellIs" dxfId="1251" priority="3139" operator="equal">
      <formula>AS_DURATION_EFFORT</formula>
    </cfRule>
    <cfRule type="cellIs" dxfId="1250" priority="3140" operator="equal">
      <formula>AS_DEV_EFFORT</formula>
    </cfRule>
  </conditionalFormatting>
  <conditionalFormatting sqref="F82">
    <cfRule type="expression" dxfId="1249" priority="3138">
      <formula>$K82&lt;&gt;""</formula>
    </cfRule>
  </conditionalFormatting>
  <conditionalFormatting sqref="C82">
    <cfRule type="expression" dxfId="1248" priority="3137">
      <formula>$G82&lt;&gt;"-"</formula>
    </cfRule>
  </conditionalFormatting>
  <conditionalFormatting sqref="D82">
    <cfRule type="expression" dxfId="1247" priority="3136">
      <formula>$H82&lt;&gt;"-"</formula>
    </cfRule>
  </conditionalFormatting>
  <conditionalFormatting sqref="E82">
    <cfRule type="expression" dxfId="1246" priority="3135">
      <formula>$I82&lt;&gt;"-"</formula>
    </cfRule>
  </conditionalFormatting>
  <conditionalFormatting sqref="B97">
    <cfRule type="expression" dxfId="1245" priority="3096">
      <formula>AD97&lt;&gt;""</formula>
    </cfRule>
  </conditionalFormatting>
  <conditionalFormatting sqref="Z97">
    <cfRule type="cellIs" dxfId="1244" priority="3094" operator="greaterThan">
      <formula>0</formula>
    </cfRule>
    <cfRule type="cellIs" dxfId="1243" priority="3095" operator="lessThan">
      <formula>0</formula>
    </cfRule>
  </conditionalFormatting>
  <conditionalFormatting sqref="S97">
    <cfRule type="cellIs" dxfId="1242" priority="3093" operator="lessThan">
      <formula>0</formula>
    </cfRule>
  </conditionalFormatting>
  <conditionalFormatting sqref="P97">
    <cfRule type="cellIs" dxfId="1241" priority="3091" operator="equal">
      <formula>AS_DURATION_EFFORT</formula>
    </cfRule>
    <cfRule type="cellIs" dxfId="1240" priority="3092" operator="equal">
      <formula>AS_DEV_EFFORT</formula>
    </cfRule>
  </conditionalFormatting>
  <conditionalFormatting sqref="F97">
    <cfRule type="expression" dxfId="1239" priority="3090">
      <formula>$K97&lt;&gt;""</formula>
    </cfRule>
  </conditionalFormatting>
  <conditionalFormatting sqref="C97">
    <cfRule type="expression" dxfId="1238" priority="3089">
      <formula>$G97&lt;&gt;"-"</formula>
    </cfRule>
  </conditionalFormatting>
  <conditionalFormatting sqref="D97">
    <cfRule type="expression" dxfId="1237" priority="3088">
      <formula>$H97&lt;&gt;"-"</formula>
    </cfRule>
  </conditionalFormatting>
  <conditionalFormatting sqref="E97">
    <cfRule type="expression" dxfId="1236" priority="3087">
      <formula>$I97&lt;&gt;"-"</formula>
    </cfRule>
  </conditionalFormatting>
  <conditionalFormatting sqref="B96">
    <cfRule type="expression" dxfId="1235" priority="3084">
      <formula>AD96&lt;&gt;""</formula>
    </cfRule>
  </conditionalFormatting>
  <conditionalFormatting sqref="Z96">
    <cfRule type="cellIs" dxfId="1234" priority="3082" operator="greaterThan">
      <formula>0</formula>
    </cfRule>
    <cfRule type="cellIs" dxfId="1233" priority="3083" operator="lessThan">
      <formula>0</formula>
    </cfRule>
  </conditionalFormatting>
  <conditionalFormatting sqref="S96">
    <cfRule type="cellIs" dxfId="1232" priority="3081" operator="lessThan">
      <formula>0</formula>
    </cfRule>
  </conditionalFormatting>
  <conditionalFormatting sqref="P96">
    <cfRule type="cellIs" dxfId="1231" priority="3079" operator="equal">
      <formula>AS_DURATION_EFFORT</formula>
    </cfRule>
    <cfRule type="cellIs" dxfId="1230" priority="3080" operator="equal">
      <formula>AS_DEV_EFFORT</formula>
    </cfRule>
  </conditionalFormatting>
  <conditionalFormatting sqref="F96">
    <cfRule type="expression" dxfId="1229" priority="3078">
      <formula>$K96&lt;&gt;""</formula>
    </cfRule>
  </conditionalFormatting>
  <conditionalFormatting sqref="C96">
    <cfRule type="expression" dxfId="1228" priority="3077">
      <formula>$G96&lt;&gt;"-"</formula>
    </cfRule>
  </conditionalFormatting>
  <conditionalFormatting sqref="D96">
    <cfRule type="expression" dxfId="1227" priority="3076">
      <formula>$H96&lt;&gt;"-"</formula>
    </cfRule>
  </conditionalFormatting>
  <conditionalFormatting sqref="E96">
    <cfRule type="expression" dxfId="1226" priority="3075">
      <formula>$I96&lt;&gt;"-"</formula>
    </cfRule>
  </conditionalFormatting>
  <conditionalFormatting sqref="B95">
    <cfRule type="expression" dxfId="1225" priority="3072">
      <formula>AD95&lt;&gt;""</formula>
    </cfRule>
  </conditionalFormatting>
  <conditionalFormatting sqref="Z95">
    <cfRule type="cellIs" dxfId="1224" priority="3070" operator="greaterThan">
      <formula>0</formula>
    </cfRule>
    <cfRule type="cellIs" dxfId="1223" priority="3071" operator="lessThan">
      <formula>0</formula>
    </cfRule>
  </conditionalFormatting>
  <conditionalFormatting sqref="S95">
    <cfRule type="cellIs" dxfId="1222" priority="3069" operator="lessThan">
      <formula>0</formula>
    </cfRule>
  </conditionalFormatting>
  <conditionalFormatting sqref="P95">
    <cfRule type="cellIs" dxfId="1221" priority="3067" operator="equal">
      <formula>AS_DURATION_EFFORT</formula>
    </cfRule>
    <cfRule type="cellIs" dxfId="1220" priority="3068" operator="equal">
      <formula>AS_DEV_EFFORT</formula>
    </cfRule>
  </conditionalFormatting>
  <conditionalFormatting sqref="F95">
    <cfRule type="expression" dxfId="1219" priority="3066">
      <formula>$K95&lt;&gt;""</formula>
    </cfRule>
  </conditionalFormatting>
  <conditionalFormatting sqref="C95">
    <cfRule type="expression" dxfId="1218" priority="3065">
      <formula>$G95&lt;&gt;"-"</formula>
    </cfRule>
  </conditionalFormatting>
  <conditionalFormatting sqref="D95">
    <cfRule type="expression" dxfId="1217" priority="3064">
      <formula>$H95&lt;&gt;"-"</formula>
    </cfRule>
  </conditionalFormatting>
  <conditionalFormatting sqref="E95">
    <cfRule type="expression" dxfId="1216" priority="3063">
      <formula>$I95&lt;&gt;"-"</formula>
    </cfRule>
  </conditionalFormatting>
  <conditionalFormatting sqref="B105">
    <cfRule type="expression" dxfId="1215" priority="3060">
      <formula>AD105&lt;&gt;""</formula>
    </cfRule>
  </conditionalFormatting>
  <conditionalFormatting sqref="Z105">
    <cfRule type="cellIs" dxfId="1214" priority="3058" operator="greaterThan">
      <formula>0</formula>
    </cfRule>
    <cfRule type="cellIs" dxfId="1213" priority="3059" operator="lessThan">
      <formula>0</formula>
    </cfRule>
  </conditionalFormatting>
  <conditionalFormatting sqref="S105">
    <cfRule type="cellIs" dxfId="1212" priority="3057" operator="lessThan">
      <formula>0</formula>
    </cfRule>
  </conditionalFormatting>
  <conditionalFormatting sqref="P105">
    <cfRule type="cellIs" dxfId="1211" priority="3055" operator="equal">
      <formula>AS_DURATION_EFFORT</formula>
    </cfRule>
    <cfRule type="cellIs" dxfId="1210" priority="3056" operator="equal">
      <formula>AS_DEV_EFFORT</formula>
    </cfRule>
  </conditionalFormatting>
  <conditionalFormatting sqref="F105">
    <cfRule type="expression" dxfId="1209" priority="3054">
      <formula>$K105&lt;&gt;""</formula>
    </cfRule>
  </conditionalFormatting>
  <conditionalFormatting sqref="C105">
    <cfRule type="expression" dxfId="1208" priority="3053">
      <formula>$G105&lt;&gt;"-"</formula>
    </cfRule>
  </conditionalFormatting>
  <conditionalFormatting sqref="D105">
    <cfRule type="expression" dxfId="1207" priority="3052">
      <formula>$H105&lt;&gt;"-"</formula>
    </cfRule>
  </conditionalFormatting>
  <conditionalFormatting sqref="E105">
    <cfRule type="expression" dxfId="1206" priority="3051">
      <formula>$I105&lt;&gt;"-"</formula>
    </cfRule>
  </conditionalFormatting>
  <conditionalFormatting sqref="B104">
    <cfRule type="expression" dxfId="1205" priority="3048">
      <formula>AD104&lt;&gt;""</formula>
    </cfRule>
  </conditionalFormatting>
  <conditionalFormatting sqref="Z104">
    <cfRule type="cellIs" dxfId="1204" priority="3046" operator="greaterThan">
      <formula>0</formula>
    </cfRule>
    <cfRule type="cellIs" dxfId="1203" priority="3047" operator="lessThan">
      <formula>0</formula>
    </cfRule>
  </conditionalFormatting>
  <conditionalFormatting sqref="S104">
    <cfRule type="cellIs" dxfId="1202" priority="3045" operator="lessThan">
      <formula>0</formula>
    </cfRule>
  </conditionalFormatting>
  <conditionalFormatting sqref="P104">
    <cfRule type="cellIs" dxfId="1201" priority="3043" operator="equal">
      <formula>AS_DURATION_EFFORT</formula>
    </cfRule>
    <cfRule type="cellIs" dxfId="1200" priority="3044" operator="equal">
      <formula>AS_DEV_EFFORT</formula>
    </cfRule>
  </conditionalFormatting>
  <conditionalFormatting sqref="F104">
    <cfRule type="expression" dxfId="1199" priority="3042">
      <formula>$K104&lt;&gt;""</formula>
    </cfRule>
  </conditionalFormatting>
  <conditionalFormatting sqref="C104">
    <cfRule type="expression" dxfId="1198" priority="3041">
      <formula>$G104&lt;&gt;"-"</formula>
    </cfRule>
  </conditionalFormatting>
  <conditionalFormatting sqref="D104">
    <cfRule type="expression" dxfId="1197" priority="3040">
      <formula>$H104&lt;&gt;"-"</formula>
    </cfRule>
  </conditionalFormatting>
  <conditionalFormatting sqref="E104">
    <cfRule type="expression" dxfId="1196" priority="3039">
      <formula>$I104&lt;&gt;"-"</formula>
    </cfRule>
  </conditionalFormatting>
  <conditionalFormatting sqref="B103">
    <cfRule type="expression" dxfId="1195" priority="3036">
      <formula>AD103&lt;&gt;""</formula>
    </cfRule>
  </conditionalFormatting>
  <conditionalFormatting sqref="Z103">
    <cfRule type="cellIs" dxfId="1194" priority="3034" operator="greaterThan">
      <formula>0</formula>
    </cfRule>
    <cfRule type="cellIs" dxfId="1193" priority="3035" operator="lessThan">
      <formula>0</formula>
    </cfRule>
  </conditionalFormatting>
  <conditionalFormatting sqref="S103">
    <cfRule type="cellIs" dxfId="1192" priority="3033" operator="lessThan">
      <formula>0</formula>
    </cfRule>
  </conditionalFormatting>
  <conditionalFormatting sqref="P103">
    <cfRule type="cellIs" dxfId="1191" priority="3031" operator="equal">
      <formula>AS_DURATION_EFFORT</formula>
    </cfRule>
    <cfRule type="cellIs" dxfId="1190" priority="3032" operator="equal">
      <formula>AS_DEV_EFFORT</formula>
    </cfRule>
  </conditionalFormatting>
  <conditionalFormatting sqref="F103">
    <cfRule type="expression" dxfId="1189" priority="3030">
      <formula>$K103&lt;&gt;""</formula>
    </cfRule>
  </conditionalFormatting>
  <conditionalFormatting sqref="C103">
    <cfRule type="expression" dxfId="1188" priority="3029">
      <formula>$G103&lt;&gt;"-"</formula>
    </cfRule>
  </conditionalFormatting>
  <conditionalFormatting sqref="D103">
    <cfRule type="expression" dxfId="1187" priority="3028">
      <formula>$H103&lt;&gt;"-"</formula>
    </cfRule>
  </conditionalFormatting>
  <conditionalFormatting sqref="E103">
    <cfRule type="expression" dxfId="1186" priority="3027">
      <formula>$I103&lt;&gt;"-"</formula>
    </cfRule>
  </conditionalFormatting>
  <conditionalFormatting sqref="B102">
    <cfRule type="expression" dxfId="1185" priority="3024">
      <formula>AD102&lt;&gt;""</formula>
    </cfRule>
  </conditionalFormatting>
  <conditionalFormatting sqref="Z102">
    <cfRule type="cellIs" dxfId="1184" priority="3022" operator="greaterThan">
      <formula>0</formula>
    </cfRule>
    <cfRule type="cellIs" dxfId="1183" priority="3023" operator="lessThan">
      <formula>0</formula>
    </cfRule>
  </conditionalFormatting>
  <conditionalFormatting sqref="S102">
    <cfRule type="cellIs" dxfId="1182" priority="3021" operator="lessThan">
      <formula>0</formula>
    </cfRule>
  </conditionalFormatting>
  <conditionalFormatting sqref="P102">
    <cfRule type="cellIs" dxfId="1181" priority="3019" operator="equal">
      <formula>AS_DURATION_EFFORT</formula>
    </cfRule>
    <cfRule type="cellIs" dxfId="1180" priority="3020" operator="equal">
      <formula>AS_DEV_EFFORT</formula>
    </cfRule>
  </conditionalFormatting>
  <conditionalFormatting sqref="F102">
    <cfRule type="expression" dxfId="1179" priority="3018">
      <formula>$K102&lt;&gt;""</formula>
    </cfRule>
  </conditionalFormatting>
  <conditionalFormatting sqref="C102">
    <cfRule type="expression" dxfId="1178" priority="3017">
      <formula>$G102&lt;&gt;"-"</formula>
    </cfRule>
  </conditionalFormatting>
  <conditionalFormatting sqref="D102">
    <cfRule type="expression" dxfId="1177" priority="3016">
      <formula>$H102&lt;&gt;"-"</formula>
    </cfRule>
  </conditionalFormatting>
  <conditionalFormatting sqref="E102">
    <cfRule type="expression" dxfId="1176" priority="3015">
      <formula>$I102&lt;&gt;"-"</formula>
    </cfRule>
  </conditionalFormatting>
  <conditionalFormatting sqref="B111">
    <cfRule type="expression" dxfId="1175" priority="3012">
      <formula>AD111&lt;&gt;""</formula>
    </cfRule>
  </conditionalFormatting>
  <conditionalFormatting sqref="Z111">
    <cfRule type="cellIs" dxfId="1174" priority="3010" operator="greaterThan">
      <formula>0</formula>
    </cfRule>
    <cfRule type="cellIs" dxfId="1173" priority="3011" operator="lessThan">
      <formula>0</formula>
    </cfRule>
  </conditionalFormatting>
  <conditionalFormatting sqref="S111">
    <cfRule type="cellIs" dxfId="1172" priority="3009" operator="lessThan">
      <formula>0</formula>
    </cfRule>
  </conditionalFormatting>
  <conditionalFormatting sqref="P111">
    <cfRule type="cellIs" dxfId="1171" priority="3007" operator="equal">
      <formula>AS_DURATION_EFFORT</formula>
    </cfRule>
    <cfRule type="cellIs" dxfId="1170" priority="3008" operator="equal">
      <formula>AS_DEV_EFFORT</formula>
    </cfRule>
  </conditionalFormatting>
  <conditionalFormatting sqref="F111">
    <cfRule type="expression" dxfId="1169" priority="3006">
      <formula>$K111&lt;&gt;""</formula>
    </cfRule>
  </conditionalFormatting>
  <conditionalFormatting sqref="C111">
    <cfRule type="expression" dxfId="1168" priority="3005">
      <formula>$G111&lt;&gt;"-"</formula>
    </cfRule>
  </conditionalFormatting>
  <conditionalFormatting sqref="D111">
    <cfRule type="expression" dxfId="1167" priority="3004">
      <formula>$H111&lt;&gt;"-"</formula>
    </cfRule>
  </conditionalFormatting>
  <conditionalFormatting sqref="E111">
    <cfRule type="expression" dxfId="1166" priority="3003">
      <formula>$I111&lt;&gt;"-"</formula>
    </cfRule>
  </conditionalFormatting>
  <conditionalFormatting sqref="B238">
    <cfRule type="expression" dxfId="1165" priority="2967">
      <formula>AD238&lt;&gt;""</formula>
    </cfRule>
  </conditionalFormatting>
  <conditionalFormatting sqref="Z238">
    <cfRule type="cellIs" dxfId="1164" priority="2965" operator="greaterThan">
      <formula>0</formula>
    </cfRule>
    <cfRule type="cellIs" dxfId="1163" priority="2966" operator="lessThan">
      <formula>0</formula>
    </cfRule>
  </conditionalFormatting>
  <conditionalFormatting sqref="S238">
    <cfRule type="cellIs" dxfId="1162" priority="2964" operator="lessThan">
      <formula>0</formula>
    </cfRule>
  </conditionalFormatting>
  <conditionalFormatting sqref="T236:T237">
    <cfRule type="expression" dxfId="1161" priority="2968">
      <formula>#REF!="Yes"</formula>
    </cfRule>
  </conditionalFormatting>
  <conditionalFormatting sqref="P238">
    <cfRule type="cellIs" dxfId="1160" priority="2962" operator="equal">
      <formula>AS_DURATION_EFFORT</formula>
    </cfRule>
    <cfRule type="cellIs" dxfId="1159" priority="2963" operator="equal">
      <formula>AS_DEV_EFFORT</formula>
    </cfRule>
  </conditionalFormatting>
  <conditionalFormatting sqref="B236:B237">
    <cfRule type="expression" dxfId="1158" priority="2961">
      <formula>AD236&lt;&gt;""</formula>
    </cfRule>
  </conditionalFormatting>
  <conditionalFormatting sqref="F238">
    <cfRule type="expression" dxfId="1157" priority="2960">
      <formula>$K238&lt;&gt;""</formula>
    </cfRule>
  </conditionalFormatting>
  <conditionalFormatting sqref="C238">
    <cfRule type="expression" dxfId="1156" priority="2959">
      <formula>$G238&lt;&gt;"-"</formula>
    </cfRule>
  </conditionalFormatting>
  <conditionalFormatting sqref="D238">
    <cfRule type="expression" dxfId="1155" priority="2958">
      <formula>$H238&lt;&gt;"-"</formula>
    </cfRule>
  </conditionalFormatting>
  <conditionalFormatting sqref="E238">
    <cfRule type="expression" dxfId="1154" priority="2957">
      <formula>$I238&lt;&gt;"-"</formula>
    </cfRule>
  </conditionalFormatting>
  <conditionalFormatting sqref="B239">
    <cfRule type="expression" dxfId="1153" priority="2954">
      <formula>AD239&lt;&gt;""</formula>
    </cfRule>
  </conditionalFormatting>
  <conditionalFormatting sqref="Z239">
    <cfRule type="cellIs" dxfId="1152" priority="2952" operator="greaterThan">
      <formula>0</formula>
    </cfRule>
    <cfRule type="cellIs" dxfId="1151" priority="2953" operator="lessThan">
      <formula>0</formula>
    </cfRule>
  </conditionalFormatting>
  <conditionalFormatting sqref="S239">
    <cfRule type="cellIs" dxfId="1150" priority="2951" operator="lessThan">
      <formula>0</formula>
    </cfRule>
  </conditionalFormatting>
  <conditionalFormatting sqref="F239">
    <cfRule type="expression" dxfId="1149" priority="2948">
      <formula>$K239&lt;&gt;""</formula>
    </cfRule>
  </conditionalFormatting>
  <conditionalFormatting sqref="C239">
    <cfRule type="expression" dxfId="1148" priority="2947">
      <formula>$G239&lt;&gt;"-"</formula>
    </cfRule>
  </conditionalFormatting>
  <conditionalFormatting sqref="D239">
    <cfRule type="expression" dxfId="1147" priority="2946">
      <formula>$H239&lt;&gt;"-"</formula>
    </cfRule>
  </conditionalFormatting>
  <conditionalFormatting sqref="E239">
    <cfRule type="expression" dxfId="1146" priority="2945">
      <formula>$I239&lt;&gt;"-"</formula>
    </cfRule>
  </conditionalFormatting>
  <conditionalFormatting sqref="B243">
    <cfRule type="expression" dxfId="1145" priority="2941">
      <formula>AD243&lt;&gt;""</formula>
    </cfRule>
  </conditionalFormatting>
  <conditionalFormatting sqref="Z243">
    <cfRule type="cellIs" dxfId="1144" priority="2939" operator="greaterThan">
      <formula>0</formula>
    </cfRule>
    <cfRule type="cellIs" dxfId="1143" priority="2940" operator="lessThan">
      <formula>0</formula>
    </cfRule>
  </conditionalFormatting>
  <conditionalFormatting sqref="S243">
    <cfRule type="cellIs" dxfId="1142" priority="2938" operator="lessThan">
      <formula>0</formula>
    </cfRule>
  </conditionalFormatting>
  <conditionalFormatting sqref="T241:T242">
    <cfRule type="expression" dxfId="1141" priority="2942">
      <formula>#REF!="Yes"</formula>
    </cfRule>
  </conditionalFormatting>
  <conditionalFormatting sqref="P250">
    <cfRule type="cellIs" dxfId="1140" priority="2878" operator="equal">
      <formula>AS_DURATION_EFFORT</formula>
    </cfRule>
    <cfRule type="cellIs" dxfId="1139" priority="2879" operator="equal">
      <formula>AS_DEV_EFFORT</formula>
    </cfRule>
  </conditionalFormatting>
  <conditionalFormatting sqref="B241:B242">
    <cfRule type="expression" dxfId="1138" priority="2935">
      <formula>AD241&lt;&gt;""</formula>
    </cfRule>
  </conditionalFormatting>
  <conditionalFormatting sqref="F243">
    <cfRule type="expression" dxfId="1137" priority="2934">
      <formula>$K243&lt;&gt;""</formula>
    </cfRule>
  </conditionalFormatting>
  <conditionalFormatting sqref="C243">
    <cfRule type="expression" dxfId="1136" priority="2933">
      <formula>$G243&lt;&gt;"-"</formula>
    </cfRule>
  </conditionalFormatting>
  <conditionalFormatting sqref="D243">
    <cfRule type="expression" dxfId="1135" priority="2932">
      <formula>$H243&lt;&gt;"-"</formula>
    </cfRule>
  </conditionalFormatting>
  <conditionalFormatting sqref="E243">
    <cfRule type="expression" dxfId="1134" priority="2931">
      <formula>$I243&lt;&gt;"-"</formula>
    </cfRule>
  </conditionalFormatting>
  <conditionalFormatting sqref="B244">
    <cfRule type="expression" dxfId="1133" priority="2928">
      <formula>AD244&lt;&gt;""</formula>
    </cfRule>
  </conditionalFormatting>
  <conditionalFormatting sqref="Z244">
    <cfRule type="cellIs" dxfId="1132" priority="2926" operator="greaterThan">
      <formula>0</formula>
    </cfRule>
    <cfRule type="cellIs" dxfId="1131" priority="2927" operator="lessThan">
      <formula>0</formula>
    </cfRule>
  </conditionalFormatting>
  <conditionalFormatting sqref="S244">
    <cfRule type="cellIs" dxfId="1130" priority="2925" operator="lessThan">
      <formula>0</formula>
    </cfRule>
  </conditionalFormatting>
  <conditionalFormatting sqref="P245">
    <cfRule type="cellIs" dxfId="1129" priority="2889" operator="equal">
      <formula>AS_DURATION_EFFORT</formula>
    </cfRule>
    <cfRule type="cellIs" dxfId="1128" priority="2890" operator="equal">
      <formula>AS_DEV_EFFORT</formula>
    </cfRule>
  </conditionalFormatting>
  <conditionalFormatting sqref="F244">
    <cfRule type="expression" dxfId="1127" priority="2922">
      <formula>$K244&lt;&gt;""</formula>
    </cfRule>
  </conditionalFormatting>
  <conditionalFormatting sqref="C244">
    <cfRule type="expression" dxfId="1126" priority="2921">
      <formula>$G244&lt;&gt;"-"</formula>
    </cfRule>
  </conditionalFormatting>
  <conditionalFormatting sqref="D244">
    <cfRule type="expression" dxfId="1125" priority="2920">
      <formula>$H244&lt;&gt;"-"</formula>
    </cfRule>
  </conditionalFormatting>
  <conditionalFormatting sqref="E244">
    <cfRule type="expression" dxfId="1124" priority="2919">
      <formula>$I244&lt;&gt;"-"</formula>
    </cfRule>
  </conditionalFormatting>
  <conditionalFormatting sqref="B246">
    <cfRule type="expression" dxfId="1123" priority="2916">
      <formula>AD246&lt;&gt;""</formula>
    </cfRule>
  </conditionalFormatting>
  <conditionalFormatting sqref="Z246">
    <cfRule type="cellIs" dxfId="1122" priority="2914" operator="greaterThan">
      <formula>0</formula>
    </cfRule>
    <cfRule type="cellIs" dxfId="1121" priority="2915" operator="lessThan">
      <formula>0</formula>
    </cfRule>
  </conditionalFormatting>
  <conditionalFormatting sqref="S246">
    <cfRule type="cellIs" dxfId="1120" priority="2913" operator="lessThan">
      <formula>0</formula>
    </cfRule>
  </conditionalFormatting>
  <conditionalFormatting sqref="P246">
    <cfRule type="cellIs" dxfId="1119" priority="2911" operator="equal">
      <formula>AS_DURATION_EFFORT</formula>
    </cfRule>
    <cfRule type="cellIs" dxfId="1118" priority="2912" operator="equal">
      <formula>AS_DEV_EFFORT</formula>
    </cfRule>
  </conditionalFormatting>
  <conditionalFormatting sqref="F246">
    <cfRule type="expression" dxfId="1117" priority="2910">
      <formula>$K246&lt;&gt;""</formula>
    </cfRule>
  </conditionalFormatting>
  <conditionalFormatting sqref="C246">
    <cfRule type="expression" dxfId="1116" priority="2909">
      <formula>$G246&lt;&gt;"-"</formula>
    </cfRule>
  </conditionalFormatting>
  <conditionalFormatting sqref="D246">
    <cfRule type="expression" dxfId="1115" priority="2908">
      <formula>$H246&lt;&gt;"-"</formula>
    </cfRule>
  </conditionalFormatting>
  <conditionalFormatting sqref="E246">
    <cfRule type="expression" dxfId="1114" priority="2907">
      <formula>$I246&lt;&gt;"-"</formula>
    </cfRule>
  </conditionalFormatting>
  <conditionalFormatting sqref="B245">
    <cfRule type="expression" dxfId="1113" priority="2904">
      <formula>AD245&lt;&gt;""</formula>
    </cfRule>
  </conditionalFormatting>
  <conditionalFormatting sqref="Z245">
    <cfRule type="cellIs" dxfId="1112" priority="2902" operator="greaterThan">
      <formula>0</formula>
    </cfRule>
    <cfRule type="cellIs" dxfId="1111" priority="2903" operator="lessThan">
      <formula>0</formula>
    </cfRule>
  </conditionalFormatting>
  <conditionalFormatting sqref="S245">
    <cfRule type="cellIs" dxfId="1110" priority="2901" operator="lessThan">
      <formula>0</formula>
    </cfRule>
  </conditionalFormatting>
  <conditionalFormatting sqref="P243">
    <cfRule type="cellIs" dxfId="1109" priority="2891" operator="equal">
      <formula>AS_DURATION_EFFORT</formula>
    </cfRule>
    <cfRule type="cellIs" dxfId="1108" priority="2892" operator="equal">
      <formula>AS_DEV_EFFORT</formula>
    </cfRule>
  </conditionalFormatting>
  <conditionalFormatting sqref="F245">
    <cfRule type="expression" dxfId="1107" priority="2898">
      <formula>$K245&lt;&gt;""</formula>
    </cfRule>
  </conditionalFormatting>
  <conditionalFormatting sqref="C245">
    <cfRule type="expression" dxfId="1106" priority="2897">
      <formula>$G245&lt;&gt;"-"</formula>
    </cfRule>
  </conditionalFormatting>
  <conditionalFormatting sqref="D245">
    <cfRule type="expression" dxfId="1105" priority="2896">
      <formula>$H245&lt;&gt;"-"</formula>
    </cfRule>
  </conditionalFormatting>
  <conditionalFormatting sqref="E245">
    <cfRule type="expression" dxfId="1104" priority="2895">
      <formula>$I245&lt;&gt;"-"</formula>
    </cfRule>
  </conditionalFormatting>
  <conditionalFormatting sqref="P244:P245">
    <cfRule type="cellIs" dxfId="1103" priority="2887" operator="equal">
      <formula>AS_DURATION_EFFORT</formula>
    </cfRule>
    <cfRule type="cellIs" dxfId="1102" priority="2888" operator="equal">
      <formula>AS_DEV_EFFORT</formula>
    </cfRule>
  </conditionalFormatting>
  <conditionalFormatting sqref="B250">
    <cfRule type="expression" dxfId="1101" priority="2883">
      <formula>AD250&lt;&gt;""</formula>
    </cfRule>
  </conditionalFormatting>
  <conditionalFormatting sqref="Z250">
    <cfRule type="cellIs" dxfId="1100" priority="2881" operator="greaterThan">
      <formula>0</formula>
    </cfRule>
    <cfRule type="cellIs" dxfId="1099" priority="2882" operator="lessThan">
      <formula>0</formula>
    </cfRule>
  </conditionalFormatting>
  <conditionalFormatting sqref="S250">
    <cfRule type="cellIs" dxfId="1098" priority="2880" operator="lessThan">
      <formula>0</formula>
    </cfRule>
  </conditionalFormatting>
  <conditionalFormatting sqref="T248:T249">
    <cfRule type="expression" dxfId="1097" priority="2884">
      <formula>#REF!="Yes"</formula>
    </cfRule>
  </conditionalFormatting>
  <conditionalFormatting sqref="B248:B249">
    <cfRule type="expression" dxfId="1096" priority="2877">
      <formula>AD248&lt;&gt;""</formula>
    </cfRule>
  </conditionalFormatting>
  <conditionalFormatting sqref="F250">
    <cfRule type="expression" dxfId="1095" priority="2876">
      <formula>$K250&lt;&gt;""</formula>
    </cfRule>
  </conditionalFormatting>
  <conditionalFormatting sqref="C250">
    <cfRule type="expression" dxfId="1094" priority="2875">
      <formula>$G250&lt;&gt;"-"</formula>
    </cfRule>
  </conditionalFormatting>
  <conditionalFormatting sqref="D250">
    <cfRule type="expression" dxfId="1093" priority="2874">
      <formula>$H250&lt;&gt;"-"</formula>
    </cfRule>
  </conditionalFormatting>
  <conditionalFormatting sqref="E250">
    <cfRule type="expression" dxfId="1092" priority="2873">
      <formula>$I250&lt;&gt;"-"</formula>
    </cfRule>
  </conditionalFormatting>
  <conditionalFormatting sqref="P251">
    <cfRule type="cellIs" dxfId="1091" priority="2841" operator="equal">
      <formula>AS_DURATION_EFFORT</formula>
    </cfRule>
    <cfRule type="cellIs" dxfId="1090" priority="2842" operator="equal">
      <formula>AS_DEV_EFFORT</formula>
    </cfRule>
  </conditionalFormatting>
  <conditionalFormatting sqref="B251">
    <cfRule type="expression" dxfId="1089" priority="2846">
      <formula>AD251&lt;&gt;""</formula>
    </cfRule>
  </conditionalFormatting>
  <conditionalFormatting sqref="Z251">
    <cfRule type="cellIs" dxfId="1088" priority="2844" operator="greaterThan">
      <formula>0</formula>
    </cfRule>
    <cfRule type="cellIs" dxfId="1087" priority="2845" operator="lessThan">
      <formula>0</formula>
    </cfRule>
  </conditionalFormatting>
  <conditionalFormatting sqref="S251">
    <cfRule type="cellIs" dxfId="1086" priority="2843" operator="lessThan">
      <formula>0</formula>
    </cfRule>
  </conditionalFormatting>
  <conditionalFormatting sqref="F251">
    <cfRule type="expression" dxfId="1085" priority="2840">
      <formula>$K251&lt;&gt;""</formula>
    </cfRule>
  </conditionalFormatting>
  <conditionalFormatting sqref="C251">
    <cfRule type="expression" dxfId="1084" priority="2839">
      <formula>$G251&lt;&gt;"-"</formula>
    </cfRule>
  </conditionalFormatting>
  <conditionalFormatting sqref="D251">
    <cfRule type="expression" dxfId="1083" priority="2838">
      <formula>$H251&lt;&gt;"-"</formula>
    </cfRule>
  </conditionalFormatting>
  <conditionalFormatting sqref="E251">
    <cfRule type="expression" dxfId="1082" priority="2837">
      <formula>$I251&lt;&gt;"-"</formula>
    </cfRule>
  </conditionalFormatting>
  <conditionalFormatting sqref="B260">
    <cfRule type="expression" dxfId="1081" priority="2805">
      <formula>AD260&lt;&gt;""</formula>
    </cfRule>
  </conditionalFormatting>
  <conditionalFormatting sqref="Z260">
    <cfRule type="cellIs" dxfId="1080" priority="2803" operator="greaterThan">
      <formula>0</formula>
    </cfRule>
    <cfRule type="cellIs" dxfId="1079" priority="2804" operator="lessThan">
      <formula>0</formula>
    </cfRule>
  </conditionalFormatting>
  <conditionalFormatting sqref="S260">
    <cfRule type="cellIs" dxfId="1078" priority="2802" operator="lessThan">
      <formula>0</formula>
    </cfRule>
  </conditionalFormatting>
  <conditionalFormatting sqref="T257:T258">
    <cfRule type="expression" dxfId="1077" priority="2806">
      <formula>#REF!="Yes"</formula>
    </cfRule>
  </conditionalFormatting>
  <conditionalFormatting sqref="P260">
    <cfRule type="cellIs" dxfId="1076" priority="2800" operator="equal">
      <formula>AS_DURATION_EFFORT</formula>
    </cfRule>
    <cfRule type="cellIs" dxfId="1075" priority="2801" operator="equal">
      <formula>AS_DEV_EFFORT</formula>
    </cfRule>
  </conditionalFormatting>
  <conditionalFormatting sqref="B257:B258">
    <cfRule type="expression" dxfId="1074" priority="2799">
      <formula>AD257&lt;&gt;""</formula>
    </cfRule>
  </conditionalFormatting>
  <conditionalFormatting sqref="F260">
    <cfRule type="expression" dxfId="1073" priority="2798">
      <formula>$K260&lt;&gt;""</formula>
    </cfRule>
  </conditionalFormatting>
  <conditionalFormatting sqref="C260">
    <cfRule type="expression" dxfId="1072" priority="2797">
      <formula>$G260&lt;&gt;"-"</formula>
    </cfRule>
  </conditionalFormatting>
  <conditionalFormatting sqref="D260">
    <cfRule type="expression" dxfId="1071" priority="2796">
      <formula>$H260&lt;&gt;"-"</formula>
    </cfRule>
  </conditionalFormatting>
  <conditionalFormatting sqref="E260">
    <cfRule type="expression" dxfId="1070" priority="2795">
      <formula>$I260&lt;&gt;"-"</formula>
    </cfRule>
  </conditionalFormatting>
  <conditionalFormatting sqref="B261">
    <cfRule type="expression" dxfId="1069" priority="2792">
      <formula>AD261&lt;&gt;""</formula>
    </cfRule>
  </conditionalFormatting>
  <conditionalFormatting sqref="Z261">
    <cfRule type="cellIs" dxfId="1068" priority="2790" operator="greaterThan">
      <formula>0</formula>
    </cfRule>
    <cfRule type="cellIs" dxfId="1067" priority="2791" operator="lessThan">
      <formula>0</formula>
    </cfRule>
  </conditionalFormatting>
  <conditionalFormatting sqref="S261">
    <cfRule type="cellIs" dxfId="1066" priority="2789" operator="lessThan">
      <formula>0</formula>
    </cfRule>
  </conditionalFormatting>
  <conditionalFormatting sqref="P261">
    <cfRule type="cellIs" dxfId="1065" priority="2787" operator="equal">
      <formula>AS_DURATION_EFFORT</formula>
    </cfRule>
    <cfRule type="cellIs" dxfId="1064" priority="2788" operator="equal">
      <formula>AS_DEV_EFFORT</formula>
    </cfRule>
  </conditionalFormatting>
  <conditionalFormatting sqref="F261">
    <cfRule type="expression" dxfId="1063" priority="2786">
      <formula>$K261&lt;&gt;""</formula>
    </cfRule>
  </conditionalFormatting>
  <conditionalFormatting sqref="C261">
    <cfRule type="expression" dxfId="1062" priority="2785">
      <formula>$G261&lt;&gt;"-"</formula>
    </cfRule>
  </conditionalFormatting>
  <conditionalFormatting sqref="D261">
    <cfRule type="expression" dxfId="1061" priority="2784">
      <formula>$H261&lt;&gt;"-"</formula>
    </cfRule>
  </conditionalFormatting>
  <conditionalFormatting sqref="E261">
    <cfRule type="expression" dxfId="1060" priority="2783">
      <formula>$I261&lt;&gt;"-"</formula>
    </cfRule>
  </conditionalFormatting>
  <conditionalFormatting sqref="B266">
    <cfRule type="expression" dxfId="1059" priority="2779">
      <formula>AD266&lt;&gt;""</formula>
    </cfRule>
  </conditionalFormatting>
  <conditionalFormatting sqref="Z266">
    <cfRule type="cellIs" dxfId="1058" priority="2777" operator="greaterThan">
      <formula>0</formula>
    </cfRule>
    <cfRule type="cellIs" dxfId="1057" priority="2778" operator="lessThan">
      <formula>0</formula>
    </cfRule>
  </conditionalFormatting>
  <conditionalFormatting sqref="S266">
    <cfRule type="cellIs" dxfId="1056" priority="2776" operator="lessThan">
      <formula>0</formula>
    </cfRule>
  </conditionalFormatting>
  <conditionalFormatting sqref="T263:T264">
    <cfRule type="expression" dxfId="1055" priority="2780">
      <formula>#REF!="Yes"</formula>
    </cfRule>
  </conditionalFormatting>
  <conditionalFormatting sqref="P266">
    <cfRule type="cellIs" dxfId="1054" priority="2774" operator="equal">
      <formula>AS_DURATION_EFFORT</formula>
    </cfRule>
    <cfRule type="cellIs" dxfId="1053" priority="2775" operator="equal">
      <formula>AS_DEV_EFFORT</formula>
    </cfRule>
  </conditionalFormatting>
  <conditionalFormatting sqref="B263:B264">
    <cfRule type="expression" dxfId="1052" priority="2773">
      <formula>AD263&lt;&gt;""</formula>
    </cfRule>
  </conditionalFormatting>
  <conditionalFormatting sqref="F266">
    <cfRule type="expression" dxfId="1051" priority="2772">
      <formula>$K266&lt;&gt;""</formula>
    </cfRule>
  </conditionalFormatting>
  <conditionalFormatting sqref="C266">
    <cfRule type="expression" dxfId="1050" priority="2771">
      <formula>$G266&lt;&gt;"-"</formula>
    </cfRule>
  </conditionalFormatting>
  <conditionalFormatting sqref="D266">
    <cfRule type="expression" dxfId="1049" priority="2770">
      <formula>$H266&lt;&gt;"-"</formula>
    </cfRule>
  </conditionalFormatting>
  <conditionalFormatting sqref="E266">
    <cfRule type="expression" dxfId="1048" priority="2769">
      <formula>$I266&lt;&gt;"-"</formula>
    </cfRule>
  </conditionalFormatting>
  <conditionalFormatting sqref="B271">
    <cfRule type="expression" dxfId="1047" priority="2741">
      <formula>AD271&lt;&gt;""</formula>
    </cfRule>
  </conditionalFormatting>
  <conditionalFormatting sqref="Z271">
    <cfRule type="cellIs" dxfId="1046" priority="2739" operator="greaterThan">
      <formula>0</formula>
    </cfRule>
    <cfRule type="cellIs" dxfId="1045" priority="2740" operator="lessThan">
      <formula>0</formula>
    </cfRule>
  </conditionalFormatting>
  <conditionalFormatting sqref="S271">
    <cfRule type="cellIs" dxfId="1044" priority="2738" operator="lessThan">
      <formula>0</formula>
    </cfRule>
  </conditionalFormatting>
  <conditionalFormatting sqref="T268:T269">
    <cfRule type="expression" dxfId="1043" priority="2742">
      <formula>#REF!="Yes"</formula>
    </cfRule>
  </conditionalFormatting>
  <conditionalFormatting sqref="P271">
    <cfRule type="cellIs" dxfId="1042" priority="2736" operator="equal">
      <formula>AS_DURATION_EFFORT</formula>
    </cfRule>
    <cfRule type="cellIs" dxfId="1041" priority="2737" operator="equal">
      <formula>AS_DEV_EFFORT</formula>
    </cfRule>
  </conditionalFormatting>
  <conditionalFormatting sqref="B268:B269">
    <cfRule type="expression" dxfId="1040" priority="2735">
      <formula>AD268&lt;&gt;""</formula>
    </cfRule>
  </conditionalFormatting>
  <conditionalFormatting sqref="F271">
    <cfRule type="expression" dxfId="1039" priority="2734">
      <formula>$K271&lt;&gt;""</formula>
    </cfRule>
  </conditionalFormatting>
  <conditionalFormatting sqref="C271">
    <cfRule type="expression" dxfId="1038" priority="2733">
      <formula>$G271&lt;&gt;"-"</formula>
    </cfRule>
  </conditionalFormatting>
  <conditionalFormatting sqref="D271">
    <cfRule type="expression" dxfId="1037" priority="2732">
      <formula>$H271&lt;&gt;"-"</formula>
    </cfRule>
  </conditionalFormatting>
  <conditionalFormatting sqref="E271">
    <cfRule type="expression" dxfId="1036" priority="2731">
      <formula>$I271&lt;&gt;"-"</formula>
    </cfRule>
  </conditionalFormatting>
  <conditionalFormatting sqref="B279">
    <cfRule type="expression" dxfId="1035" priority="2715">
      <formula>AD279&lt;&gt;""</formula>
    </cfRule>
  </conditionalFormatting>
  <conditionalFormatting sqref="Z279">
    <cfRule type="cellIs" dxfId="1034" priority="2713" operator="greaterThan">
      <formula>0</formula>
    </cfRule>
    <cfRule type="cellIs" dxfId="1033" priority="2714" operator="lessThan">
      <formula>0</formula>
    </cfRule>
  </conditionalFormatting>
  <conditionalFormatting sqref="S279">
    <cfRule type="cellIs" dxfId="1032" priority="2712" operator="lessThan">
      <formula>0</formula>
    </cfRule>
  </conditionalFormatting>
  <conditionalFormatting sqref="T277:T278">
    <cfRule type="expression" dxfId="1031" priority="2716">
      <formula>#REF!="Yes"</formula>
    </cfRule>
  </conditionalFormatting>
  <conditionalFormatting sqref="P279">
    <cfRule type="cellIs" dxfId="1030" priority="2710" operator="equal">
      <formula>AS_DURATION_EFFORT</formula>
    </cfRule>
    <cfRule type="cellIs" dxfId="1029" priority="2711" operator="equal">
      <formula>AS_DEV_EFFORT</formula>
    </cfRule>
  </conditionalFormatting>
  <conditionalFormatting sqref="B277:B278">
    <cfRule type="expression" dxfId="1028" priority="2709">
      <formula>AD277&lt;&gt;""</formula>
    </cfRule>
  </conditionalFormatting>
  <conditionalFormatting sqref="F279">
    <cfRule type="expression" dxfId="1027" priority="2708">
      <formula>$K279&lt;&gt;""</formula>
    </cfRule>
  </conditionalFormatting>
  <conditionalFormatting sqref="C279">
    <cfRule type="expression" dxfId="1026" priority="2707">
      <formula>$G279&lt;&gt;"-"</formula>
    </cfRule>
  </conditionalFormatting>
  <conditionalFormatting sqref="D279">
    <cfRule type="expression" dxfId="1025" priority="2706">
      <formula>$H279&lt;&gt;"-"</formula>
    </cfRule>
  </conditionalFormatting>
  <conditionalFormatting sqref="E279">
    <cfRule type="expression" dxfId="1024" priority="2705">
      <formula>$I279&lt;&gt;"-"</formula>
    </cfRule>
  </conditionalFormatting>
  <conditionalFormatting sqref="B282">
    <cfRule type="expression" dxfId="1023" priority="2702">
      <formula>AD282&lt;&gt;""</formula>
    </cfRule>
  </conditionalFormatting>
  <conditionalFormatting sqref="Z282">
    <cfRule type="cellIs" dxfId="1022" priority="2700" operator="greaterThan">
      <formula>0</formula>
    </cfRule>
    <cfRule type="cellIs" dxfId="1021" priority="2701" operator="lessThan">
      <formula>0</formula>
    </cfRule>
  </conditionalFormatting>
  <conditionalFormatting sqref="S282">
    <cfRule type="cellIs" dxfId="1020" priority="2699" operator="lessThan">
      <formula>0</formula>
    </cfRule>
  </conditionalFormatting>
  <conditionalFormatting sqref="P282">
    <cfRule type="cellIs" dxfId="1019" priority="2697" operator="equal">
      <formula>AS_DURATION_EFFORT</formula>
    </cfRule>
    <cfRule type="cellIs" dxfId="1018" priority="2698" operator="equal">
      <formula>AS_DEV_EFFORT</formula>
    </cfRule>
  </conditionalFormatting>
  <conditionalFormatting sqref="F282">
    <cfRule type="expression" dxfId="1017" priority="2696">
      <formula>$K282&lt;&gt;""</formula>
    </cfRule>
  </conditionalFormatting>
  <conditionalFormatting sqref="C282">
    <cfRule type="expression" dxfId="1016" priority="2695">
      <formula>$G282&lt;&gt;"-"</formula>
    </cfRule>
  </conditionalFormatting>
  <conditionalFormatting sqref="D282">
    <cfRule type="expression" dxfId="1015" priority="2694">
      <formula>$H282&lt;&gt;"-"</formula>
    </cfRule>
  </conditionalFormatting>
  <conditionalFormatting sqref="E282">
    <cfRule type="expression" dxfId="1014" priority="2693">
      <formula>$I282&lt;&gt;"-"</formula>
    </cfRule>
  </conditionalFormatting>
  <conditionalFormatting sqref="B281">
    <cfRule type="expression" dxfId="1013" priority="2690">
      <formula>AD281&lt;&gt;""</formula>
    </cfRule>
  </conditionalFormatting>
  <conditionalFormatting sqref="Z281">
    <cfRule type="cellIs" dxfId="1012" priority="2688" operator="greaterThan">
      <formula>0</formula>
    </cfRule>
    <cfRule type="cellIs" dxfId="1011" priority="2689" operator="lessThan">
      <formula>0</formula>
    </cfRule>
  </conditionalFormatting>
  <conditionalFormatting sqref="S281">
    <cfRule type="cellIs" dxfId="1010" priority="2687" operator="lessThan">
      <formula>0</formula>
    </cfRule>
  </conditionalFormatting>
  <conditionalFormatting sqref="P281">
    <cfRule type="cellIs" dxfId="1009" priority="2685" operator="equal">
      <formula>AS_DURATION_EFFORT</formula>
    </cfRule>
    <cfRule type="cellIs" dxfId="1008" priority="2686" operator="equal">
      <formula>AS_DEV_EFFORT</formula>
    </cfRule>
  </conditionalFormatting>
  <conditionalFormatting sqref="F281">
    <cfRule type="expression" dxfId="1007" priority="2684">
      <formula>$K281&lt;&gt;""</formula>
    </cfRule>
  </conditionalFormatting>
  <conditionalFormatting sqref="C281">
    <cfRule type="expression" dxfId="1006" priority="2683">
      <formula>$G281&lt;&gt;"-"</formula>
    </cfRule>
  </conditionalFormatting>
  <conditionalFormatting sqref="D281">
    <cfRule type="expression" dxfId="1005" priority="2682">
      <formula>$H281&lt;&gt;"-"</formula>
    </cfRule>
  </conditionalFormatting>
  <conditionalFormatting sqref="E281">
    <cfRule type="expression" dxfId="1004" priority="2681">
      <formula>$I281&lt;&gt;"-"</formula>
    </cfRule>
  </conditionalFormatting>
  <conditionalFormatting sqref="B280">
    <cfRule type="expression" dxfId="1003" priority="2678">
      <formula>AD280&lt;&gt;""</formula>
    </cfRule>
  </conditionalFormatting>
  <conditionalFormatting sqref="Z280">
    <cfRule type="cellIs" dxfId="1002" priority="2676" operator="greaterThan">
      <formula>0</formula>
    </cfRule>
    <cfRule type="cellIs" dxfId="1001" priority="2677" operator="lessThan">
      <formula>0</formula>
    </cfRule>
  </conditionalFormatting>
  <conditionalFormatting sqref="S280">
    <cfRule type="cellIs" dxfId="1000" priority="2675" operator="lessThan">
      <formula>0</formula>
    </cfRule>
  </conditionalFormatting>
  <conditionalFormatting sqref="P280">
    <cfRule type="cellIs" dxfId="999" priority="2673" operator="equal">
      <formula>AS_DURATION_EFFORT</formula>
    </cfRule>
    <cfRule type="cellIs" dxfId="998" priority="2674" operator="equal">
      <formula>AS_DEV_EFFORT</formula>
    </cfRule>
  </conditionalFormatting>
  <conditionalFormatting sqref="F280">
    <cfRule type="expression" dxfId="997" priority="2672">
      <formula>$K280&lt;&gt;""</formula>
    </cfRule>
  </conditionalFormatting>
  <conditionalFormatting sqref="C280">
    <cfRule type="expression" dxfId="996" priority="2671">
      <formula>$G280&lt;&gt;"-"</formula>
    </cfRule>
  </conditionalFormatting>
  <conditionalFormatting sqref="D280">
    <cfRule type="expression" dxfId="995" priority="2670">
      <formula>$H280&lt;&gt;"-"</formula>
    </cfRule>
  </conditionalFormatting>
  <conditionalFormatting sqref="E280">
    <cfRule type="expression" dxfId="994" priority="2669">
      <formula>$I280&lt;&gt;"-"</formula>
    </cfRule>
  </conditionalFormatting>
  <conditionalFormatting sqref="B289">
    <cfRule type="expression" dxfId="993" priority="2659">
      <formula>AD289&lt;&gt;""</formula>
    </cfRule>
  </conditionalFormatting>
  <conditionalFormatting sqref="Z289">
    <cfRule type="cellIs" dxfId="992" priority="2657" operator="greaterThan">
      <formula>0</formula>
    </cfRule>
    <cfRule type="cellIs" dxfId="991" priority="2658" operator="lessThan">
      <formula>0</formula>
    </cfRule>
  </conditionalFormatting>
  <conditionalFormatting sqref="S289">
    <cfRule type="cellIs" dxfId="990" priority="2656" operator="lessThan">
      <formula>0</formula>
    </cfRule>
  </conditionalFormatting>
  <conditionalFormatting sqref="T287:T288">
    <cfRule type="expression" dxfId="989" priority="2660">
      <formula>#REF!="Yes"</formula>
    </cfRule>
  </conditionalFormatting>
  <conditionalFormatting sqref="P289">
    <cfRule type="cellIs" dxfId="988" priority="2654" operator="equal">
      <formula>AS_DURATION_EFFORT</formula>
    </cfRule>
    <cfRule type="cellIs" dxfId="987" priority="2655" operator="equal">
      <formula>AS_DEV_EFFORT</formula>
    </cfRule>
  </conditionalFormatting>
  <conditionalFormatting sqref="B287:B288">
    <cfRule type="expression" dxfId="986" priority="2653">
      <formula>AD287&lt;&gt;""</formula>
    </cfRule>
  </conditionalFormatting>
  <conditionalFormatting sqref="F289">
    <cfRule type="expression" dxfId="985" priority="2652">
      <formula>$K289&lt;&gt;""</formula>
    </cfRule>
  </conditionalFormatting>
  <conditionalFormatting sqref="C289">
    <cfRule type="expression" dxfId="984" priority="2651">
      <formula>$G289&lt;&gt;"-"</formula>
    </cfRule>
  </conditionalFormatting>
  <conditionalFormatting sqref="D289">
    <cfRule type="expression" dxfId="983" priority="2650">
      <formula>$H289&lt;&gt;"-"</formula>
    </cfRule>
  </conditionalFormatting>
  <conditionalFormatting sqref="E289">
    <cfRule type="expression" dxfId="982" priority="2649">
      <formula>$I289&lt;&gt;"-"</formula>
    </cfRule>
  </conditionalFormatting>
  <conditionalFormatting sqref="B18">
    <cfRule type="expression" dxfId="981" priority="1706">
      <formula>AD18&lt;&gt;""</formula>
    </cfRule>
  </conditionalFormatting>
  <conditionalFormatting sqref="Z18">
    <cfRule type="cellIs" dxfId="980" priority="1704" operator="greaterThan">
      <formula>0</formula>
    </cfRule>
    <cfRule type="cellIs" dxfId="979" priority="1705" operator="lessThan">
      <formula>0</formula>
    </cfRule>
  </conditionalFormatting>
  <conditionalFormatting sqref="S18">
    <cfRule type="cellIs" dxfId="978" priority="1703" operator="lessThan">
      <formula>0</formula>
    </cfRule>
  </conditionalFormatting>
  <conditionalFormatting sqref="L18:M18 O18 R18:AC18">
    <cfRule type="expression" dxfId="977" priority="1707">
      <formula>AND($G18="Yes", $S$6="Exclude")</formula>
    </cfRule>
    <cfRule type="expression" dxfId="976" priority="1708">
      <formula>$J18="Yes"</formula>
    </cfRule>
  </conditionalFormatting>
  <conditionalFormatting sqref="F18">
    <cfRule type="expression" dxfId="975" priority="1700">
      <formula>$K18&lt;&gt;""</formula>
    </cfRule>
  </conditionalFormatting>
  <conditionalFormatting sqref="C18">
    <cfRule type="expression" dxfId="974" priority="1699">
      <formula>$G18&lt;&gt;"-"</formula>
    </cfRule>
  </conditionalFormatting>
  <conditionalFormatting sqref="D18">
    <cfRule type="expression" dxfId="973" priority="1698">
      <formula>$H18&lt;&gt;"-"</formula>
    </cfRule>
  </conditionalFormatting>
  <conditionalFormatting sqref="E18">
    <cfRule type="expression" dxfId="972" priority="1697">
      <formula>$I18&lt;&gt;"-"</formula>
    </cfRule>
  </conditionalFormatting>
  <conditionalFormatting sqref="B28">
    <cfRule type="expression" dxfId="971" priority="1693">
      <formula>AD28&lt;&gt;""</formula>
    </cfRule>
  </conditionalFormatting>
  <conditionalFormatting sqref="Z28">
    <cfRule type="cellIs" dxfId="970" priority="1691" operator="greaterThan">
      <formula>0</formula>
    </cfRule>
    <cfRule type="cellIs" dxfId="969" priority="1692" operator="lessThan">
      <formula>0</formula>
    </cfRule>
  </conditionalFormatting>
  <conditionalFormatting sqref="S28">
    <cfRule type="cellIs" dxfId="968" priority="1690" operator="lessThan">
      <formula>0</formula>
    </cfRule>
  </conditionalFormatting>
  <conditionalFormatting sqref="T26:T27">
    <cfRule type="expression" dxfId="967" priority="1694">
      <formula>#REF!="Yes"</formula>
    </cfRule>
  </conditionalFormatting>
  <conditionalFormatting sqref="P28">
    <cfRule type="cellIs" dxfId="966" priority="1688" operator="equal">
      <formula>AS_DURATION_EFFORT</formula>
    </cfRule>
    <cfRule type="cellIs" dxfId="965" priority="1689" operator="equal">
      <formula>AS_DEV_EFFORT</formula>
    </cfRule>
  </conditionalFormatting>
  <conditionalFormatting sqref="B26:B27">
    <cfRule type="expression" dxfId="964" priority="1687">
      <formula>AD26&lt;&gt;""</formula>
    </cfRule>
  </conditionalFormatting>
  <conditionalFormatting sqref="F28">
    <cfRule type="expression" dxfId="963" priority="1686">
      <formula>$K28&lt;&gt;""</formula>
    </cfRule>
  </conditionalFormatting>
  <conditionalFormatting sqref="C28">
    <cfRule type="expression" dxfId="962" priority="1685">
      <formula>$G28&lt;&gt;"-"</formula>
    </cfRule>
  </conditionalFormatting>
  <conditionalFormatting sqref="D28">
    <cfRule type="expression" dxfId="961" priority="1684">
      <formula>$H28&lt;&gt;"-"</formula>
    </cfRule>
  </conditionalFormatting>
  <conditionalFormatting sqref="E28">
    <cfRule type="expression" dxfId="960" priority="1683">
      <formula>$I28&lt;&gt;"-"</formula>
    </cfRule>
  </conditionalFormatting>
  <conditionalFormatting sqref="B35">
    <cfRule type="expression" dxfId="959" priority="1679">
      <formula>AD35&lt;&gt;""</formula>
    </cfRule>
  </conditionalFormatting>
  <conditionalFormatting sqref="Z35">
    <cfRule type="cellIs" dxfId="958" priority="1677" operator="greaterThan">
      <formula>0</formula>
    </cfRule>
    <cfRule type="cellIs" dxfId="957" priority="1678" operator="lessThan">
      <formula>0</formula>
    </cfRule>
  </conditionalFormatting>
  <conditionalFormatting sqref="S35">
    <cfRule type="cellIs" dxfId="956" priority="1676" operator="lessThan">
      <formula>0</formula>
    </cfRule>
  </conditionalFormatting>
  <conditionalFormatting sqref="T33:T34">
    <cfRule type="expression" dxfId="955" priority="1680">
      <formula>#REF!="Yes"</formula>
    </cfRule>
  </conditionalFormatting>
  <conditionalFormatting sqref="P35">
    <cfRule type="cellIs" dxfId="954" priority="1674" operator="equal">
      <formula>AS_DURATION_EFFORT</formula>
    </cfRule>
    <cfRule type="cellIs" dxfId="953" priority="1675" operator="equal">
      <formula>AS_DEV_EFFORT</formula>
    </cfRule>
  </conditionalFormatting>
  <conditionalFormatting sqref="B33:B34">
    <cfRule type="expression" dxfId="952" priority="1673">
      <formula>AD33&lt;&gt;""</formula>
    </cfRule>
  </conditionalFormatting>
  <conditionalFormatting sqref="F35">
    <cfRule type="expression" dxfId="951" priority="1672">
      <formula>$K35&lt;&gt;""</formula>
    </cfRule>
  </conditionalFormatting>
  <conditionalFormatting sqref="C35">
    <cfRule type="expression" dxfId="950" priority="1671">
      <formula>$G35&lt;&gt;"-"</formula>
    </cfRule>
  </conditionalFormatting>
  <conditionalFormatting sqref="D35">
    <cfRule type="expression" dxfId="949" priority="1670">
      <formula>$H35&lt;&gt;"-"</formula>
    </cfRule>
  </conditionalFormatting>
  <conditionalFormatting sqref="E35">
    <cfRule type="expression" dxfId="948" priority="1669">
      <formula>$I35&lt;&gt;"-"</formula>
    </cfRule>
  </conditionalFormatting>
  <conditionalFormatting sqref="B41">
    <cfRule type="expression" dxfId="947" priority="1665">
      <formula>AD41&lt;&gt;""</formula>
    </cfRule>
  </conditionalFormatting>
  <conditionalFormatting sqref="Z41">
    <cfRule type="cellIs" dxfId="946" priority="1663" operator="greaterThan">
      <formula>0</formula>
    </cfRule>
    <cfRule type="cellIs" dxfId="945" priority="1664" operator="lessThan">
      <formula>0</formula>
    </cfRule>
  </conditionalFormatting>
  <conditionalFormatting sqref="S41">
    <cfRule type="cellIs" dxfId="944" priority="1662" operator="lessThan">
      <formula>0</formula>
    </cfRule>
  </conditionalFormatting>
  <conditionalFormatting sqref="T39:T40">
    <cfRule type="expression" dxfId="943" priority="1666">
      <formula>#REF!="Yes"</formula>
    </cfRule>
  </conditionalFormatting>
  <conditionalFormatting sqref="P41">
    <cfRule type="cellIs" dxfId="942" priority="1660" operator="equal">
      <formula>AS_DURATION_EFFORT</formula>
    </cfRule>
    <cfRule type="cellIs" dxfId="941" priority="1661" operator="equal">
      <formula>AS_DEV_EFFORT</formula>
    </cfRule>
  </conditionalFormatting>
  <conditionalFormatting sqref="B39:B40">
    <cfRule type="expression" dxfId="940" priority="1659">
      <formula>AD39&lt;&gt;""</formula>
    </cfRule>
  </conditionalFormatting>
  <conditionalFormatting sqref="F41">
    <cfRule type="expression" dxfId="939" priority="1658">
      <formula>$K41&lt;&gt;""</formula>
    </cfRule>
  </conditionalFormatting>
  <conditionalFormatting sqref="C41">
    <cfRule type="expression" dxfId="938" priority="1657">
      <formula>$G41&lt;&gt;"-"</formula>
    </cfRule>
  </conditionalFormatting>
  <conditionalFormatting sqref="D41">
    <cfRule type="expression" dxfId="937" priority="1656">
      <formula>$H41&lt;&gt;"-"</formula>
    </cfRule>
  </conditionalFormatting>
  <conditionalFormatting sqref="E41">
    <cfRule type="expression" dxfId="936" priority="1655">
      <formula>$I41&lt;&gt;"-"</formula>
    </cfRule>
  </conditionalFormatting>
  <conditionalFormatting sqref="T45:T46">
    <cfRule type="expression" dxfId="935" priority="1652">
      <formula>#REF!="Yes"</formula>
    </cfRule>
  </conditionalFormatting>
  <conditionalFormatting sqref="B45:B46">
    <cfRule type="expression" dxfId="934" priority="1645">
      <formula>AD45&lt;&gt;""</formula>
    </cfRule>
  </conditionalFormatting>
  <conditionalFormatting sqref="B53">
    <cfRule type="expression" dxfId="933" priority="1637">
      <formula>AD53&lt;&gt;""</formula>
    </cfRule>
  </conditionalFormatting>
  <conditionalFormatting sqref="Z53">
    <cfRule type="cellIs" dxfId="932" priority="1635" operator="greaterThan">
      <formula>0</formula>
    </cfRule>
    <cfRule type="cellIs" dxfId="931" priority="1636" operator="lessThan">
      <formula>0</formula>
    </cfRule>
  </conditionalFormatting>
  <conditionalFormatting sqref="S53">
    <cfRule type="cellIs" dxfId="930" priority="1634" operator="lessThan">
      <formula>0</formula>
    </cfRule>
  </conditionalFormatting>
  <conditionalFormatting sqref="T51:T52">
    <cfRule type="expression" dxfId="929" priority="1638">
      <formula>#REF!="Yes"</formula>
    </cfRule>
  </conditionalFormatting>
  <conditionalFormatting sqref="P53">
    <cfRule type="cellIs" dxfId="928" priority="1632" operator="equal">
      <formula>AS_DURATION_EFFORT</formula>
    </cfRule>
    <cfRule type="cellIs" dxfId="927" priority="1633" operator="equal">
      <formula>AS_DEV_EFFORT</formula>
    </cfRule>
  </conditionalFormatting>
  <conditionalFormatting sqref="B51:B52">
    <cfRule type="expression" dxfId="926" priority="1631">
      <formula>AD51&lt;&gt;""</formula>
    </cfRule>
  </conditionalFormatting>
  <conditionalFormatting sqref="F53">
    <cfRule type="expression" dxfId="925" priority="1630">
      <formula>$K53&lt;&gt;""</formula>
    </cfRule>
  </conditionalFormatting>
  <conditionalFormatting sqref="C53">
    <cfRule type="expression" dxfId="924" priority="1629">
      <formula>$G53&lt;&gt;"-"</formula>
    </cfRule>
  </conditionalFormatting>
  <conditionalFormatting sqref="D53">
    <cfRule type="expression" dxfId="923" priority="1628">
      <formula>$H53&lt;&gt;"-"</formula>
    </cfRule>
  </conditionalFormatting>
  <conditionalFormatting sqref="E53">
    <cfRule type="expression" dxfId="922" priority="1627">
      <formula>$I53&lt;&gt;"-"</formula>
    </cfRule>
  </conditionalFormatting>
  <conditionalFormatting sqref="N18">
    <cfRule type="expression" dxfId="921" priority="1625">
      <formula>AND($G18="Yes", $S$6="Exclude")</formula>
    </cfRule>
    <cfRule type="expression" dxfId="920" priority="1626">
      <formula>$J18="Yes"</formula>
    </cfRule>
  </conditionalFormatting>
  <conditionalFormatting sqref="P18">
    <cfRule type="cellIs" dxfId="919" priority="1621" operator="equal">
      <formula>AS_DURATION_EFFORT</formula>
    </cfRule>
    <cfRule type="cellIs" dxfId="918" priority="1622" operator="equal">
      <formula>AS_DEV_EFFORT</formula>
    </cfRule>
  </conditionalFormatting>
  <conditionalFormatting sqref="P18:Q18">
    <cfRule type="expression" dxfId="917" priority="1623">
      <formula>AND($G18="Yes", $S$6="Exclude")</formula>
    </cfRule>
    <cfRule type="expression" dxfId="916" priority="1624">
      <formula>$J18="Yes"</formula>
    </cfRule>
  </conditionalFormatting>
  <conditionalFormatting sqref="B22">
    <cfRule type="expression" dxfId="915" priority="1618">
      <formula>AD22&lt;&gt;""</formula>
    </cfRule>
  </conditionalFormatting>
  <conditionalFormatting sqref="Z22">
    <cfRule type="cellIs" dxfId="914" priority="1616" operator="greaterThan">
      <formula>0</formula>
    </cfRule>
    <cfRule type="cellIs" dxfId="913" priority="1617" operator="lessThan">
      <formula>0</formula>
    </cfRule>
  </conditionalFormatting>
  <conditionalFormatting sqref="S22">
    <cfRule type="cellIs" dxfId="912" priority="1615" operator="lessThan">
      <formula>0</formula>
    </cfRule>
  </conditionalFormatting>
  <conditionalFormatting sqref="P22">
    <cfRule type="cellIs" dxfId="911" priority="1613" operator="equal">
      <formula>AS_DURATION_EFFORT</formula>
    </cfRule>
    <cfRule type="cellIs" dxfId="910" priority="1614" operator="equal">
      <formula>AS_DEV_EFFORT</formula>
    </cfRule>
  </conditionalFormatting>
  <conditionalFormatting sqref="L22:M22 O22:AC22">
    <cfRule type="expression" dxfId="909" priority="1619">
      <formula>AND($G22="Yes", $S$6="Exclude")</formula>
    </cfRule>
    <cfRule type="expression" dxfId="908" priority="1620">
      <formula>$J22="Yes"</formula>
    </cfRule>
  </conditionalFormatting>
  <conditionalFormatting sqref="F22">
    <cfRule type="expression" dxfId="907" priority="1612">
      <formula>$K22&lt;&gt;""</formula>
    </cfRule>
  </conditionalFormatting>
  <conditionalFormatting sqref="C22">
    <cfRule type="expression" dxfId="906" priority="1611">
      <formula>$G22&lt;&gt;"-"</formula>
    </cfRule>
  </conditionalFormatting>
  <conditionalFormatting sqref="D22">
    <cfRule type="expression" dxfId="905" priority="1610">
      <formula>$H22&lt;&gt;"-"</formula>
    </cfRule>
  </conditionalFormatting>
  <conditionalFormatting sqref="E22">
    <cfRule type="expression" dxfId="904" priority="1609">
      <formula>$I22&lt;&gt;"-"</formula>
    </cfRule>
  </conditionalFormatting>
  <conditionalFormatting sqref="N22">
    <cfRule type="expression" dxfId="903" priority="1607">
      <formula>AND($G22="Yes", $S$6="Exclude")</formula>
    </cfRule>
    <cfRule type="expression" dxfId="902" priority="1608">
      <formula>$J22="Yes"</formula>
    </cfRule>
  </conditionalFormatting>
  <conditionalFormatting sqref="B31">
    <cfRule type="expression" dxfId="901" priority="1604">
      <formula>AD31&lt;&gt;""</formula>
    </cfRule>
  </conditionalFormatting>
  <conditionalFormatting sqref="Z31">
    <cfRule type="cellIs" dxfId="900" priority="1602" operator="greaterThan">
      <formula>0</formula>
    </cfRule>
    <cfRule type="cellIs" dxfId="899" priority="1603" operator="lessThan">
      <formula>0</formula>
    </cfRule>
  </conditionalFormatting>
  <conditionalFormatting sqref="S31">
    <cfRule type="cellIs" dxfId="898" priority="1601" operator="lessThan">
      <formula>0</formula>
    </cfRule>
  </conditionalFormatting>
  <conditionalFormatting sqref="P31">
    <cfRule type="cellIs" dxfId="897" priority="1599" operator="equal">
      <formula>AS_DURATION_EFFORT</formula>
    </cfRule>
    <cfRule type="cellIs" dxfId="896" priority="1600" operator="equal">
      <formula>AS_DEV_EFFORT</formula>
    </cfRule>
  </conditionalFormatting>
  <conditionalFormatting sqref="L31:M31 O31:AC31">
    <cfRule type="expression" dxfId="895" priority="1605">
      <formula>AND($G31="Yes", $S$6="Exclude")</formula>
    </cfRule>
    <cfRule type="expression" dxfId="894" priority="1606">
      <formula>$J31="Yes"</formula>
    </cfRule>
  </conditionalFormatting>
  <conditionalFormatting sqref="F31">
    <cfRule type="expression" dxfId="893" priority="1598">
      <formula>$K31&lt;&gt;""</formula>
    </cfRule>
  </conditionalFormatting>
  <conditionalFormatting sqref="C31">
    <cfRule type="expression" dxfId="892" priority="1597">
      <formula>$G31&lt;&gt;"-"</formula>
    </cfRule>
  </conditionalFormatting>
  <conditionalFormatting sqref="D31">
    <cfRule type="expression" dxfId="891" priority="1596">
      <formula>$H31&lt;&gt;"-"</formula>
    </cfRule>
  </conditionalFormatting>
  <conditionalFormatting sqref="E31">
    <cfRule type="expression" dxfId="890" priority="1595">
      <formula>$I31&lt;&gt;"-"</formula>
    </cfRule>
  </conditionalFormatting>
  <conditionalFormatting sqref="B30">
    <cfRule type="expression" dxfId="889" priority="1592">
      <formula>AD30&lt;&gt;""</formula>
    </cfRule>
  </conditionalFormatting>
  <conditionalFormatting sqref="Z30">
    <cfRule type="cellIs" dxfId="888" priority="1590" operator="greaterThan">
      <formula>0</formula>
    </cfRule>
    <cfRule type="cellIs" dxfId="887" priority="1591" operator="lessThan">
      <formula>0</formula>
    </cfRule>
  </conditionalFormatting>
  <conditionalFormatting sqref="S30">
    <cfRule type="cellIs" dxfId="886" priority="1589" operator="lessThan">
      <formula>0</formula>
    </cfRule>
  </conditionalFormatting>
  <conditionalFormatting sqref="P30">
    <cfRule type="cellIs" dxfId="885" priority="1587" operator="equal">
      <formula>AS_DURATION_EFFORT</formula>
    </cfRule>
    <cfRule type="cellIs" dxfId="884" priority="1588" operator="equal">
      <formula>AS_DEV_EFFORT</formula>
    </cfRule>
  </conditionalFormatting>
  <conditionalFormatting sqref="L30:M30 P30:AC30">
    <cfRule type="expression" dxfId="883" priority="1593">
      <formula>AND($G30="Yes", $S$6="Exclude")</formula>
    </cfRule>
    <cfRule type="expression" dxfId="882" priority="1594">
      <formula>$J30="Yes"</formula>
    </cfRule>
  </conditionalFormatting>
  <conditionalFormatting sqref="F30">
    <cfRule type="expression" dxfId="881" priority="1586">
      <formula>$K30&lt;&gt;""</formula>
    </cfRule>
  </conditionalFormatting>
  <conditionalFormatting sqref="C30">
    <cfRule type="expression" dxfId="880" priority="1585">
      <formula>$G30&lt;&gt;"-"</formula>
    </cfRule>
  </conditionalFormatting>
  <conditionalFormatting sqref="D30">
    <cfRule type="expression" dxfId="879" priority="1584">
      <formula>$H30&lt;&gt;"-"</formula>
    </cfRule>
  </conditionalFormatting>
  <conditionalFormatting sqref="E30">
    <cfRule type="expression" dxfId="878" priority="1583">
      <formula>$I30&lt;&gt;"-"</formula>
    </cfRule>
  </conditionalFormatting>
  <conditionalFormatting sqref="B29">
    <cfRule type="expression" dxfId="877" priority="1580">
      <formula>AD29&lt;&gt;""</formula>
    </cfRule>
  </conditionalFormatting>
  <conditionalFormatting sqref="Z29">
    <cfRule type="cellIs" dxfId="876" priority="1578" operator="greaterThan">
      <formula>0</formula>
    </cfRule>
    <cfRule type="cellIs" dxfId="875" priority="1579" operator="lessThan">
      <formula>0</formula>
    </cfRule>
  </conditionalFormatting>
  <conditionalFormatting sqref="S29">
    <cfRule type="cellIs" dxfId="874" priority="1577" operator="lessThan">
      <formula>0</formula>
    </cfRule>
  </conditionalFormatting>
  <conditionalFormatting sqref="P29">
    <cfRule type="cellIs" dxfId="873" priority="1575" operator="equal">
      <formula>AS_DURATION_EFFORT</formula>
    </cfRule>
    <cfRule type="cellIs" dxfId="872" priority="1576" operator="equal">
      <formula>AS_DEV_EFFORT</formula>
    </cfRule>
  </conditionalFormatting>
  <conditionalFormatting sqref="L29:M29 P29:AC29">
    <cfRule type="expression" dxfId="871" priority="1581">
      <formula>AND($G29="Yes", $S$6="Exclude")</formula>
    </cfRule>
    <cfRule type="expression" dxfId="870" priority="1582">
      <formula>$J29="Yes"</formula>
    </cfRule>
  </conditionalFormatting>
  <conditionalFormatting sqref="F29">
    <cfRule type="expression" dxfId="869" priority="1574">
      <formula>$K29&lt;&gt;""</formula>
    </cfRule>
  </conditionalFormatting>
  <conditionalFormatting sqref="C29">
    <cfRule type="expression" dxfId="868" priority="1573">
      <formula>$G29&lt;&gt;"-"</formula>
    </cfRule>
  </conditionalFormatting>
  <conditionalFormatting sqref="D29">
    <cfRule type="expression" dxfId="867" priority="1572">
      <formula>$H29&lt;&gt;"-"</formula>
    </cfRule>
  </conditionalFormatting>
  <conditionalFormatting sqref="E29">
    <cfRule type="expression" dxfId="866" priority="1571">
      <formula>$I29&lt;&gt;"-"</formula>
    </cfRule>
  </conditionalFormatting>
  <conditionalFormatting sqref="N30:N31">
    <cfRule type="expression" dxfId="865" priority="1569">
      <formula>AND($G30="Yes", $S$6="Exclude")</formula>
    </cfRule>
    <cfRule type="expression" dxfId="864" priority="1570">
      <formula>$J30="Yes"</formula>
    </cfRule>
  </conditionalFormatting>
  <conditionalFormatting sqref="N28">
    <cfRule type="expression" dxfId="863" priority="1567">
      <formula>AND($G28="Yes", $S$6="Exclude")</formula>
    </cfRule>
    <cfRule type="expression" dxfId="862" priority="1568">
      <formula>$J28="Yes"</formula>
    </cfRule>
  </conditionalFormatting>
  <conditionalFormatting sqref="N29">
    <cfRule type="expression" dxfId="861" priority="1565">
      <formula>AND($G29="Yes", $S$6="Exclude")</formula>
    </cfRule>
    <cfRule type="expression" dxfId="860" priority="1566">
      <formula>$J29="Yes"</formula>
    </cfRule>
  </conditionalFormatting>
  <conditionalFormatting sqref="O30">
    <cfRule type="expression" dxfId="859" priority="1563">
      <formula>AND($G30="Yes", $S$6="Exclude")</formula>
    </cfRule>
    <cfRule type="expression" dxfId="858" priority="1564">
      <formula>$J30="Yes"</formula>
    </cfRule>
  </conditionalFormatting>
  <conditionalFormatting sqref="O29">
    <cfRule type="expression" dxfId="857" priority="1561">
      <formula>AND($G29="Yes", $S$6="Exclude")</formula>
    </cfRule>
    <cfRule type="expression" dxfId="856" priority="1562">
      <formula>$J29="Yes"</formula>
    </cfRule>
  </conditionalFormatting>
  <conditionalFormatting sqref="B37">
    <cfRule type="expression" dxfId="855" priority="1558">
      <formula>AD37&lt;&gt;""</formula>
    </cfRule>
  </conditionalFormatting>
  <conditionalFormatting sqref="Z37">
    <cfRule type="cellIs" dxfId="854" priority="1556" operator="greaterThan">
      <formula>0</formula>
    </cfRule>
    <cfRule type="cellIs" dxfId="853" priority="1557" operator="lessThan">
      <formula>0</formula>
    </cfRule>
  </conditionalFormatting>
  <conditionalFormatting sqref="S37">
    <cfRule type="cellIs" dxfId="852" priority="1555" operator="lessThan">
      <formula>0</formula>
    </cfRule>
  </conditionalFormatting>
  <conditionalFormatting sqref="P37">
    <cfRule type="cellIs" dxfId="851" priority="1553" operator="equal">
      <formula>AS_DURATION_EFFORT</formula>
    </cfRule>
    <cfRule type="cellIs" dxfId="850" priority="1554" operator="equal">
      <formula>AS_DEV_EFFORT</formula>
    </cfRule>
  </conditionalFormatting>
  <conditionalFormatting sqref="F37">
    <cfRule type="expression" dxfId="849" priority="1552">
      <formula>$K37&lt;&gt;""</formula>
    </cfRule>
  </conditionalFormatting>
  <conditionalFormatting sqref="C37">
    <cfRule type="expression" dxfId="848" priority="1551">
      <formula>$G37&lt;&gt;"-"</formula>
    </cfRule>
  </conditionalFormatting>
  <conditionalFormatting sqref="D37">
    <cfRule type="expression" dxfId="847" priority="1550">
      <formula>$H37&lt;&gt;"-"</formula>
    </cfRule>
  </conditionalFormatting>
  <conditionalFormatting sqref="E37">
    <cfRule type="expression" dxfId="846" priority="1549">
      <formula>$I37&lt;&gt;"-"</formula>
    </cfRule>
  </conditionalFormatting>
  <conditionalFormatting sqref="B36">
    <cfRule type="expression" dxfId="845" priority="1534">
      <formula>AD36&lt;&gt;""</formula>
    </cfRule>
  </conditionalFormatting>
  <conditionalFormatting sqref="Z36">
    <cfRule type="cellIs" dxfId="844" priority="1532" operator="greaterThan">
      <formula>0</formula>
    </cfRule>
    <cfRule type="cellIs" dxfId="843" priority="1533" operator="lessThan">
      <formula>0</formula>
    </cfRule>
  </conditionalFormatting>
  <conditionalFormatting sqref="S36">
    <cfRule type="cellIs" dxfId="842" priority="1531" operator="lessThan">
      <formula>0</formula>
    </cfRule>
  </conditionalFormatting>
  <conditionalFormatting sqref="P36">
    <cfRule type="cellIs" dxfId="841" priority="1529" operator="equal">
      <formula>AS_DURATION_EFFORT</formula>
    </cfRule>
    <cfRule type="cellIs" dxfId="840" priority="1530" operator="equal">
      <formula>AS_DEV_EFFORT</formula>
    </cfRule>
  </conditionalFormatting>
  <conditionalFormatting sqref="F36">
    <cfRule type="expression" dxfId="839" priority="1528">
      <formula>$K36&lt;&gt;""</formula>
    </cfRule>
  </conditionalFormatting>
  <conditionalFormatting sqref="C36">
    <cfRule type="expression" dxfId="838" priority="1527">
      <formula>$G36&lt;&gt;"-"</formula>
    </cfRule>
  </conditionalFormatting>
  <conditionalFormatting sqref="D36">
    <cfRule type="expression" dxfId="837" priority="1526">
      <formula>$H36&lt;&gt;"-"</formula>
    </cfRule>
  </conditionalFormatting>
  <conditionalFormatting sqref="E36">
    <cfRule type="expression" dxfId="836" priority="1525">
      <formula>$I36&lt;&gt;"-"</formula>
    </cfRule>
  </conditionalFormatting>
  <conditionalFormatting sqref="N35">
    <cfRule type="expression" dxfId="835" priority="1511">
      <formula>AND($G35="Yes", $S$6="Exclude")</formula>
    </cfRule>
    <cfRule type="expression" dxfId="834" priority="1512">
      <formula>$J35="Yes"</formula>
    </cfRule>
  </conditionalFormatting>
  <conditionalFormatting sqref="B43">
    <cfRule type="expression" dxfId="833" priority="1494">
      <formula>AD43&lt;&gt;""</formula>
    </cfRule>
  </conditionalFormatting>
  <conditionalFormatting sqref="Z43">
    <cfRule type="cellIs" dxfId="832" priority="1492" operator="greaterThan">
      <formula>0</formula>
    </cfRule>
    <cfRule type="cellIs" dxfId="831" priority="1493" operator="lessThan">
      <formula>0</formula>
    </cfRule>
  </conditionalFormatting>
  <conditionalFormatting sqref="S43">
    <cfRule type="cellIs" dxfId="830" priority="1491" operator="lessThan">
      <formula>0</formula>
    </cfRule>
  </conditionalFormatting>
  <conditionalFormatting sqref="P43">
    <cfRule type="cellIs" dxfId="829" priority="1489" operator="equal">
      <formula>AS_DURATION_EFFORT</formula>
    </cfRule>
    <cfRule type="cellIs" dxfId="828" priority="1490" operator="equal">
      <formula>AS_DEV_EFFORT</formula>
    </cfRule>
  </conditionalFormatting>
  <conditionalFormatting sqref="F43">
    <cfRule type="expression" dxfId="827" priority="1488">
      <formula>$K43&lt;&gt;""</formula>
    </cfRule>
  </conditionalFormatting>
  <conditionalFormatting sqref="C43">
    <cfRule type="expression" dxfId="826" priority="1487">
      <formula>$G43&lt;&gt;"-"</formula>
    </cfRule>
  </conditionalFormatting>
  <conditionalFormatting sqref="D43">
    <cfRule type="expression" dxfId="825" priority="1486">
      <formula>$H43&lt;&gt;"-"</formula>
    </cfRule>
  </conditionalFormatting>
  <conditionalFormatting sqref="E43">
    <cfRule type="expression" dxfId="824" priority="1485">
      <formula>$I43&lt;&gt;"-"</formula>
    </cfRule>
  </conditionalFormatting>
  <conditionalFormatting sqref="B42">
    <cfRule type="expression" dxfId="823" priority="1482">
      <formula>AD42&lt;&gt;""</formula>
    </cfRule>
  </conditionalFormatting>
  <conditionalFormatting sqref="Z42">
    <cfRule type="cellIs" dxfId="822" priority="1480" operator="greaterThan">
      <formula>0</formula>
    </cfRule>
    <cfRule type="cellIs" dxfId="821" priority="1481" operator="lessThan">
      <formula>0</formula>
    </cfRule>
  </conditionalFormatting>
  <conditionalFormatting sqref="S42">
    <cfRule type="cellIs" dxfId="820" priority="1479" operator="lessThan">
      <formula>0</formula>
    </cfRule>
  </conditionalFormatting>
  <conditionalFormatting sqref="P42">
    <cfRule type="cellIs" dxfId="819" priority="1477" operator="equal">
      <formula>AS_DURATION_EFFORT</formula>
    </cfRule>
    <cfRule type="cellIs" dxfId="818" priority="1478" operator="equal">
      <formula>AS_DEV_EFFORT</formula>
    </cfRule>
  </conditionalFormatting>
  <conditionalFormatting sqref="F42">
    <cfRule type="expression" dxfId="817" priority="1476">
      <formula>$K42&lt;&gt;""</formula>
    </cfRule>
  </conditionalFormatting>
  <conditionalFormatting sqref="C42">
    <cfRule type="expression" dxfId="816" priority="1475">
      <formula>$G42&lt;&gt;"-"</formula>
    </cfRule>
  </conditionalFormatting>
  <conditionalFormatting sqref="D42">
    <cfRule type="expression" dxfId="815" priority="1474">
      <formula>$H42&lt;&gt;"-"</formula>
    </cfRule>
  </conditionalFormatting>
  <conditionalFormatting sqref="E42">
    <cfRule type="expression" dxfId="814" priority="1473">
      <formula>$I42&lt;&gt;"-"</formula>
    </cfRule>
  </conditionalFormatting>
  <conditionalFormatting sqref="P41">
    <cfRule type="cellIs" dxfId="813" priority="1469" operator="equal">
      <formula>AS_DURATION_EFFORT</formula>
    </cfRule>
    <cfRule type="cellIs" dxfId="812" priority="1470" operator="equal">
      <formula>AS_DEV_EFFORT</formula>
    </cfRule>
  </conditionalFormatting>
  <conditionalFormatting sqref="B49">
    <cfRule type="expression" dxfId="811" priority="1466">
      <formula>AD49&lt;&gt;""</formula>
    </cfRule>
  </conditionalFormatting>
  <conditionalFormatting sqref="Z49">
    <cfRule type="cellIs" dxfId="810" priority="1464" operator="greaterThan">
      <formula>0</formula>
    </cfRule>
    <cfRule type="cellIs" dxfId="809" priority="1465" operator="lessThan">
      <formula>0</formula>
    </cfRule>
  </conditionalFormatting>
  <conditionalFormatting sqref="S49">
    <cfRule type="cellIs" dxfId="808" priority="1463" operator="lessThan">
      <formula>0</formula>
    </cfRule>
  </conditionalFormatting>
  <conditionalFormatting sqref="P49">
    <cfRule type="cellIs" dxfId="807" priority="1461" operator="equal">
      <formula>AS_DURATION_EFFORT</formula>
    </cfRule>
    <cfRule type="cellIs" dxfId="806" priority="1462" operator="equal">
      <formula>AS_DEV_EFFORT</formula>
    </cfRule>
  </conditionalFormatting>
  <conditionalFormatting sqref="F49">
    <cfRule type="expression" dxfId="805" priority="1460">
      <formula>$K49&lt;&gt;""</formula>
    </cfRule>
  </conditionalFormatting>
  <conditionalFormatting sqref="C49">
    <cfRule type="expression" dxfId="804" priority="1459">
      <formula>$G49&lt;&gt;"-"</formula>
    </cfRule>
  </conditionalFormatting>
  <conditionalFormatting sqref="D49">
    <cfRule type="expression" dxfId="803" priority="1458">
      <formula>$H49&lt;&gt;"-"</formula>
    </cfRule>
  </conditionalFormatting>
  <conditionalFormatting sqref="E49">
    <cfRule type="expression" dxfId="802" priority="1457">
      <formula>$I49&lt;&gt;"-"</formula>
    </cfRule>
  </conditionalFormatting>
  <conditionalFormatting sqref="B48">
    <cfRule type="expression" dxfId="801" priority="1454">
      <formula>AD48&lt;&gt;""</formula>
    </cfRule>
  </conditionalFormatting>
  <conditionalFormatting sqref="Z48">
    <cfRule type="cellIs" dxfId="800" priority="1452" operator="greaterThan">
      <formula>0</formula>
    </cfRule>
    <cfRule type="cellIs" dxfId="799" priority="1453" operator="lessThan">
      <formula>0</formula>
    </cfRule>
  </conditionalFormatting>
  <conditionalFormatting sqref="S48">
    <cfRule type="cellIs" dxfId="798" priority="1451" operator="lessThan">
      <formula>0</formula>
    </cfRule>
  </conditionalFormatting>
  <conditionalFormatting sqref="P48">
    <cfRule type="cellIs" dxfId="797" priority="1449" operator="equal">
      <formula>AS_DURATION_EFFORT</formula>
    </cfRule>
    <cfRule type="cellIs" dxfId="796" priority="1450" operator="equal">
      <formula>AS_DEV_EFFORT</formula>
    </cfRule>
  </conditionalFormatting>
  <conditionalFormatting sqref="F48">
    <cfRule type="expression" dxfId="795" priority="1448">
      <formula>$K48&lt;&gt;""</formula>
    </cfRule>
  </conditionalFormatting>
  <conditionalFormatting sqref="C48">
    <cfRule type="expression" dxfId="794" priority="1447">
      <formula>$G48&lt;&gt;"-"</formula>
    </cfRule>
  </conditionalFormatting>
  <conditionalFormatting sqref="D48">
    <cfRule type="expression" dxfId="793" priority="1446">
      <formula>$H48&lt;&gt;"-"</formula>
    </cfRule>
  </conditionalFormatting>
  <conditionalFormatting sqref="E48">
    <cfRule type="expression" dxfId="792" priority="1445">
      <formula>$I48&lt;&gt;"-"</formula>
    </cfRule>
  </conditionalFormatting>
  <conditionalFormatting sqref="B47">
    <cfRule type="expression" dxfId="791" priority="1418">
      <formula>AD47&lt;&gt;""</formula>
    </cfRule>
  </conditionalFormatting>
  <conditionalFormatting sqref="Z47">
    <cfRule type="cellIs" dxfId="790" priority="1416" operator="greaterThan">
      <formula>0</formula>
    </cfRule>
    <cfRule type="cellIs" dxfId="789" priority="1417" operator="lessThan">
      <formula>0</formula>
    </cfRule>
  </conditionalFormatting>
  <conditionalFormatting sqref="S47">
    <cfRule type="cellIs" dxfId="788" priority="1415" operator="lessThan">
      <formula>0</formula>
    </cfRule>
  </conditionalFormatting>
  <conditionalFormatting sqref="P47">
    <cfRule type="cellIs" dxfId="787" priority="1413" operator="equal">
      <formula>AS_DURATION_EFFORT</formula>
    </cfRule>
    <cfRule type="cellIs" dxfId="786" priority="1414" operator="equal">
      <formula>AS_DEV_EFFORT</formula>
    </cfRule>
  </conditionalFormatting>
  <conditionalFormatting sqref="F47">
    <cfRule type="expression" dxfId="785" priority="1412">
      <formula>$K47&lt;&gt;""</formula>
    </cfRule>
  </conditionalFormatting>
  <conditionalFormatting sqref="C47">
    <cfRule type="expression" dxfId="784" priority="1411">
      <formula>$G47&lt;&gt;"-"</formula>
    </cfRule>
  </conditionalFormatting>
  <conditionalFormatting sqref="D47">
    <cfRule type="expression" dxfId="783" priority="1410">
      <formula>$H47&lt;&gt;"-"</formula>
    </cfRule>
  </conditionalFormatting>
  <conditionalFormatting sqref="E47">
    <cfRule type="expression" dxfId="782" priority="1409">
      <formula>$I47&lt;&gt;"-"</formula>
    </cfRule>
  </conditionalFormatting>
  <conditionalFormatting sqref="B56">
    <cfRule type="expression" dxfId="781" priority="1404">
      <formula>AD56&lt;&gt;""</formula>
    </cfRule>
  </conditionalFormatting>
  <conditionalFormatting sqref="Z56">
    <cfRule type="cellIs" dxfId="780" priority="1402" operator="greaterThan">
      <formula>0</formula>
    </cfRule>
    <cfRule type="cellIs" dxfId="779" priority="1403" operator="lessThan">
      <formula>0</formula>
    </cfRule>
  </conditionalFormatting>
  <conditionalFormatting sqref="S56">
    <cfRule type="cellIs" dxfId="778" priority="1401" operator="lessThan">
      <formula>0</formula>
    </cfRule>
  </conditionalFormatting>
  <conditionalFormatting sqref="P56">
    <cfRule type="cellIs" dxfId="777" priority="1399" operator="equal">
      <formula>AS_DURATION_EFFORT</formula>
    </cfRule>
    <cfRule type="cellIs" dxfId="776" priority="1400" operator="equal">
      <formula>AS_DEV_EFFORT</formula>
    </cfRule>
  </conditionalFormatting>
  <conditionalFormatting sqref="F56">
    <cfRule type="expression" dxfId="775" priority="1398">
      <formula>$K56&lt;&gt;""</formula>
    </cfRule>
  </conditionalFormatting>
  <conditionalFormatting sqref="C56">
    <cfRule type="expression" dxfId="774" priority="1397">
      <formula>$G56&lt;&gt;"-"</formula>
    </cfRule>
  </conditionalFormatting>
  <conditionalFormatting sqref="D56">
    <cfRule type="expression" dxfId="773" priority="1396">
      <formula>$H56&lt;&gt;"-"</formula>
    </cfRule>
  </conditionalFormatting>
  <conditionalFormatting sqref="E56">
    <cfRule type="expression" dxfId="772" priority="1395">
      <formula>$I56&lt;&gt;"-"</formula>
    </cfRule>
  </conditionalFormatting>
  <conditionalFormatting sqref="B55">
    <cfRule type="expression" dxfId="771" priority="1392">
      <formula>AD55&lt;&gt;""</formula>
    </cfRule>
  </conditionalFormatting>
  <conditionalFormatting sqref="Z55">
    <cfRule type="cellIs" dxfId="770" priority="1390" operator="greaterThan">
      <formula>0</formula>
    </cfRule>
    <cfRule type="cellIs" dxfId="769" priority="1391" operator="lessThan">
      <formula>0</formula>
    </cfRule>
  </conditionalFormatting>
  <conditionalFormatting sqref="S55">
    <cfRule type="cellIs" dxfId="768" priority="1389" operator="lessThan">
      <formula>0</formula>
    </cfRule>
  </conditionalFormatting>
  <conditionalFormatting sqref="P55">
    <cfRule type="cellIs" dxfId="767" priority="1387" operator="equal">
      <formula>AS_DURATION_EFFORT</formula>
    </cfRule>
    <cfRule type="cellIs" dxfId="766" priority="1388" operator="equal">
      <formula>AS_DEV_EFFORT</formula>
    </cfRule>
  </conditionalFormatting>
  <conditionalFormatting sqref="F55">
    <cfRule type="expression" dxfId="765" priority="1386">
      <formula>$K55&lt;&gt;""</formula>
    </cfRule>
  </conditionalFormatting>
  <conditionalFormatting sqref="C55">
    <cfRule type="expression" dxfId="764" priority="1385">
      <formula>$G55&lt;&gt;"-"</formula>
    </cfRule>
  </conditionalFormatting>
  <conditionalFormatting sqref="D55">
    <cfRule type="expression" dxfId="763" priority="1384">
      <formula>$H55&lt;&gt;"-"</formula>
    </cfRule>
  </conditionalFormatting>
  <conditionalFormatting sqref="E55">
    <cfRule type="expression" dxfId="762" priority="1383">
      <formula>$I55&lt;&gt;"-"</formula>
    </cfRule>
  </conditionalFormatting>
  <conditionalFormatting sqref="B54">
    <cfRule type="expression" dxfId="761" priority="1368">
      <formula>AD54&lt;&gt;""</formula>
    </cfRule>
  </conditionalFormatting>
  <conditionalFormatting sqref="Z54">
    <cfRule type="cellIs" dxfId="760" priority="1366" operator="greaterThan">
      <formula>0</formula>
    </cfRule>
    <cfRule type="cellIs" dxfId="759" priority="1367" operator="lessThan">
      <formula>0</formula>
    </cfRule>
  </conditionalFormatting>
  <conditionalFormatting sqref="S54">
    <cfRule type="cellIs" dxfId="758" priority="1365" operator="lessThan">
      <formula>0</formula>
    </cfRule>
  </conditionalFormatting>
  <conditionalFormatting sqref="P54">
    <cfRule type="cellIs" dxfId="757" priority="1363" operator="equal">
      <formula>AS_DURATION_EFFORT</formula>
    </cfRule>
    <cfRule type="cellIs" dxfId="756" priority="1364" operator="equal">
      <formula>AS_DEV_EFFORT</formula>
    </cfRule>
  </conditionalFormatting>
  <conditionalFormatting sqref="F54">
    <cfRule type="expression" dxfId="755" priority="1362">
      <formula>$K54&lt;&gt;""</formula>
    </cfRule>
  </conditionalFormatting>
  <conditionalFormatting sqref="C54">
    <cfRule type="expression" dxfId="754" priority="1361">
      <formula>$G54&lt;&gt;"-"</formula>
    </cfRule>
  </conditionalFormatting>
  <conditionalFormatting sqref="D54">
    <cfRule type="expression" dxfId="753" priority="1360">
      <formula>$H54&lt;&gt;"-"</formula>
    </cfRule>
  </conditionalFormatting>
  <conditionalFormatting sqref="E54">
    <cfRule type="expression" dxfId="752" priority="1359">
      <formula>$I54&lt;&gt;"-"</formula>
    </cfRule>
  </conditionalFormatting>
  <conditionalFormatting sqref="B213">
    <cfRule type="expression" dxfId="751" priority="1351">
      <formula>AD213&lt;&gt;""</formula>
    </cfRule>
  </conditionalFormatting>
  <conditionalFormatting sqref="Z213">
    <cfRule type="cellIs" dxfId="750" priority="1349" operator="greaterThan">
      <formula>0</formula>
    </cfRule>
    <cfRule type="cellIs" dxfId="749" priority="1350" operator="lessThan">
      <formula>0</formula>
    </cfRule>
  </conditionalFormatting>
  <conditionalFormatting sqref="S213">
    <cfRule type="cellIs" dxfId="748" priority="1348" operator="lessThan">
      <formula>0</formula>
    </cfRule>
  </conditionalFormatting>
  <conditionalFormatting sqref="T211:T212">
    <cfRule type="expression" dxfId="747" priority="1352">
      <formula>#REF!="Yes"</formula>
    </cfRule>
  </conditionalFormatting>
  <conditionalFormatting sqref="P213">
    <cfRule type="cellIs" dxfId="746" priority="1346" operator="equal">
      <formula>AS_DURATION_EFFORT</formula>
    </cfRule>
    <cfRule type="cellIs" dxfId="745" priority="1347" operator="equal">
      <formula>AS_DEV_EFFORT</formula>
    </cfRule>
  </conditionalFormatting>
  <conditionalFormatting sqref="B211:B212">
    <cfRule type="expression" dxfId="744" priority="1345">
      <formula>AD211&lt;&gt;""</formula>
    </cfRule>
  </conditionalFormatting>
  <conditionalFormatting sqref="F213">
    <cfRule type="expression" dxfId="743" priority="1344">
      <formula>$K213&lt;&gt;""</formula>
    </cfRule>
  </conditionalFormatting>
  <conditionalFormatting sqref="C213">
    <cfRule type="expression" dxfId="742" priority="1343">
      <formula>$G213&lt;&gt;"-"</formula>
    </cfRule>
  </conditionalFormatting>
  <conditionalFormatting sqref="D213">
    <cfRule type="expression" dxfId="741" priority="1342">
      <formula>$H213&lt;&gt;"-"</formula>
    </cfRule>
  </conditionalFormatting>
  <conditionalFormatting sqref="E213">
    <cfRule type="expression" dxfId="740" priority="1341">
      <formula>$I213&lt;&gt;"-"</formula>
    </cfRule>
  </conditionalFormatting>
  <conditionalFormatting sqref="S210">
    <cfRule type="expression" dxfId="739" priority="1340">
      <formula>#REF!="Yes"</formula>
    </cfRule>
  </conditionalFormatting>
  <conditionalFormatting sqref="B210">
    <cfRule type="expression" dxfId="738" priority="1339">
      <formula>AD210&lt;&gt;""</formula>
    </cfRule>
  </conditionalFormatting>
  <conditionalFormatting sqref="B214">
    <cfRule type="expression" dxfId="737" priority="1336">
      <formula>AD214&lt;&gt;""</formula>
    </cfRule>
  </conditionalFormatting>
  <conditionalFormatting sqref="Z214">
    <cfRule type="cellIs" dxfId="736" priority="1334" operator="greaterThan">
      <formula>0</formula>
    </cfRule>
    <cfRule type="cellIs" dxfId="735" priority="1335" operator="lessThan">
      <formula>0</formula>
    </cfRule>
  </conditionalFormatting>
  <conditionalFormatting sqref="S214">
    <cfRule type="cellIs" dxfId="734" priority="1333" operator="lessThan">
      <formula>0</formula>
    </cfRule>
  </conditionalFormatting>
  <conditionalFormatting sqref="P214">
    <cfRule type="cellIs" dxfId="733" priority="1331" operator="equal">
      <formula>AS_DURATION_EFFORT</formula>
    </cfRule>
    <cfRule type="cellIs" dxfId="732" priority="1332" operator="equal">
      <formula>AS_DEV_EFFORT</formula>
    </cfRule>
  </conditionalFormatting>
  <conditionalFormatting sqref="F214">
    <cfRule type="expression" dxfId="731" priority="1330">
      <formula>$K214&lt;&gt;""</formula>
    </cfRule>
  </conditionalFormatting>
  <conditionalFormatting sqref="C214">
    <cfRule type="expression" dxfId="730" priority="1329">
      <formula>$G214&lt;&gt;"-"</formula>
    </cfRule>
  </conditionalFormatting>
  <conditionalFormatting sqref="D214">
    <cfRule type="expression" dxfId="729" priority="1328">
      <formula>$H214&lt;&gt;"-"</formula>
    </cfRule>
  </conditionalFormatting>
  <conditionalFormatting sqref="E214">
    <cfRule type="expression" dxfId="728" priority="1327">
      <formula>$I214&lt;&gt;"-"</formula>
    </cfRule>
  </conditionalFormatting>
  <conditionalFormatting sqref="B231">
    <cfRule type="expression" dxfId="727" priority="925">
      <formula>AD231&lt;&gt;""</formula>
    </cfRule>
  </conditionalFormatting>
  <conditionalFormatting sqref="Z231">
    <cfRule type="cellIs" dxfId="726" priority="923" operator="greaterThan">
      <formula>0</formula>
    </cfRule>
    <cfRule type="cellIs" dxfId="725" priority="924" operator="lessThan">
      <formula>0</formula>
    </cfRule>
  </conditionalFormatting>
  <conditionalFormatting sqref="S231">
    <cfRule type="cellIs" dxfId="724" priority="922" operator="lessThan">
      <formula>0</formula>
    </cfRule>
  </conditionalFormatting>
  <conditionalFormatting sqref="T229:T230">
    <cfRule type="expression" dxfId="723" priority="926">
      <formula>#REF!="Yes"</formula>
    </cfRule>
  </conditionalFormatting>
  <conditionalFormatting sqref="P231">
    <cfRule type="cellIs" dxfId="722" priority="920" operator="equal">
      <formula>AS_DURATION_EFFORT</formula>
    </cfRule>
    <cfRule type="cellIs" dxfId="721" priority="921" operator="equal">
      <formula>AS_DEV_EFFORT</formula>
    </cfRule>
  </conditionalFormatting>
  <conditionalFormatting sqref="B229:B230">
    <cfRule type="expression" dxfId="720" priority="919">
      <formula>AD229&lt;&gt;""</formula>
    </cfRule>
  </conditionalFormatting>
  <conditionalFormatting sqref="F231">
    <cfRule type="expression" dxfId="719" priority="918">
      <formula>$K231&lt;&gt;""</formula>
    </cfRule>
  </conditionalFormatting>
  <conditionalFormatting sqref="C231">
    <cfRule type="expression" dxfId="718" priority="917">
      <formula>$G231&lt;&gt;"-"</formula>
    </cfRule>
  </conditionalFormatting>
  <conditionalFormatting sqref="D231">
    <cfRule type="expression" dxfId="717" priority="916">
      <formula>$H231&lt;&gt;"-"</formula>
    </cfRule>
  </conditionalFormatting>
  <conditionalFormatting sqref="E231">
    <cfRule type="expression" dxfId="716" priority="915">
      <formula>$I231&lt;&gt;"-"</formula>
    </cfRule>
  </conditionalFormatting>
  <conditionalFormatting sqref="B232">
    <cfRule type="expression" dxfId="715" priority="914">
      <formula>AD232&lt;&gt;""</formula>
    </cfRule>
  </conditionalFormatting>
  <conditionalFormatting sqref="Z232">
    <cfRule type="cellIs" dxfId="714" priority="912" operator="greaterThan">
      <formula>0</formula>
    </cfRule>
    <cfRule type="cellIs" dxfId="713" priority="913" operator="lessThan">
      <formula>0</formula>
    </cfRule>
  </conditionalFormatting>
  <conditionalFormatting sqref="S232">
    <cfRule type="cellIs" dxfId="712" priority="911" operator="lessThan">
      <formula>0</formula>
    </cfRule>
  </conditionalFormatting>
  <conditionalFormatting sqref="P232">
    <cfRule type="cellIs" dxfId="711" priority="909" operator="equal">
      <formula>AS_DURATION_EFFORT</formula>
    </cfRule>
    <cfRule type="cellIs" dxfId="710" priority="910" operator="equal">
      <formula>AS_DEV_EFFORT</formula>
    </cfRule>
  </conditionalFormatting>
  <conditionalFormatting sqref="F232">
    <cfRule type="expression" dxfId="709" priority="908">
      <formula>$K232&lt;&gt;""</formula>
    </cfRule>
  </conditionalFormatting>
  <conditionalFormatting sqref="C232">
    <cfRule type="expression" dxfId="708" priority="907">
      <formula>$G232&lt;&gt;"-"</formula>
    </cfRule>
  </conditionalFormatting>
  <conditionalFormatting sqref="D232">
    <cfRule type="expression" dxfId="707" priority="906">
      <formula>$H232&lt;&gt;"-"</formula>
    </cfRule>
  </conditionalFormatting>
  <conditionalFormatting sqref="E232">
    <cfRule type="expression" dxfId="706" priority="905">
      <formula>$I232&lt;&gt;"-"</formula>
    </cfRule>
  </conditionalFormatting>
  <conditionalFormatting sqref="B233">
    <cfRule type="expression" dxfId="705" priority="904">
      <formula>AD233&lt;&gt;""</formula>
    </cfRule>
  </conditionalFormatting>
  <conditionalFormatting sqref="Z233">
    <cfRule type="cellIs" dxfId="704" priority="902" operator="greaterThan">
      <formula>0</formula>
    </cfRule>
    <cfRule type="cellIs" dxfId="703" priority="903" operator="lessThan">
      <formula>0</formula>
    </cfRule>
  </conditionalFormatting>
  <conditionalFormatting sqref="S233">
    <cfRule type="cellIs" dxfId="702" priority="901" operator="lessThan">
      <formula>0</formula>
    </cfRule>
  </conditionalFormatting>
  <conditionalFormatting sqref="P233">
    <cfRule type="cellIs" dxfId="701" priority="899" operator="equal">
      <formula>AS_DURATION_EFFORT</formula>
    </cfRule>
    <cfRule type="cellIs" dxfId="700" priority="900" operator="equal">
      <formula>AS_DEV_EFFORT</formula>
    </cfRule>
  </conditionalFormatting>
  <conditionalFormatting sqref="F233">
    <cfRule type="expression" dxfId="699" priority="898">
      <formula>$K233&lt;&gt;""</formula>
    </cfRule>
  </conditionalFormatting>
  <conditionalFormatting sqref="C233">
    <cfRule type="expression" dxfId="698" priority="897">
      <formula>$G233&lt;&gt;"-"</formula>
    </cfRule>
  </conditionalFormatting>
  <conditionalFormatting sqref="D233">
    <cfRule type="expression" dxfId="697" priority="896">
      <formula>$H233&lt;&gt;"-"</formula>
    </cfRule>
  </conditionalFormatting>
  <conditionalFormatting sqref="E233">
    <cfRule type="expression" dxfId="696" priority="895">
      <formula>$I233&lt;&gt;"-"</formula>
    </cfRule>
  </conditionalFormatting>
  <conditionalFormatting sqref="B234">
    <cfRule type="expression" dxfId="695" priority="894">
      <formula>AD234&lt;&gt;""</formula>
    </cfRule>
  </conditionalFormatting>
  <conditionalFormatting sqref="Z234">
    <cfRule type="cellIs" dxfId="694" priority="892" operator="greaterThan">
      <formula>0</formula>
    </cfRule>
    <cfRule type="cellIs" dxfId="693" priority="893" operator="lessThan">
      <formula>0</formula>
    </cfRule>
  </conditionalFormatting>
  <conditionalFormatting sqref="S234">
    <cfRule type="cellIs" dxfId="692" priority="891" operator="lessThan">
      <formula>0</formula>
    </cfRule>
  </conditionalFormatting>
  <conditionalFormatting sqref="P234">
    <cfRule type="cellIs" dxfId="691" priority="889" operator="equal">
      <formula>AS_DURATION_EFFORT</formula>
    </cfRule>
    <cfRule type="cellIs" dxfId="690" priority="890" operator="equal">
      <formula>AS_DEV_EFFORT</formula>
    </cfRule>
  </conditionalFormatting>
  <conditionalFormatting sqref="F234">
    <cfRule type="expression" dxfId="689" priority="888">
      <formula>$K234&lt;&gt;""</formula>
    </cfRule>
  </conditionalFormatting>
  <conditionalFormatting sqref="C234">
    <cfRule type="expression" dxfId="688" priority="887">
      <formula>$G234&lt;&gt;"-"</formula>
    </cfRule>
  </conditionalFormatting>
  <conditionalFormatting sqref="D234">
    <cfRule type="expression" dxfId="687" priority="886">
      <formula>$H234&lt;&gt;"-"</formula>
    </cfRule>
  </conditionalFormatting>
  <conditionalFormatting sqref="E234">
    <cfRule type="expression" dxfId="686" priority="885">
      <formula>$I234&lt;&gt;"-"</formula>
    </cfRule>
  </conditionalFormatting>
  <conditionalFormatting sqref="B225">
    <cfRule type="expression" dxfId="685" priority="881">
      <formula>AD225&lt;&gt;""</formula>
    </cfRule>
  </conditionalFormatting>
  <conditionalFormatting sqref="Z225">
    <cfRule type="cellIs" dxfId="684" priority="879" operator="greaterThan">
      <formula>0</formula>
    </cfRule>
    <cfRule type="cellIs" dxfId="683" priority="880" operator="lessThan">
      <formula>0</formula>
    </cfRule>
  </conditionalFormatting>
  <conditionalFormatting sqref="S225">
    <cfRule type="cellIs" dxfId="682" priority="878" operator="lessThan">
      <formula>0</formula>
    </cfRule>
  </conditionalFormatting>
  <conditionalFormatting sqref="T223:T224">
    <cfRule type="expression" dxfId="681" priority="882">
      <formula>#REF!="Yes"</formula>
    </cfRule>
  </conditionalFormatting>
  <conditionalFormatting sqref="P225">
    <cfRule type="cellIs" dxfId="680" priority="876" operator="equal">
      <formula>AS_DURATION_EFFORT</formula>
    </cfRule>
    <cfRule type="cellIs" dxfId="679" priority="877" operator="equal">
      <formula>AS_DEV_EFFORT</formula>
    </cfRule>
  </conditionalFormatting>
  <conditionalFormatting sqref="B223:B224">
    <cfRule type="expression" dxfId="678" priority="875">
      <formula>AD223&lt;&gt;""</formula>
    </cfRule>
  </conditionalFormatting>
  <conditionalFormatting sqref="F225">
    <cfRule type="expression" dxfId="677" priority="874">
      <formula>$K225&lt;&gt;""</formula>
    </cfRule>
  </conditionalFormatting>
  <conditionalFormatting sqref="C225">
    <cfRule type="expression" dxfId="676" priority="873">
      <formula>$G225&lt;&gt;"-"</formula>
    </cfRule>
  </conditionalFormatting>
  <conditionalFormatting sqref="D225">
    <cfRule type="expression" dxfId="675" priority="872">
      <formula>$H225&lt;&gt;"-"</formula>
    </cfRule>
  </conditionalFormatting>
  <conditionalFormatting sqref="E225">
    <cfRule type="expression" dxfId="674" priority="871">
      <formula>$I225&lt;&gt;"-"</formula>
    </cfRule>
  </conditionalFormatting>
  <conditionalFormatting sqref="S222">
    <cfRule type="expression" dxfId="673" priority="870">
      <formula>#REF!="Yes"</formula>
    </cfRule>
  </conditionalFormatting>
  <conditionalFormatting sqref="B222">
    <cfRule type="expression" dxfId="672" priority="869">
      <formula>AD222&lt;&gt;""</formula>
    </cfRule>
  </conditionalFormatting>
  <conditionalFormatting sqref="B226">
    <cfRule type="expression" dxfId="671" priority="866">
      <formula>AD226&lt;&gt;""</formula>
    </cfRule>
  </conditionalFormatting>
  <conditionalFormatting sqref="Z226">
    <cfRule type="cellIs" dxfId="670" priority="864" operator="greaterThan">
      <formula>0</formula>
    </cfRule>
    <cfRule type="cellIs" dxfId="669" priority="865" operator="lessThan">
      <formula>0</formula>
    </cfRule>
  </conditionalFormatting>
  <conditionalFormatting sqref="S226">
    <cfRule type="cellIs" dxfId="668" priority="863" operator="lessThan">
      <formula>0</formula>
    </cfRule>
  </conditionalFormatting>
  <conditionalFormatting sqref="F226">
    <cfRule type="expression" dxfId="667" priority="860">
      <formula>$K226&lt;&gt;""</formula>
    </cfRule>
  </conditionalFormatting>
  <conditionalFormatting sqref="C226">
    <cfRule type="expression" dxfId="666" priority="859">
      <formula>$G226&lt;&gt;"-"</formula>
    </cfRule>
  </conditionalFormatting>
  <conditionalFormatting sqref="D226">
    <cfRule type="expression" dxfId="665" priority="858">
      <formula>$H226&lt;&gt;"-"</formula>
    </cfRule>
  </conditionalFormatting>
  <conditionalFormatting sqref="E226">
    <cfRule type="expression" dxfId="664" priority="857">
      <formula>$I226&lt;&gt;"-"</formula>
    </cfRule>
  </conditionalFormatting>
  <conditionalFormatting sqref="P226">
    <cfRule type="cellIs" dxfId="663" priority="851" operator="equal">
      <formula>AS_DURATION_EFFORT</formula>
    </cfRule>
    <cfRule type="cellIs" dxfId="662" priority="852" operator="equal">
      <formula>AS_DEV_EFFORT</formula>
    </cfRule>
  </conditionalFormatting>
  <conditionalFormatting sqref="S228">
    <cfRule type="expression" dxfId="661" priority="850">
      <formula>#REF!="Yes"</formula>
    </cfRule>
  </conditionalFormatting>
  <conditionalFormatting sqref="B228">
    <cfRule type="expression" dxfId="660" priority="849">
      <formula>AD228&lt;&gt;""</formula>
    </cfRule>
  </conditionalFormatting>
  <conditionalFormatting sqref="P239">
    <cfRule type="cellIs" dxfId="659" priority="845" operator="equal">
      <formula>AS_DURATION_EFFORT</formula>
    </cfRule>
    <cfRule type="cellIs" dxfId="658" priority="846" operator="equal">
      <formula>AS_DEV_EFFORT</formula>
    </cfRule>
  </conditionalFormatting>
  <conditionalFormatting sqref="B252">
    <cfRule type="expression" dxfId="657" priority="828">
      <formula>AD252&lt;&gt;""</formula>
    </cfRule>
  </conditionalFormatting>
  <conditionalFormatting sqref="Z252">
    <cfRule type="cellIs" dxfId="656" priority="826" operator="greaterThan">
      <formula>0</formula>
    </cfRule>
    <cfRule type="cellIs" dxfId="655" priority="827" operator="lessThan">
      <formula>0</formula>
    </cfRule>
  </conditionalFormatting>
  <conditionalFormatting sqref="S252">
    <cfRule type="cellIs" dxfId="654" priority="825" operator="lessThan">
      <formula>0</formula>
    </cfRule>
  </conditionalFormatting>
  <conditionalFormatting sqref="P252">
    <cfRule type="cellIs" dxfId="653" priority="823" operator="equal">
      <formula>AS_DURATION_EFFORT</formula>
    </cfRule>
    <cfRule type="cellIs" dxfId="652" priority="824" operator="equal">
      <formula>AS_DEV_EFFORT</formula>
    </cfRule>
  </conditionalFormatting>
  <conditionalFormatting sqref="F252">
    <cfRule type="expression" dxfId="651" priority="822">
      <formula>$K252&lt;&gt;""</formula>
    </cfRule>
  </conditionalFormatting>
  <conditionalFormatting sqref="C252">
    <cfRule type="expression" dxfId="650" priority="821">
      <formula>$G252&lt;&gt;"-"</formula>
    </cfRule>
  </conditionalFormatting>
  <conditionalFormatting sqref="D252">
    <cfRule type="expression" dxfId="649" priority="820">
      <formula>$H252&lt;&gt;"-"</formula>
    </cfRule>
  </conditionalFormatting>
  <conditionalFormatting sqref="E252">
    <cfRule type="expression" dxfId="648" priority="819">
      <formula>$I252&lt;&gt;"-"</formula>
    </cfRule>
  </conditionalFormatting>
  <conditionalFormatting sqref="B76">
    <cfRule type="expression" dxfId="647" priority="816">
      <formula>AD76&lt;&gt;""</formula>
    </cfRule>
  </conditionalFormatting>
  <conditionalFormatting sqref="Z76">
    <cfRule type="cellIs" dxfId="646" priority="814" operator="greaterThan">
      <formula>0</formula>
    </cfRule>
    <cfRule type="cellIs" dxfId="645" priority="815" operator="lessThan">
      <formula>0</formula>
    </cfRule>
  </conditionalFormatting>
  <conditionalFormatting sqref="S76">
    <cfRule type="cellIs" dxfId="644" priority="813" operator="lessThan">
      <formula>0</formula>
    </cfRule>
  </conditionalFormatting>
  <conditionalFormatting sqref="L76:O76 Q76:AC76">
    <cfRule type="expression" dxfId="643" priority="817">
      <formula>AND($G76="Yes", $S$6="Exclude")</formula>
    </cfRule>
    <cfRule type="expression" dxfId="642" priority="818">
      <formula>$J76="Yes"</formula>
    </cfRule>
  </conditionalFormatting>
  <conditionalFormatting sqref="F76">
    <cfRule type="expression" dxfId="641" priority="810">
      <formula>$K76&lt;&gt;""</formula>
    </cfRule>
  </conditionalFormatting>
  <conditionalFormatting sqref="C76">
    <cfRule type="expression" dxfId="640" priority="809">
      <formula>$G76&lt;&gt;"-"</formula>
    </cfRule>
  </conditionalFormatting>
  <conditionalFormatting sqref="D76">
    <cfRule type="expression" dxfId="639" priority="808">
      <formula>$H76&lt;&gt;"-"</formula>
    </cfRule>
  </conditionalFormatting>
  <conditionalFormatting sqref="E76">
    <cfRule type="expression" dxfId="638" priority="807">
      <formula>$I76&lt;&gt;"-"</formula>
    </cfRule>
  </conditionalFormatting>
  <conditionalFormatting sqref="P85">
    <cfRule type="cellIs" dxfId="637" priority="805" operator="equal">
      <formula>AS_DURATION_EFFORT</formula>
    </cfRule>
    <cfRule type="cellIs" dxfId="636" priority="806" operator="equal">
      <formula>AS_DEV_EFFORT</formula>
    </cfRule>
  </conditionalFormatting>
  <conditionalFormatting sqref="P102:P103">
    <cfRule type="cellIs" dxfId="635" priority="803" operator="equal">
      <formula>AS_DURATION_EFFORT</formula>
    </cfRule>
    <cfRule type="cellIs" dxfId="634" priority="804" operator="equal">
      <formula>AS_DEV_EFFORT</formula>
    </cfRule>
  </conditionalFormatting>
  <conditionalFormatting sqref="P105">
    <cfRule type="cellIs" dxfId="633" priority="801" operator="equal">
      <formula>AS_DURATION_EFFORT</formula>
    </cfRule>
    <cfRule type="cellIs" dxfId="632" priority="802" operator="equal">
      <formula>AS_DEV_EFFORT</formula>
    </cfRule>
  </conditionalFormatting>
  <conditionalFormatting sqref="P105">
    <cfRule type="cellIs" dxfId="631" priority="799" operator="equal">
      <formula>AS_DURATION_EFFORT</formula>
    </cfRule>
    <cfRule type="cellIs" dxfId="630" priority="800" operator="equal">
      <formula>AS_DEV_EFFORT</formula>
    </cfRule>
  </conditionalFormatting>
  <conditionalFormatting sqref="AB101">
    <cfRule type="cellIs" dxfId="629" priority="797" operator="equal">
      <formula>AS_DURATION_EFFORT</formula>
    </cfRule>
    <cfRule type="cellIs" dxfId="628" priority="798" operator="equal">
      <formula>AS_DEV_EFFORT</formula>
    </cfRule>
  </conditionalFormatting>
  <conditionalFormatting sqref="AB102:AB103">
    <cfRule type="cellIs" dxfId="627" priority="795" operator="equal">
      <formula>AS_DURATION_EFFORT</formula>
    </cfRule>
    <cfRule type="cellIs" dxfId="626" priority="796" operator="equal">
      <formula>AS_DEV_EFFORT</formula>
    </cfRule>
  </conditionalFormatting>
  <conditionalFormatting sqref="AB105">
    <cfRule type="cellIs" dxfId="625" priority="793" operator="equal">
      <formula>AS_DURATION_EFFORT</formula>
    </cfRule>
    <cfRule type="cellIs" dxfId="624" priority="794" operator="equal">
      <formula>AS_DEV_EFFORT</formula>
    </cfRule>
  </conditionalFormatting>
  <conditionalFormatting sqref="P102">
    <cfRule type="cellIs" dxfId="623" priority="791" operator="equal">
      <formula>AS_DURATION_EFFORT</formula>
    </cfRule>
    <cfRule type="cellIs" dxfId="622" priority="792" operator="equal">
      <formula>AS_DEV_EFFORT</formula>
    </cfRule>
  </conditionalFormatting>
  <conditionalFormatting sqref="P103">
    <cfRule type="cellIs" dxfId="621" priority="789" operator="equal">
      <formula>AS_DURATION_EFFORT</formula>
    </cfRule>
    <cfRule type="cellIs" dxfId="620" priority="790" operator="equal">
      <formula>AS_DEV_EFFORT</formula>
    </cfRule>
  </conditionalFormatting>
  <conditionalFormatting sqref="P103">
    <cfRule type="cellIs" dxfId="619" priority="787" operator="equal">
      <formula>AS_DURATION_EFFORT</formula>
    </cfRule>
    <cfRule type="cellIs" dxfId="618" priority="788" operator="equal">
      <formula>AS_DEV_EFFORT</formula>
    </cfRule>
  </conditionalFormatting>
  <conditionalFormatting sqref="P104">
    <cfRule type="cellIs" dxfId="617" priority="785" operator="equal">
      <formula>AS_DURATION_EFFORT</formula>
    </cfRule>
    <cfRule type="cellIs" dxfId="616" priority="786" operator="equal">
      <formula>AS_DEV_EFFORT</formula>
    </cfRule>
  </conditionalFormatting>
  <conditionalFormatting sqref="P104">
    <cfRule type="cellIs" dxfId="615" priority="783" operator="equal">
      <formula>AS_DURATION_EFFORT</formula>
    </cfRule>
    <cfRule type="cellIs" dxfId="614" priority="784" operator="equal">
      <formula>AS_DEV_EFFORT</formula>
    </cfRule>
  </conditionalFormatting>
  <conditionalFormatting sqref="P104">
    <cfRule type="cellIs" dxfId="613" priority="781" operator="equal">
      <formula>AS_DURATION_EFFORT</formula>
    </cfRule>
    <cfRule type="cellIs" dxfId="612" priority="782" operator="equal">
      <formula>AS_DEV_EFFORT</formula>
    </cfRule>
  </conditionalFormatting>
  <conditionalFormatting sqref="P104">
    <cfRule type="cellIs" dxfId="611" priority="779" operator="equal">
      <formula>AS_DURATION_EFFORT</formula>
    </cfRule>
    <cfRule type="cellIs" dxfId="610" priority="780" operator="equal">
      <formula>AS_DEV_EFFORT</formula>
    </cfRule>
  </conditionalFormatting>
  <conditionalFormatting sqref="P105">
    <cfRule type="cellIs" dxfId="609" priority="777" operator="equal">
      <formula>AS_DURATION_EFFORT</formula>
    </cfRule>
    <cfRule type="cellIs" dxfId="608" priority="778" operator="equal">
      <formula>AS_DEV_EFFORT</formula>
    </cfRule>
  </conditionalFormatting>
  <conditionalFormatting sqref="P105">
    <cfRule type="cellIs" dxfId="607" priority="775" operator="equal">
      <formula>AS_DURATION_EFFORT</formula>
    </cfRule>
    <cfRule type="cellIs" dxfId="606" priority="776" operator="equal">
      <formula>AS_DEV_EFFORT</formula>
    </cfRule>
  </conditionalFormatting>
  <conditionalFormatting sqref="P105">
    <cfRule type="cellIs" dxfId="605" priority="773" operator="equal">
      <formula>AS_DURATION_EFFORT</formula>
    </cfRule>
    <cfRule type="cellIs" dxfId="604" priority="774" operator="equal">
      <formula>AS_DEV_EFFORT</formula>
    </cfRule>
  </conditionalFormatting>
  <conditionalFormatting sqref="P105">
    <cfRule type="cellIs" dxfId="603" priority="771" operator="equal">
      <formula>AS_DURATION_EFFORT</formula>
    </cfRule>
    <cfRule type="cellIs" dxfId="602" priority="772" operator="equal">
      <formula>AS_DEV_EFFORT</formula>
    </cfRule>
  </conditionalFormatting>
  <conditionalFormatting sqref="P105">
    <cfRule type="cellIs" dxfId="601" priority="769" operator="equal">
      <formula>AS_DURATION_EFFORT</formula>
    </cfRule>
    <cfRule type="cellIs" dxfId="600" priority="770" operator="equal">
      <formula>AS_DEV_EFFORT</formula>
    </cfRule>
  </conditionalFormatting>
  <conditionalFormatting sqref="P94">
    <cfRule type="cellIs" dxfId="599" priority="767" operator="equal">
      <formula>AS_DURATION_EFFORT</formula>
    </cfRule>
    <cfRule type="cellIs" dxfId="598" priority="768" operator="equal">
      <formula>AS_DEV_EFFORT</formula>
    </cfRule>
  </conditionalFormatting>
  <conditionalFormatting sqref="P95:P97">
    <cfRule type="cellIs" dxfId="597" priority="765" operator="equal">
      <formula>AS_DURATION_EFFORT</formula>
    </cfRule>
    <cfRule type="cellIs" dxfId="596" priority="766" operator="equal">
      <formula>AS_DEV_EFFORT</formula>
    </cfRule>
  </conditionalFormatting>
  <conditionalFormatting sqref="P95:P97">
    <cfRule type="cellIs" dxfId="595" priority="763" operator="equal">
      <formula>AS_DURATION_EFFORT</formula>
    </cfRule>
    <cfRule type="cellIs" dxfId="594" priority="764" operator="equal">
      <formula>AS_DEV_EFFORT</formula>
    </cfRule>
  </conditionalFormatting>
  <conditionalFormatting sqref="P81">
    <cfRule type="cellIs" dxfId="593" priority="761" operator="equal">
      <formula>AS_DURATION_EFFORT</formula>
    </cfRule>
    <cfRule type="cellIs" dxfId="592" priority="762" operator="equal">
      <formula>AS_DEV_EFFORT</formula>
    </cfRule>
  </conditionalFormatting>
  <conditionalFormatting sqref="P81">
    <cfRule type="cellIs" dxfId="591" priority="759" operator="equal">
      <formula>AS_DURATION_EFFORT</formula>
    </cfRule>
    <cfRule type="cellIs" dxfId="590" priority="760" operator="equal">
      <formula>AS_DEV_EFFORT</formula>
    </cfRule>
  </conditionalFormatting>
  <conditionalFormatting sqref="P82:P85">
    <cfRule type="cellIs" dxfId="589" priority="757" operator="equal">
      <formula>AS_DURATION_EFFORT</formula>
    </cfRule>
    <cfRule type="cellIs" dxfId="588" priority="758" operator="equal">
      <formula>AS_DEV_EFFORT</formula>
    </cfRule>
  </conditionalFormatting>
  <conditionalFormatting sqref="P82:P85">
    <cfRule type="cellIs" dxfId="587" priority="755" operator="equal">
      <formula>AS_DURATION_EFFORT</formula>
    </cfRule>
    <cfRule type="cellIs" dxfId="586" priority="756" operator="equal">
      <formula>AS_DEV_EFFORT</formula>
    </cfRule>
  </conditionalFormatting>
  <conditionalFormatting sqref="P82:P85">
    <cfRule type="cellIs" dxfId="585" priority="753" operator="equal">
      <formula>AS_DURATION_EFFORT</formula>
    </cfRule>
    <cfRule type="cellIs" dxfId="584" priority="754" operator="equal">
      <formula>AS_DEV_EFFORT</formula>
    </cfRule>
  </conditionalFormatting>
  <conditionalFormatting sqref="P73:P74">
    <cfRule type="cellIs" dxfId="583" priority="751" operator="equal">
      <formula>AS_DURATION_EFFORT</formula>
    </cfRule>
    <cfRule type="cellIs" dxfId="582" priority="752" operator="equal">
      <formula>AS_DEV_EFFORT</formula>
    </cfRule>
  </conditionalFormatting>
  <conditionalFormatting sqref="P73:P74">
    <cfRule type="cellIs" dxfId="581" priority="749" operator="equal">
      <formula>AS_DURATION_EFFORT</formula>
    </cfRule>
    <cfRule type="cellIs" dxfId="580" priority="750" operator="equal">
      <formula>AS_DEV_EFFORT</formula>
    </cfRule>
  </conditionalFormatting>
  <conditionalFormatting sqref="P73:P74">
    <cfRule type="cellIs" dxfId="579" priority="747" operator="equal">
      <formula>AS_DURATION_EFFORT</formula>
    </cfRule>
    <cfRule type="cellIs" dxfId="578" priority="748" operator="equal">
      <formula>AS_DEV_EFFORT</formula>
    </cfRule>
  </conditionalFormatting>
  <conditionalFormatting sqref="P75:P77">
    <cfRule type="expression" dxfId="577" priority="745">
      <formula>AND($G75="Yes", $S$6="Exclude")</formula>
    </cfRule>
    <cfRule type="expression" dxfId="576" priority="746">
      <formula>$J75="Yes"</formula>
    </cfRule>
  </conditionalFormatting>
  <conditionalFormatting sqref="P75:P77">
    <cfRule type="cellIs" dxfId="575" priority="743" operator="equal">
      <formula>AS_DURATION_EFFORT</formula>
    </cfRule>
    <cfRule type="cellIs" dxfId="574" priority="744" operator="equal">
      <formula>AS_DEV_EFFORT</formula>
    </cfRule>
  </conditionalFormatting>
  <conditionalFormatting sqref="P75:P77">
    <cfRule type="cellIs" dxfId="573" priority="741" operator="equal">
      <formula>AS_DURATION_EFFORT</formula>
    </cfRule>
    <cfRule type="cellIs" dxfId="572" priority="742" operator="equal">
      <formula>AS_DEV_EFFORT</formula>
    </cfRule>
  </conditionalFormatting>
  <conditionalFormatting sqref="P75:P77">
    <cfRule type="cellIs" dxfId="571" priority="739" operator="equal">
      <formula>AS_DURATION_EFFORT</formula>
    </cfRule>
    <cfRule type="cellIs" dxfId="570" priority="740" operator="equal">
      <formula>AS_DEV_EFFORT</formula>
    </cfRule>
  </conditionalFormatting>
  <conditionalFormatting sqref="P75:P77">
    <cfRule type="cellIs" dxfId="569" priority="737" operator="equal">
      <formula>AS_DURATION_EFFORT</formula>
    </cfRule>
    <cfRule type="cellIs" dxfId="568" priority="738" operator="equal">
      <formula>AS_DEV_EFFORT</formula>
    </cfRule>
  </conditionalFormatting>
  <conditionalFormatting sqref="P63">
    <cfRule type="cellIs" dxfId="567" priority="735" operator="equal">
      <formula>AS_DURATION_EFFORT</formula>
    </cfRule>
    <cfRule type="cellIs" dxfId="566" priority="736" operator="equal">
      <formula>AS_DEV_EFFORT</formula>
    </cfRule>
  </conditionalFormatting>
  <conditionalFormatting sqref="P63">
    <cfRule type="cellIs" dxfId="565" priority="733" operator="equal">
      <formula>AS_DURATION_EFFORT</formula>
    </cfRule>
    <cfRule type="cellIs" dxfId="564" priority="734" operator="equal">
      <formula>AS_DEV_EFFORT</formula>
    </cfRule>
  </conditionalFormatting>
  <conditionalFormatting sqref="P63">
    <cfRule type="cellIs" dxfId="563" priority="731" operator="equal">
      <formula>AS_DURATION_EFFORT</formula>
    </cfRule>
    <cfRule type="cellIs" dxfId="562" priority="732" operator="equal">
      <formula>AS_DEV_EFFORT</formula>
    </cfRule>
  </conditionalFormatting>
  <conditionalFormatting sqref="P63">
    <cfRule type="cellIs" dxfId="561" priority="729" operator="equal">
      <formula>AS_DURATION_EFFORT</formula>
    </cfRule>
    <cfRule type="cellIs" dxfId="560" priority="730" operator="equal">
      <formula>AS_DEV_EFFORT</formula>
    </cfRule>
  </conditionalFormatting>
  <conditionalFormatting sqref="P64">
    <cfRule type="cellIs" dxfId="559" priority="727" operator="equal">
      <formula>AS_DURATION_EFFORT</formula>
    </cfRule>
    <cfRule type="cellIs" dxfId="558" priority="728" operator="equal">
      <formula>AS_DEV_EFFORT</formula>
    </cfRule>
  </conditionalFormatting>
  <conditionalFormatting sqref="P64">
    <cfRule type="cellIs" dxfId="557" priority="725" operator="equal">
      <formula>AS_DURATION_EFFORT</formula>
    </cfRule>
    <cfRule type="cellIs" dxfId="556" priority="726" operator="equal">
      <formula>AS_DEV_EFFORT</formula>
    </cfRule>
  </conditionalFormatting>
  <conditionalFormatting sqref="P64">
    <cfRule type="cellIs" dxfId="555" priority="723" operator="equal">
      <formula>AS_DURATION_EFFORT</formula>
    </cfRule>
    <cfRule type="cellIs" dxfId="554" priority="724" operator="equal">
      <formula>AS_DEV_EFFORT</formula>
    </cfRule>
  </conditionalFormatting>
  <conditionalFormatting sqref="P64">
    <cfRule type="cellIs" dxfId="553" priority="721" operator="equal">
      <formula>AS_DURATION_EFFORT</formula>
    </cfRule>
    <cfRule type="cellIs" dxfId="552" priority="722" operator="equal">
      <formula>AS_DEV_EFFORT</formula>
    </cfRule>
  </conditionalFormatting>
  <conditionalFormatting sqref="P64">
    <cfRule type="cellIs" dxfId="551" priority="719" operator="equal">
      <formula>AS_DURATION_EFFORT</formula>
    </cfRule>
    <cfRule type="cellIs" dxfId="550" priority="720" operator="equal">
      <formula>AS_DEV_EFFORT</formula>
    </cfRule>
  </conditionalFormatting>
  <conditionalFormatting sqref="P16">
    <cfRule type="cellIs" dxfId="549" priority="717" operator="equal">
      <formula>AS_DURATION_EFFORT</formula>
    </cfRule>
    <cfRule type="cellIs" dxfId="548" priority="718" operator="equal">
      <formula>AS_DEV_EFFORT</formula>
    </cfRule>
  </conditionalFormatting>
  <conditionalFormatting sqref="P16">
    <cfRule type="cellIs" dxfId="547" priority="715" operator="equal">
      <formula>AS_DURATION_EFFORT</formula>
    </cfRule>
    <cfRule type="cellIs" dxfId="546" priority="716" operator="equal">
      <formula>AS_DEV_EFFORT</formula>
    </cfRule>
  </conditionalFormatting>
  <conditionalFormatting sqref="P16">
    <cfRule type="cellIs" dxfId="545" priority="713" operator="equal">
      <formula>AS_DURATION_EFFORT</formula>
    </cfRule>
    <cfRule type="cellIs" dxfId="544" priority="714" operator="equal">
      <formula>AS_DEV_EFFORT</formula>
    </cfRule>
  </conditionalFormatting>
  <conditionalFormatting sqref="P16">
    <cfRule type="cellIs" dxfId="543" priority="711" operator="equal">
      <formula>AS_DURATION_EFFORT</formula>
    </cfRule>
    <cfRule type="cellIs" dxfId="542" priority="712" operator="equal">
      <formula>AS_DEV_EFFORT</formula>
    </cfRule>
  </conditionalFormatting>
  <conditionalFormatting sqref="P16">
    <cfRule type="cellIs" dxfId="541" priority="709" operator="equal">
      <formula>AS_DURATION_EFFORT</formula>
    </cfRule>
    <cfRule type="cellIs" dxfId="540" priority="710" operator="equal">
      <formula>AS_DEV_EFFORT</formula>
    </cfRule>
  </conditionalFormatting>
  <conditionalFormatting sqref="P17">
    <cfRule type="cellIs" dxfId="539" priority="707" operator="equal">
      <formula>AS_DURATION_EFFORT</formula>
    </cfRule>
    <cfRule type="cellIs" dxfId="538" priority="708" operator="equal">
      <formula>AS_DEV_EFFORT</formula>
    </cfRule>
  </conditionalFormatting>
  <conditionalFormatting sqref="P17">
    <cfRule type="cellIs" dxfId="537" priority="705" operator="equal">
      <formula>AS_DURATION_EFFORT</formula>
    </cfRule>
    <cfRule type="cellIs" dxfId="536" priority="706" operator="equal">
      <formula>AS_DEV_EFFORT</formula>
    </cfRule>
  </conditionalFormatting>
  <conditionalFormatting sqref="P17">
    <cfRule type="cellIs" dxfId="535" priority="703" operator="equal">
      <formula>AS_DURATION_EFFORT</formula>
    </cfRule>
    <cfRule type="cellIs" dxfId="534" priority="704" operator="equal">
      <formula>AS_DEV_EFFORT</formula>
    </cfRule>
  </conditionalFormatting>
  <conditionalFormatting sqref="P17">
    <cfRule type="cellIs" dxfId="533" priority="701" operator="equal">
      <formula>AS_DURATION_EFFORT</formula>
    </cfRule>
    <cfRule type="cellIs" dxfId="532" priority="702" operator="equal">
      <formula>AS_DEV_EFFORT</formula>
    </cfRule>
  </conditionalFormatting>
  <conditionalFormatting sqref="P17">
    <cfRule type="cellIs" dxfId="531" priority="699" operator="equal">
      <formula>AS_DURATION_EFFORT</formula>
    </cfRule>
    <cfRule type="cellIs" dxfId="530" priority="700" operator="equal">
      <formula>AS_DEV_EFFORT</formula>
    </cfRule>
  </conditionalFormatting>
  <conditionalFormatting sqref="P17">
    <cfRule type="cellIs" dxfId="529" priority="697" operator="equal">
      <formula>AS_DURATION_EFFORT</formula>
    </cfRule>
    <cfRule type="cellIs" dxfId="528" priority="698" operator="equal">
      <formula>AS_DEV_EFFORT</formula>
    </cfRule>
  </conditionalFormatting>
  <conditionalFormatting sqref="P24">
    <cfRule type="cellIs" dxfId="527" priority="695" operator="equal">
      <formula>AS_DURATION_EFFORT</formula>
    </cfRule>
    <cfRule type="cellIs" dxfId="526" priority="696" operator="equal">
      <formula>AS_DEV_EFFORT</formula>
    </cfRule>
  </conditionalFormatting>
  <conditionalFormatting sqref="P24">
    <cfRule type="cellIs" dxfId="525" priority="693" operator="equal">
      <formula>AS_DURATION_EFFORT</formula>
    </cfRule>
    <cfRule type="cellIs" dxfId="524" priority="694" operator="equal">
      <formula>AS_DEV_EFFORT</formula>
    </cfRule>
  </conditionalFormatting>
  <conditionalFormatting sqref="P24">
    <cfRule type="cellIs" dxfId="523" priority="691" operator="equal">
      <formula>AS_DURATION_EFFORT</formula>
    </cfRule>
    <cfRule type="cellIs" dxfId="522" priority="692" operator="equal">
      <formula>AS_DEV_EFFORT</formula>
    </cfRule>
  </conditionalFormatting>
  <conditionalFormatting sqref="P24">
    <cfRule type="cellIs" dxfId="521" priority="689" operator="equal">
      <formula>AS_DURATION_EFFORT</formula>
    </cfRule>
    <cfRule type="cellIs" dxfId="520" priority="690" operator="equal">
      <formula>AS_DEV_EFFORT</formula>
    </cfRule>
  </conditionalFormatting>
  <conditionalFormatting sqref="P24">
    <cfRule type="cellIs" dxfId="519" priority="687" operator="equal">
      <formula>AS_DURATION_EFFORT</formula>
    </cfRule>
    <cfRule type="cellIs" dxfId="518" priority="688" operator="equal">
      <formula>AS_DEV_EFFORT</formula>
    </cfRule>
  </conditionalFormatting>
  <conditionalFormatting sqref="P42">
    <cfRule type="cellIs" dxfId="517" priority="685" operator="equal">
      <formula>AS_DURATION_EFFORT</formula>
    </cfRule>
    <cfRule type="cellIs" dxfId="516" priority="686" operator="equal">
      <formula>AS_DEV_EFFORT</formula>
    </cfRule>
  </conditionalFormatting>
  <conditionalFormatting sqref="P42">
    <cfRule type="cellIs" dxfId="515" priority="683" operator="equal">
      <formula>AS_DURATION_EFFORT</formula>
    </cfRule>
    <cfRule type="cellIs" dxfId="514" priority="684" operator="equal">
      <formula>AS_DEV_EFFORT</formula>
    </cfRule>
  </conditionalFormatting>
  <conditionalFormatting sqref="P42">
    <cfRule type="cellIs" dxfId="513" priority="681" operator="equal">
      <formula>AS_DURATION_EFFORT</formula>
    </cfRule>
    <cfRule type="cellIs" dxfId="512" priority="682" operator="equal">
      <formula>AS_DEV_EFFORT</formula>
    </cfRule>
  </conditionalFormatting>
  <conditionalFormatting sqref="P42">
    <cfRule type="cellIs" dxfId="511" priority="679" operator="equal">
      <formula>AS_DURATION_EFFORT</formula>
    </cfRule>
    <cfRule type="cellIs" dxfId="510" priority="680" operator="equal">
      <formula>AS_DEV_EFFORT</formula>
    </cfRule>
  </conditionalFormatting>
  <conditionalFormatting sqref="P42">
    <cfRule type="cellIs" dxfId="509" priority="677" operator="equal">
      <formula>AS_DURATION_EFFORT</formula>
    </cfRule>
    <cfRule type="cellIs" dxfId="508" priority="678" operator="equal">
      <formula>AS_DEV_EFFORT</formula>
    </cfRule>
  </conditionalFormatting>
  <conditionalFormatting sqref="P42">
    <cfRule type="cellIs" dxfId="507" priority="675" operator="equal">
      <formula>AS_DURATION_EFFORT</formula>
    </cfRule>
    <cfRule type="cellIs" dxfId="506" priority="676" operator="equal">
      <formula>AS_DEV_EFFORT</formula>
    </cfRule>
  </conditionalFormatting>
  <conditionalFormatting sqref="P68">
    <cfRule type="cellIs" dxfId="505" priority="673" operator="equal">
      <formula>AS_DURATION_EFFORT</formula>
    </cfRule>
    <cfRule type="cellIs" dxfId="504" priority="674" operator="equal">
      <formula>AS_DEV_EFFORT</formula>
    </cfRule>
  </conditionalFormatting>
  <conditionalFormatting sqref="P68">
    <cfRule type="cellIs" dxfId="503" priority="671" operator="equal">
      <formula>AS_DURATION_EFFORT</formula>
    </cfRule>
    <cfRule type="cellIs" dxfId="502" priority="672" operator="equal">
      <formula>AS_DEV_EFFORT</formula>
    </cfRule>
  </conditionalFormatting>
  <conditionalFormatting sqref="P68">
    <cfRule type="cellIs" dxfId="501" priority="669" operator="equal">
      <formula>AS_DURATION_EFFORT</formula>
    </cfRule>
    <cfRule type="cellIs" dxfId="500" priority="670" operator="equal">
      <formula>AS_DEV_EFFORT</formula>
    </cfRule>
  </conditionalFormatting>
  <conditionalFormatting sqref="P68">
    <cfRule type="cellIs" dxfId="499" priority="667" operator="equal">
      <formula>AS_DURATION_EFFORT</formula>
    </cfRule>
    <cfRule type="cellIs" dxfId="498" priority="668" operator="equal">
      <formula>AS_DEV_EFFORT</formula>
    </cfRule>
  </conditionalFormatting>
  <conditionalFormatting sqref="P68">
    <cfRule type="cellIs" dxfId="497" priority="665" operator="equal">
      <formula>AS_DURATION_EFFORT</formula>
    </cfRule>
    <cfRule type="cellIs" dxfId="496" priority="666" operator="equal">
      <formula>AS_DEV_EFFORT</formula>
    </cfRule>
  </conditionalFormatting>
  <conditionalFormatting sqref="P68">
    <cfRule type="cellIs" dxfId="495" priority="663" operator="equal">
      <formula>AS_DURATION_EFFORT</formula>
    </cfRule>
    <cfRule type="cellIs" dxfId="494" priority="664" operator="equal">
      <formula>AS_DEV_EFFORT</formula>
    </cfRule>
  </conditionalFormatting>
  <conditionalFormatting sqref="B112">
    <cfRule type="expression" dxfId="493" priority="660">
      <formula>AD112&lt;&gt;""</formula>
    </cfRule>
  </conditionalFormatting>
  <conditionalFormatting sqref="Z112">
    <cfRule type="cellIs" dxfId="492" priority="658" operator="greaterThan">
      <formula>0</formula>
    </cfRule>
    <cfRule type="cellIs" dxfId="491" priority="659" operator="lessThan">
      <formula>0</formula>
    </cfRule>
  </conditionalFormatting>
  <conditionalFormatting sqref="S112">
    <cfRule type="cellIs" dxfId="490" priority="657" operator="lessThan">
      <formula>0</formula>
    </cfRule>
  </conditionalFormatting>
  <conditionalFormatting sqref="P112">
    <cfRule type="cellIs" dxfId="489" priority="655" operator="equal">
      <formula>AS_DURATION_EFFORT</formula>
    </cfRule>
    <cfRule type="cellIs" dxfId="488" priority="656" operator="equal">
      <formula>AS_DEV_EFFORT</formula>
    </cfRule>
  </conditionalFormatting>
  <conditionalFormatting sqref="F112">
    <cfRule type="expression" dxfId="487" priority="654">
      <formula>$K112&lt;&gt;""</formula>
    </cfRule>
  </conditionalFormatting>
  <conditionalFormatting sqref="C112">
    <cfRule type="expression" dxfId="486" priority="653">
      <formula>$G112&lt;&gt;"-"</formula>
    </cfRule>
  </conditionalFormatting>
  <conditionalFormatting sqref="D112">
    <cfRule type="expression" dxfId="485" priority="652">
      <formula>$H112&lt;&gt;"-"</formula>
    </cfRule>
  </conditionalFormatting>
  <conditionalFormatting sqref="E112">
    <cfRule type="expression" dxfId="484" priority="651">
      <formula>$I112&lt;&gt;"-"</formula>
    </cfRule>
  </conditionalFormatting>
  <conditionalFormatting sqref="B113">
    <cfRule type="expression" dxfId="483" priority="648">
      <formula>AD113&lt;&gt;""</formula>
    </cfRule>
  </conditionalFormatting>
  <conditionalFormatting sqref="Z113">
    <cfRule type="cellIs" dxfId="482" priority="646" operator="greaterThan">
      <formula>0</formula>
    </cfRule>
    <cfRule type="cellIs" dxfId="481" priority="647" operator="lessThan">
      <formula>0</formula>
    </cfRule>
  </conditionalFormatting>
  <conditionalFormatting sqref="S113">
    <cfRule type="cellIs" dxfId="480" priority="645" operator="lessThan">
      <formula>0</formula>
    </cfRule>
  </conditionalFormatting>
  <conditionalFormatting sqref="P113">
    <cfRule type="cellIs" dxfId="479" priority="643" operator="equal">
      <formula>AS_DURATION_EFFORT</formula>
    </cfRule>
    <cfRule type="cellIs" dxfId="478" priority="644" operator="equal">
      <formula>AS_DEV_EFFORT</formula>
    </cfRule>
  </conditionalFormatting>
  <conditionalFormatting sqref="F113">
    <cfRule type="expression" dxfId="477" priority="642">
      <formula>$K113&lt;&gt;""</formula>
    </cfRule>
  </conditionalFormatting>
  <conditionalFormatting sqref="C113">
    <cfRule type="expression" dxfId="476" priority="641">
      <formula>$G113&lt;&gt;"-"</formula>
    </cfRule>
  </conditionalFormatting>
  <conditionalFormatting sqref="D113">
    <cfRule type="expression" dxfId="475" priority="640">
      <formula>$H113&lt;&gt;"-"</formula>
    </cfRule>
  </conditionalFormatting>
  <conditionalFormatting sqref="E113">
    <cfRule type="expression" dxfId="474" priority="639">
      <formula>$I113&lt;&gt;"-"</formula>
    </cfRule>
  </conditionalFormatting>
  <conditionalFormatting sqref="B117">
    <cfRule type="expression" dxfId="473" priority="635">
      <formula>AD117&lt;&gt;""</formula>
    </cfRule>
  </conditionalFormatting>
  <conditionalFormatting sqref="Z117">
    <cfRule type="cellIs" dxfId="472" priority="633" operator="greaterThan">
      <formula>0</formula>
    </cfRule>
    <cfRule type="cellIs" dxfId="471" priority="634" operator="lessThan">
      <formula>0</formula>
    </cfRule>
  </conditionalFormatting>
  <conditionalFormatting sqref="S117">
    <cfRule type="cellIs" dxfId="470" priority="632" operator="lessThan">
      <formula>0</formula>
    </cfRule>
  </conditionalFormatting>
  <conditionalFormatting sqref="T115:T116">
    <cfRule type="expression" dxfId="469" priority="636">
      <formula>#REF!="Yes"</formula>
    </cfRule>
  </conditionalFormatting>
  <conditionalFormatting sqref="P117">
    <cfRule type="cellIs" dxfId="468" priority="630" operator="equal">
      <formula>AS_DURATION_EFFORT</formula>
    </cfRule>
    <cfRule type="cellIs" dxfId="467" priority="631" operator="equal">
      <formula>AS_DEV_EFFORT</formula>
    </cfRule>
  </conditionalFormatting>
  <conditionalFormatting sqref="B115:B116">
    <cfRule type="expression" dxfId="466" priority="629">
      <formula>AD115&lt;&gt;""</formula>
    </cfRule>
  </conditionalFormatting>
  <conditionalFormatting sqref="F117">
    <cfRule type="expression" dxfId="465" priority="628">
      <formula>$K117&lt;&gt;""</formula>
    </cfRule>
  </conditionalFormatting>
  <conditionalFormatting sqref="C117">
    <cfRule type="expression" dxfId="464" priority="627">
      <formula>$G117&lt;&gt;"-"</formula>
    </cfRule>
  </conditionalFormatting>
  <conditionalFormatting sqref="D117">
    <cfRule type="expression" dxfId="463" priority="626">
      <formula>$H117&lt;&gt;"-"</formula>
    </cfRule>
  </conditionalFormatting>
  <conditionalFormatting sqref="E117">
    <cfRule type="expression" dxfId="462" priority="625">
      <formula>$I117&lt;&gt;"-"</formula>
    </cfRule>
  </conditionalFormatting>
  <conditionalFormatting sqref="B215">
    <cfRule type="expression" dxfId="461" priority="622">
      <formula>AD215&lt;&gt;""</formula>
    </cfRule>
  </conditionalFormatting>
  <conditionalFormatting sqref="Z215">
    <cfRule type="cellIs" dxfId="460" priority="620" operator="greaterThan">
      <formula>0</formula>
    </cfRule>
    <cfRule type="cellIs" dxfId="459" priority="621" operator="lessThan">
      <formula>0</formula>
    </cfRule>
  </conditionalFormatting>
  <conditionalFormatting sqref="S215">
    <cfRule type="cellIs" dxfId="458" priority="619" operator="lessThan">
      <formula>0</formula>
    </cfRule>
  </conditionalFormatting>
  <conditionalFormatting sqref="F215">
    <cfRule type="expression" dxfId="457" priority="616">
      <formula>$K215&lt;&gt;""</formula>
    </cfRule>
  </conditionalFormatting>
  <conditionalFormatting sqref="C215">
    <cfRule type="expression" dxfId="456" priority="615">
      <formula>$G215&lt;&gt;"-"</formula>
    </cfRule>
  </conditionalFormatting>
  <conditionalFormatting sqref="D215">
    <cfRule type="expression" dxfId="455" priority="614">
      <formula>$H215&lt;&gt;"-"</formula>
    </cfRule>
  </conditionalFormatting>
  <conditionalFormatting sqref="E215">
    <cfRule type="expression" dxfId="454" priority="613">
      <formula>$I215&lt;&gt;"-"</formula>
    </cfRule>
  </conditionalFormatting>
  <conditionalFormatting sqref="B217">
    <cfRule type="expression" dxfId="453" priority="610">
      <formula>AD217&lt;&gt;""</formula>
    </cfRule>
  </conditionalFormatting>
  <conditionalFormatting sqref="Z217">
    <cfRule type="cellIs" dxfId="452" priority="608" operator="greaterThan">
      <formula>0</formula>
    </cfRule>
    <cfRule type="cellIs" dxfId="451" priority="609" operator="lessThan">
      <formula>0</formula>
    </cfRule>
  </conditionalFormatting>
  <conditionalFormatting sqref="S217">
    <cfRule type="cellIs" dxfId="450" priority="607" operator="lessThan">
      <formula>0</formula>
    </cfRule>
  </conditionalFormatting>
  <conditionalFormatting sqref="P217">
    <cfRule type="cellIs" dxfId="449" priority="605" operator="equal">
      <formula>AS_DURATION_EFFORT</formula>
    </cfRule>
    <cfRule type="cellIs" dxfId="448" priority="606" operator="equal">
      <formula>AS_DEV_EFFORT</formula>
    </cfRule>
  </conditionalFormatting>
  <conditionalFormatting sqref="F217">
    <cfRule type="expression" dxfId="447" priority="604">
      <formula>$K217&lt;&gt;""</formula>
    </cfRule>
  </conditionalFormatting>
  <conditionalFormatting sqref="C217">
    <cfRule type="expression" dxfId="446" priority="603">
      <formula>$G217&lt;&gt;"-"</formula>
    </cfRule>
  </conditionalFormatting>
  <conditionalFormatting sqref="D217">
    <cfRule type="expression" dxfId="445" priority="602">
      <formula>$H217&lt;&gt;"-"</formula>
    </cfRule>
  </conditionalFormatting>
  <conditionalFormatting sqref="E217">
    <cfRule type="expression" dxfId="444" priority="601">
      <formula>$I217&lt;&gt;"-"</formula>
    </cfRule>
  </conditionalFormatting>
  <conditionalFormatting sqref="P215">
    <cfRule type="cellIs" dxfId="443" priority="597" operator="equal">
      <formula>AS_DURATION_EFFORT</formula>
    </cfRule>
    <cfRule type="cellIs" dxfId="442" priority="598" operator="equal">
      <formula>AS_DEV_EFFORT</formula>
    </cfRule>
  </conditionalFormatting>
  <conditionalFormatting sqref="B216">
    <cfRule type="expression" dxfId="441" priority="594">
      <formula>AD216&lt;&gt;""</formula>
    </cfRule>
  </conditionalFormatting>
  <conditionalFormatting sqref="Z216">
    <cfRule type="cellIs" dxfId="440" priority="592" operator="greaterThan">
      <formula>0</formula>
    </cfRule>
    <cfRule type="cellIs" dxfId="439" priority="593" operator="lessThan">
      <formula>0</formula>
    </cfRule>
  </conditionalFormatting>
  <conditionalFormatting sqref="S216">
    <cfRule type="cellIs" dxfId="438" priority="591" operator="lessThan">
      <formula>0</formula>
    </cfRule>
  </conditionalFormatting>
  <conditionalFormatting sqref="P216">
    <cfRule type="cellIs" dxfId="437" priority="589" operator="equal">
      <formula>AS_DURATION_EFFORT</formula>
    </cfRule>
    <cfRule type="cellIs" dxfId="436" priority="590" operator="equal">
      <formula>AS_DEV_EFFORT</formula>
    </cfRule>
  </conditionalFormatting>
  <conditionalFormatting sqref="F216">
    <cfRule type="expression" dxfId="435" priority="588">
      <formula>$K216&lt;&gt;""</formula>
    </cfRule>
  </conditionalFormatting>
  <conditionalFormatting sqref="C216">
    <cfRule type="expression" dxfId="434" priority="587">
      <formula>$G216&lt;&gt;"-"</formula>
    </cfRule>
  </conditionalFormatting>
  <conditionalFormatting sqref="D216">
    <cfRule type="expression" dxfId="433" priority="586">
      <formula>$H216&lt;&gt;"-"</formula>
    </cfRule>
  </conditionalFormatting>
  <conditionalFormatting sqref="E216">
    <cfRule type="expression" dxfId="432" priority="585">
      <formula>$I216&lt;&gt;"-"</formula>
    </cfRule>
  </conditionalFormatting>
  <conditionalFormatting sqref="B259">
    <cfRule type="expression" dxfId="431" priority="582">
      <formula>AD259&lt;&gt;""</formula>
    </cfRule>
  </conditionalFormatting>
  <conditionalFormatting sqref="Z259">
    <cfRule type="cellIs" dxfId="430" priority="580" operator="greaterThan">
      <formula>0</formula>
    </cfRule>
    <cfRule type="cellIs" dxfId="429" priority="581" operator="lessThan">
      <formula>0</formula>
    </cfRule>
  </conditionalFormatting>
  <conditionalFormatting sqref="S259">
    <cfRule type="cellIs" dxfId="428" priority="579" operator="lessThan">
      <formula>0</formula>
    </cfRule>
  </conditionalFormatting>
  <conditionalFormatting sqref="P259">
    <cfRule type="cellIs" dxfId="427" priority="577" operator="equal">
      <formula>AS_DURATION_EFFORT</formula>
    </cfRule>
    <cfRule type="cellIs" dxfId="426" priority="578" operator="equal">
      <formula>AS_DEV_EFFORT</formula>
    </cfRule>
  </conditionalFormatting>
  <conditionalFormatting sqref="F259">
    <cfRule type="expression" dxfId="425" priority="576">
      <formula>$K259&lt;&gt;""</formula>
    </cfRule>
  </conditionalFormatting>
  <conditionalFormatting sqref="C259">
    <cfRule type="expression" dxfId="424" priority="575">
      <formula>$G259&lt;&gt;"-"</formula>
    </cfRule>
  </conditionalFormatting>
  <conditionalFormatting sqref="D259">
    <cfRule type="expression" dxfId="423" priority="574">
      <formula>$H259&lt;&gt;"-"</formula>
    </cfRule>
  </conditionalFormatting>
  <conditionalFormatting sqref="E259">
    <cfRule type="expression" dxfId="422" priority="573">
      <formula>$I259&lt;&gt;"-"</formula>
    </cfRule>
  </conditionalFormatting>
  <conditionalFormatting sqref="B265">
    <cfRule type="expression" dxfId="421" priority="570">
      <formula>AD265&lt;&gt;""</formula>
    </cfRule>
  </conditionalFormatting>
  <conditionalFormatting sqref="Z265">
    <cfRule type="cellIs" dxfId="420" priority="568" operator="greaterThan">
      <formula>0</formula>
    </cfRule>
    <cfRule type="cellIs" dxfId="419" priority="569" operator="lessThan">
      <formula>0</formula>
    </cfRule>
  </conditionalFormatting>
  <conditionalFormatting sqref="S265">
    <cfRule type="cellIs" dxfId="418" priority="567" operator="lessThan">
      <formula>0</formula>
    </cfRule>
  </conditionalFormatting>
  <conditionalFormatting sqref="P265">
    <cfRule type="cellIs" dxfId="417" priority="565" operator="equal">
      <formula>AS_DURATION_EFFORT</formula>
    </cfRule>
    <cfRule type="cellIs" dxfId="416" priority="566" operator="equal">
      <formula>AS_DEV_EFFORT</formula>
    </cfRule>
  </conditionalFormatting>
  <conditionalFormatting sqref="F265">
    <cfRule type="expression" dxfId="415" priority="564">
      <formula>$K265&lt;&gt;""</formula>
    </cfRule>
  </conditionalFormatting>
  <conditionalFormatting sqref="C265">
    <cfRule type="expression" dxfId="414" priority="563">
      <formula>$G265&lt;&gt;"-"</formula>
    </cfRule>
  </conditionalFormatting>
  <conditionalFormatting sqref="D265">
    <cfRule type="expression" dxfId="413" priority="562">
      <formula>$H265&lt;&gt;"-"</formula>
    </cfRule>
  </conditionalFormatting>
  <conditionalFormatting sqref="E265">
    <cfRule type="expression" dxfId="412" priority="561">
      <formula>$I265&lt;&gt;"-"</formula>
    </cfRule>
  </conditionalFormatting>
  <conditionalFormatting sqref="B270">
    <cfRule type="expression" dxfId="411" priority="556">
      <formula>AD270&lt;&gt;""</formula>
    </cfRule>
  </conditionalFormatting>
  <conditionalFormatting sqref="Z270">
    <cfRule type="cellIs" dxfId="410" priority="554" operator="greaterThan">
      <formula>0</formula>
    </cfRule>
    <cfRule type="cellIs" dxfId="409" priority="555" operator="lessThan">
      <formula>0</formula>
    </cfRule>
  </conditionalFormatting>
  <conditionalFormatting sqref="S270">
    <cfRule type="cellIs" dxfId="408" priority="553" operator="lessThan">
      <formula>0</formula>
    </cfRule>
  </conditionalFormatting>
  <conditionalFormatting sqref="F270">
    <cfRule type="expression" dxfId="407" priority="550">
      <formula>$K270&lt;&gt;""</formula>
    </cfRule>
  </conditionalFormatting>
  <conditionalFormatting sqref="C270">
    <cfRule type="expression" dxfId="406" priority="549">
      <formula>$G270&lt;&gt;"-"</formula>
    </cfRule>
  </conditionalFormatting>
  <conditionalFormatting sqref="D270">
    <cfRule type="expression" dxfId="405" priority="548">
      <formula>$H270&lt;&gt;"-"</formula>
    </cfRule>
  </conditionalFormatting>
  <conditionalFormatting sqref="E270">
    <cfRule type="expression" dxfId="404" priority="547">
      <formula>$I270&lt;&gt;"-"</formula>
    </cfRule>
  </conditionalFormatting>
  <conditionalFormatting sqref="P270">
    <cfRule type="cellIs" dxfId="403" priority="541" operator="equal">
      <formula>AS_DURATION_EFFORT</formula>
    </cfRule>
    <cfRule type="cellIs" dxfId="402" priority="542" operator="equal">
      <formula>AS_DEV_EFFORT</formula>
    </cfRule>
  </conditionalFormatting>
  <conditionalFormatting sqref="B121">
    <cfRule type="expression" dxfId="401" priority="537">
      <formula>AD121&lt;&gt;""</formula>
    </cfRule>
  </conditionalFormatting>
  <conditionalFormatting sqref="Z121">
    <cfRule type="cellIs" dxfId="400" priority="535" operator="greaterThan">
      <formula>0</formula>
    </cfRule>
    <cfRule type="cellIs" dxfId="399" priority="536" operator="lessThan">
      <formula>0</formula>
    </cfRule>
  </conditionalFormatting>
  <conditionalFormatting sqref="S121">
    <cfRule type="cellIs" dxfId="398" priority="534" operator="lessThan">
      <formula>0</formula>
    </cfRule>
  </conditionalFormatting>
  <conditionalFormatting sqref="T119:T120">
    <cfRule type="expression" dxfId="397" priority="538">
      <formula>#REF!="Yes"</formula>
    </cfRule>
  </conditionalFormatting>
  <conditionalFormatting sqref="P121">
    <cfRule type="cellIs" dxfId="396" priority="532" operator="equal">
      <formula>AS_DURATION_EFFORT</formula>
    </cfRule>
    <cfRule type="cellIs" dxfId="395" priority="533" operator="equal">
      <formula>AS_DEV_EFFORT</formula>
    </cfRule>
  </conditionalFormatting>
  <conditionalFormatting sqref="B119:B120">
    <cfRule type="expression" dxfId="394" priority="531">
      <formula>AD119&lt;&gt;""</formula>
    </cfRule>
  </conditionalFormatting>
  <conditionalFormatting sqref="F121">
    <cfRule type="expression" dxfId="393" priority="530">
      <formula>$K121&lt;&gt;""</formula>
    </cfRule>
  </conditionalFormatting>
  <conditionalFormatting sqref="C121">
    <cfRule type="expression" dxfId="392" priority="529">
      <formula>$G121&lt;&gt;"-"</formula>
    </cfRule>
  </conditionalFormatting>
  <conditionalFormatting sqref="D121">
    <cfRule type="expression" dxfId="391" priority="528">
      <formula>$H121&lt;&gt;"-"</formula>
    </cfRule>
  </conditionalFormatting>
  <conditionalFormatting sqref="E121">
    <cfRule type="expression" dxfId="390" priority="527">
      <formula>$I121&lt;&gt;"-"</formula>
    </cfRule>
  </conditionalFormatting>
  <conditionalFormatting sqref="B122">
    <cfRule type="expression" dxfId="389" priority="524">
      <formula>AD122&lt;&gt;""</formula>
    </cfRule>
  </conditionalFormatting>
  <conditionalFormatting sqref="Z122">
    <cfRule type="cellIs" dxfId="388" priority="522" operator="greaterThan">
      <formula>0</formula>
    </cfRule>
    <cfRule type="cellIs" dxfId="387" priority="523" operator="lessThan">
      <formula>0</formula>
    </cfRule>
  </conditionalFormatting>
  <conditionalFormatting sqref="S122">
    <cfRule type="cellIs" dxfId="386" priority="521" operator="lessThan">
      <formula>0</formula>
    </cfRule>
  </conditionalFormatting>
  <conditionalFormatting sqref="P122">
    <cfRule type="cellIs" dxfId="385" priority="519" operator="equal">
      <formula>AS_DURATION_EFFORT</formula>
    </cfRule>
    <cfRule type="cellIs" dxfId="384" priority="520" operator="equal">
      <formula>AS_DEV_EFFORT</formula>
    </cfRule>
  </conditionalFormatting>
  <conditionalFormatting sqref="F122">
    <cfRule type="expression" dxfId="383" priority="518">
      <formula>$K122&lt;&gt;""</formula>
    </cfRule>
  </conditionalFormatting>
  <conditionalFormatting sqref="C122">
    <cfRule type="expression" dxfId="382" priority="517">
      <formula>$G122&lt;&gt;"-"</formula>
    </cfRule>
  </conditionalFormatting>
  <conditionalFormatting sqref="D122">
    <cfRule type="expression" dxfId="381" priority="516">
      <formula>$H122&lt;&gt;"-"</formula>
    </cfRule>
  </conditionalFormatting>
  <conditionalFormatting sqref="E122">
    <cfRule type="expression" dxfId="380" priority="515">
      <formula>$I122&lt;&gt;"-"</formula>
    </cfRule>
  </conditionalFormatting>
  <conditionalFormatting sqref="B126">
    <cfRule type="expression" dxfId="379" priority="511">
      <formula>AD126&lt;&gt;""</formula>
    </cfRule>
  </conditionalFormatting>
  <conditionalFormatting sqref="Z126">
    <cfRule type="cellIs" dxfId="378" priority="509" operator="greaterThan">
      <formula>0</formula>
    </cfRule>
    <cfRule type="cellIs" dxfId="377" priority="510" operator="lessThan">
      <formula>0</formula>
    </cfRule>
  </conditionalFormatting>
  <conditionalFormatting sqref="S126">
    <cfRule type="cellIs" dxfId="376" priority="508" operator="lessThan">
      <formula>0</formula>
    </cfRule>
  </conditionalFormatting>
  <conditionalFormatting sqref="T124:T125">
    <cfRule type="expression" dxfId="375" priority="512">
      <formula>#REF!="Yes"</formula>
    </cfRule>
  </conditionalFormatting>
  <conditionalFormatting sqref="P126">
    <cfRule type="cellIs" dxfId="374" priority="506" operator="equal">
      <formula>AS_DURATION_EFFORT</formula>
    </cfRule>
    <cfRule type="cellIs" dxfId="373" priority="507" operator="equal">
      <formula>AS_DEV_EFFORT</formula>
    </cfRule>
  </conditionalFormatting>
  <conditionalFormatting sqref="B124:B125">
    <cfRule type="expression" dxfId="372" priority="505">
      <formula>AD124&lt;&gt;""</formula>
    </cfRule>
  </conditionalFormatting>
  <conditionalFormatting sqref="F126">
    <cfRule type="expression" dxfId="371" priority="504">
      <formula>$K126&lt;&gt;""</formula>
    </cfRule>
  </conditionalFormatting>
  <conditionalFormatting sqref="C126">
    <cfRule type="expression" dxfId="370" priority="503">
      <formula>$G126&lt;&gt;"-"</formula>
    </cfRule>
  </conditionalFormatting>
  <conditionalFormatting sqref="D126">
    <cfRule type="expression" dxfId="369" priority="502">
      <formula>$H126&lt;&gt;"-"</formula>
    </cfRule>
  </conditionalFormatting>
  <conditionalFormatting sqref="E126">
    <cfRule type="expression" dxfId="368" priority="501">
      <formula>$I126&lt;&gt;"-"</formula>
    </cfRule>
  </conditionalFormatting>
  <conditionalFormatting sqref="B127">
    <cfRule type="expression" dxfId="367" priority="498">
      <formula>AD127&lt;&gt;""</formula>
    </cfRule>
  </conditionalFormatting>
  <conditionalFormatting sqref="Z127">
    <cfRule type="cellIs" dxfId="366" priority="496" operator="greaterThan">
      <formula>0</formula>
    </cfRule>
    <cfRule type="cellIs" dxfId="365" priority="497" operator="lessThan">
      <formula>0</formula>
    </cfRule>
  </conditionalFormatting>
  <conditionalFormatting sqref="S127">
    <cfRule type="cellIs" dxfId="364" priority="495" operator="lessThan">
      <formula>0</formula>
    </cfRule>
  </conditionalFormatting>
  <conditionalFormatting sqref="P127">
    <cfRule type="cellIs" dxfId="363" priority="493" operator="equal">
      <formula>AS_DURATION_EFFORT</formula>
    </cfRule>
    <cfRule type="cellIs" dxfId="362" priority="494" operator="equal">
      <formula>AS_DEV_EFFORT</formula>
    </cfRule>
  </conditionalFormatting>
  <conditionalFormatting sqref="F127">
    <cfRule type="expression" dxfId="361" priority="492">
      <formula>$K127&lt;&gt;""</formula>
    </cfRule>
  </conditionalFormatting>
  <conditionalFormatting sqref="C127">
    <cfRule type="expression" dxfId="360" priority="491">
      <formula>$G127&lt;&gt;"-"</formula>
    </cfRule>
  </conditionalFormatting>
  <conditionalFormatting sqref="D127">
    <cfRule type="expression" dxfId="359" priority="490">
      <formula>$H127&lt;&gt;"-"</formula>
    </cfRule>
  </conditionalFormatting>
  <conditionalFormatting sqref="E127">
    <cfRule type="expression" dxfId="358" priority="489">
      <formula>$I127&lt;&gt;"-"</formula>
    </cfRule>
  </conditionalFormatting>
  <conditionalFormatting sqref="B131">
    <cfRule type="expression" dxfId="357" priority="485">
      <formula>AD131&lt;&gt;""</formula>
    </cfRule>
  </conditionalFormatting>
  <conditionalFormatting sqref="Z131">
    <cfRule type="cellIs" dxfId="356" priority="483" operator="greaterThan">
      <formula>0</formula>
    </cfRule>
    <cfRule type="cellIs" dxfId="355" priority="484" operator="lessThan">
      <formula>0</formula>
    </cfRule>
  </conditionalFormatting>
  <conditionalFormatting sqref="S131">
    <cfRule type="cellIs" dxfId="354" priority="482" operator="lessThan">
      <formula>0</formula>
    </cfRule>
  </conditionalFormatting>
  <conditionalFormatting sqref="T129:T130">
    <cfRule type="expression" dxfId="353" priority="486">
      <formula>#REF!="Yes"</formula>
    </cfRule>
  </conditionalFormatting>
  <conditionalFormatting sqref="P131">
    <cfRule type="cellIs" dxfId="352" priority="480" operator="equal">
      <formula>AS_DURATION_EFFORT</formula>
    </cfRule>
    <cfRule type="cellIs" dxfId="351" priority="481" operator="equal">
      <formula>AS_DEV_EFFORT</formula>
    </cfRule>
  </conditionalFormatting>
  <conditionalFormatting sqref="B129:B130">
    <cfRule type="expression" dxfId="350" priority="479">
      <formula>AD129&lt;&gt;""</formula>
    </cfRule>
  </conditionalFormatting>
  <conditionalFormatting sqref="F131">
    <cfRule type="expression" dxfId="349" priority="478">
      <formula>$K131&lt;&gt;""</formula>
    </cfRule>
  </conditionalFormatting>
  <conditionalFormatting sqref="C131">
    <cfRule type="expression" dxfId="348" priority="477">
      <formula>$G131&lt;&gt;"-"</formula>
    </cfRule>
  </conditionalFormatting>
  <conditionalFormatting sqref="D131">
    <cfRule type="expression" dxfId="347" priority="476">
      <formula>$H131&lt;&gt;"-"</formula>
    </cfRule>
  </conditionalFormatting>
  <conditionalFormatting sqref="E131">
    <cfRule type="expression" dxfId="346" priority="475">
      <formula>$I131&lt;&gt;"-"</formula>
    </cfRule>
  </conditionalFormatting>
  <conditionalFormatting sqref="B135">
    <cfRule type="expression" dxfId="345" priority="471">
      <formula>AD135&lt;&gt;""</formula>
    </cfRule>
  </conditionalFormatting>
  <conditionalFormatting sqref="Z135">
    <cfRule type="cellIs" dxfId="344" priority="469" operator="greaterThan">
      <formula>0</formula>
    </cfRule>
    <cfRule type="cellIs" dxfId="343" priority="470" operator="lessThan">
      <formula>0</formula>
    </cfRule>
  </conditionalFormatting>
  <conditionalFormatting sqref="S135">
    <cfRule type="cellIs" dxfId="342" priority="468" operator="lessThan">
      <formula>0</formula>
    </cfRule>
  </conditionalFormatting>
  <conditionalFormatting sqref="T133:T134">
    <cfRule type="expression" dxfId="341" priority="472">
      <formula>#REF!="Yes"</formula>
    </cfRule>
  </conditionalFormatting>
  <conditionalFormatting sqref="P135">
    <cfRule type="cellIs" dxfId="340" priority="466" operator="equal">
      <formula>AS_DURATION_EFFORT</formula>
    </cfRule>
    <cfRule type="cellIs" dxfId="339" priority="467" operator="equal">
      <formula>AS_DEV_EFFORT</formula>
    </cfRule>
  </conditionalFormatting>
  <conditionalFormatting sqref="B133:B134">
    <cfRule type="expression" dxfId="338" priority="465">
      <formula>AD133&lt;&gt;""</formula>
    </cfRule>
  </conditionalFormatting>
  <conditionalFormatting sqref="F135">
    <cfRule type="expression" dxfId="337" priority="464">
      <formula>$K135&lt;&gt;""</formula>
    </cfRule>
  </conditionalFormatting>
  <conditionalFormatting sqref="C135">
    <cfRule type="expression" dxfId="336" priority="463">
      <formula>$G135&lt;&gt;"-"</formula>
    </cfRule>
  </conditionalFormatting>
  <conditionalFormatting sqref="D135">
    <cfRule type="expression" dxfId="335" priority="462">
      <formula>$H135&lt;&gt;"-"</formula>
    </cfRule>
  </conditionalFormatting>
  <conditionalFormatting sqref="E135">
    <cfRule type="expression" dxfId="334" priority="461">
      <formula>$I135&lt;&gt;"-"</formula>
    </cfRule>
  </conditionalFormatting>
  <conditionalFormatting sqref="B139">
    <cfRule type="expression" dxfId="333" priority="457">
      <formula>AD139&lt;&gt;""</formula>
    </cfRule>
  </conditionalFormatting>
  <conditionalFormatting sqref="Z139">
    <cfRule type="cellIs" dxfId="332" priority="455" operator="greaterThan">
      <formula>0</formula>
    </cfRule>
    <cfRule type="cellIs" dxfId="331" priority="456" operator="lessThan">
      <formula>0</formula>
    </cfRule>
  </conditionalFormatting>
  <conditionalFormatting sqref="S139">
    <cfRule type="cellIs" dxfId="330" priority="454" operator="lessThan">
      <formula>0</formula>
    </cfRule>
  </conditionalFormatting>
  <conditionalFormatting sqref="T137:T138">
    <cfRule type="expression" dxfId="329" priority="458">
      <formula>#REF!="Yes"</formula>
    </cfRule>
  </conditionalFormatting>
  <conditionalFormatting sqref="P139">
    <cfRule type="cellIs" dxfId="328" priority="452" operator="equal">
      <formula>AS_DURATION_EFFORT</formula>
    </cfRule>
    <cfRule type="cellIs" dxfId="327" priority="453" operator="equal">
      <formula>AS_DEV_EFFORT</formula>
    </cfRule>
  </conditionalFormatting>
  <conditionalFormatting sqref="B137:B138">
    <cfRule type="expression" dxfId="326" priority="451">
      <formula>AD137&lt;&gt;""</formula>
    </cfRule>
  </conditionalFormatting>
  <conditionalFormatting sqref="F139">
    <cfRule type="expression" dxfId="325" priority="450">
      <formula>$K139&lt;&gt;""</formula>
    </cfRule>
  </conditionalFormatting>
  <conditionalFormatting sqref="C139">
    <cfRule type="expression" dxfId="324" priority="449">
      <formula>$G139&lt;&gt;"-"</formula>
    </cfRule>
  </conditionalFormatting>
  <conditionalFormatting sqref="D139">
    <cfRule type="expression" dxfId="323" priority="448">
      <formula>$H139&lt;&gt;"-"</formula>
    </cfRule>
  </conditionalFormatting>
  <conditionalFormatting sqref="E139">
    <cfRule type="expression" dxfId="322" priority="447">
      <formula>$I139&lt;&gt;"-"</formula>
    </cfRule>
  </conditionalFormatting>
  <conditionalFormatting sqref="B140">
    <cfRule type="expression" dxfId="321" priority="444">
      <formula>AD140&lt;&gt;""</formula>
    </cfRule>
  </conditionalFormatting>
  <conditionalFormatting sqref="Z140">
    <cfRule type="cellIs" dxfId="320" priority="442" operator="greaterThan">
      <formula>0</formula>
    </cfRule>
    <cfRule type="cellIs" dxfId="319" priority="443" operator="lessThan">
      <formula>0</formula>
    </cfRule>
  </conditionalFormatting>
  <conditionalFormatting sqref="S140">
    <cfRule type="cellIs" dxfId="318" priority="441" operator="lessThan">
      <formula>0</formula>
    </cfRule>
  </conditionalFormatting>
  <conditionalFormatting sqref="P140">
    <cfRule type="cellIs" dxfId="317" priority="439" operator="equal">
      <formula>AS_DURATION_EFFORT</formula>
    </cfRule>
    <cfRule type="cellIs" dxfId="316" priority="440" operator="equal">
      <formula>AS_DEV_EFFORT</formula>
    </cfRule>
  </conditionalFormatting>
  <conditionalFormatting sqref="F140">
    <cfRule type="expression" dxfId="315" priority="438">
      <formula>$K140&lt;&gt;""</formula>
    </cfRule>
  </conditionalFormatting>
  <conditionalFormatting sqref="C140">
    <cfRule type="expression" dxfId="314" priority="437">
      <formula>$G140&lt;&gt;"-"</formula>
    </cfRule>
  </conditionalFormatting>
  <conditionalFormatting sqref="D140">
    <cfRule type="expression" dxfId="313" priority="436">
      <formula>$H140&lt;&gt;"-"</formula>
    </cfRule>
  </conditionalFormatting>
  <conditionalFormatting sqref="E140">
    <cfRule type="expression" dxfId="312" priority="435">
      <formula>$I140&lt;&gt;"-"</formula>
    </cfRule>
  </conditionalFormatting>
  <conditionalFormatting sqref="B144">
    <cfRule type="expression" dxfId="311" priority="431">
      <formula>AD144&lt;&gt;""</formula>
    </cfRule>
  </conditionalFormatting>
  <conditionalFormatting sqref="Z144">
    <cfRule type="cellIs" dxfId="310" priority="429" operator="greaterThan">
      <formula>0</formula>
    </cfRule>
    <cfRule type="cellIs" dxfId="309" priority="430" operator="lessThan">
      <formula>0</formula>
    </cfRule>
  </conditionalFormatting>
  <conditionalFormatting sqref="S144">
    <cfRule type="cellIs" dxfId="308" priority="428" operator="lessThan">
      <formula>0</formula>
    </cfRule>
  </conditionalFormatting>
  <conditionalFormatting sqref="T142:T143">
    <cfRule type="expression" dxfId="307" priority="432">
      <formula>#REF!="Yes"</formula>
    </cfRule>
  </conditionalFormatting>
  <conditionalFormatting sqref="P144">
    <cfRule type="cellIs" dxfId="306" priority="426" operator="equal">
      <formula>AS_DURATION_EFFORT</formula>
    </cfRule>
    <cfRule type="cellIs" dxfId="305" priority="427" operator="equal">
      <formula>AS_DEV_EFFORT</formula>
    </cfRule>
  </conditionalFormatting>
  <conditionalFormatting sqref="B142:B143">
    <cfRule type="expression" dxfId="304" priority="425">
      <formula>AD142&lt;&gt;""</formula>
    </cfRule>
  </conditionalFormatting>
  <conditionalFormatting sqref="F144">
    <cfRule type="expression" dxfId="303" priority="424">
      <formula>$K144&lt;&gt;""</formula>
    </cfRule>
  </conditionalFormatting>
  <conditionalFormatting sqref="C144">
    <cfRule type="expression" dxfId="302" priority="423">
      <formula>$G144&lt;&gt;"-"</formula>
    </cfRule>
  </conditionalFormatting>
  <conditionalFormatting sqref="D144">
    <cfRule type="expression" dxfId="301" priority="422">
      <formula>$H144&lt;&gt;"-"</formula>
    </cfRule>
  </conditionalFormatting>
  <conditionalFormatting sqref="E144">
    <cfRule type="expression" dxfId="300" priority="421">
      <formula>$I144&lt;&gt;"-"</formula>
    </cfRule>
  </conditionalFormatting>
  <conditionalFormatting sqref="B148">
    <cfRule type="expression" dxfId="299" priority="417">
      <formula>AD148&lt;&gt;""</formula>
    </cfRule>
  </conditionalFormatting>
  <conditionalFormatting sqref="Z148">
    <cfRule type="cellIs" dxfId="298" priority="415" operator="greaterThan">
      <formula>0</formula>
    </cfRule>
    <cfRule type="cellIs" dxfId="297" priority="416" operator="lessThan">
      <formula>0</formula>
    </cfRule>
  </conditionalFormatting>
  <conditionalFormatting sqref="S148">
    <cfRule type="cellIs" dxfId="296" priority="414" operator="lessThan">
      <formula>0</formula>
    </cfRule>
  </conditionalFormatting>
  <conditionalFormatting sqref="T146:T147">
    <cfRule type="expression" dxfId="295" priority="418">
      <formula>#REF!="Yes"</formula>
    </cfRule>
  </conditionalFormatting>
  <conditionalFormatting sqref="P148">
    <cfRule type="cellIs" dxfId="294" priority="412" operator="equal">
      <formula>AS_DURATION_EFFORT</formula>
    </cfRule>
    <cfRule type="cellIs" dxfId="293" priority="413" operator="equal">
      <formula>AS_DEV_EFFORT</formula>
    </cfRule>
  </conditionalFormatting>
  <conditionalFormatting sqref="B146:B147">
    <cfRule type="expression" dxfId="292" priority="411">
      <formula>AD146&lt;&gt;""</formula>
    </cfRule>
  </conditionalFormatting>
  <conditionalFormatting sqref="F148">
    <cfRule type="expression" dxfId="291" priority="410">
      <formula>$K148&lt;&gt;""</formula>
    </cfRule>
  </conditionalFormatting>
  <conditionalFormatting sqref="C148">
    <cfRule type="expression" dxfId="290" priority="409">
      <formula>$G148&lt;&gt;"-"</formula>
    </cfRule>
  </conditionalFormatting>
  <conditionalFormatting sqref="D148">
    <cfRule type="expression" dxfId="289" priority="408">
      <formula>$H148&lt;&gt;"-"</formula>
    </cfRule>
  </conditionalFormatting>
  <conditionalFormatting sqref="E148">
    <cfRule type="expression" dxfId="288" priority="407">
      <formula>$I148&lt;&gt;"-"</formula>
    </cfRule>
  </conditionalFormatting>
  <conditionalFormatting sqref="B152">
    <cfRule type="expression" dxfId="287" priority="403">
      <formula>AD152&lt;&gt;""</formula>
    </cfRule>
  </conditionalFormatting>
  <conditionalFormatting sqref="Z152">
    <cfRule type="cellIs" dxfId="286" priority="401" operator="greaterThan">
      <formula>0</formula>
    </cfRule>
    <cfRule type="cellIs" dxfId="285" priority="402" operator="lessThan">
      <formula>0</formula>
    </cfRule>
  </conditionalFormatting>
  <conditionalFormatting sqref="S152">
    <cfRule type="cellIs" dxfId="284" priority="400" operator="lessThan">
      <formula>0</formula>
    </cfRule>
  </conditionalFormatting>
  <conditionalFormatting sqref="T150:T151">
    <cfRule type="expression" dxfId="283" priority="404">
      <formula>#REF!="Yes"</formula>
    </cfRule>
  </conditionalFormatting>
  <conditionalFormatting sqref="P152">
    <cfRule type="cellIs" dxfId="282" priority="398" operator="equal">
      <formula>AS_DURATION_EFFORT</formula>
    </cfRule>
    <cfRule type="cellIs" dxfId="281" priority="399" operator="equal">
      <formula>AS_DEV_EFFORT</formula>
    </cfRule>
  </conditionalFormatting>
  <conditionalFormatting sqref="B150:B151">
    <cfRule type="expression" dxfId="280" priority="397">
      <formula>AD150&lt;&gt;""</formula>
    </cfRule>
  </conditionalFormatting>
  <conditionalFormatting sqref="F152">
    <cfRule type="expression" dxfId="279" priority="396">
      <formula>$K152&lt;&gt;""</formula>
    </cfRule>
  </conditionalFormatting>
  <conditionalFormatting sqref="C152">
    <cfRule type="expression" dxfId="278" priority="395">
      <formula>$G152&lt;&gt;"-"</formula>
    </cfRule>
  </conditionalFormatting>
  <conditionalFormatting sqref="D152">
    <cfRule type="expression" dxfId="277" priority="394">
      <formula>$H152&lt;&gt;"-"</formula>
    </cfRule>
  </conditionalFormatting>
  <conditionalFormatting sqref="E152">
    <cfRule type="expression" dxfId="276" priority="393">
      <formula>$I152&lt;&gt;"-"</formula>
    </cfRule>
  </conditionalFormatting>
  <conditionalFormatting sqref="B153">
    <cfRule type="expression" dxfId="275" priority="390">
      <formula>AD153&lt;&gt;""</formula>
    </cfRule>
  </conditionalFormatting>
  <conditionalFormatting sqref="Z153">
    <cfRule type="cellIs" dxfId="274" priority="388" operator="greaterThan">
      <formula>0</formula>
    </cfRule>
    <cfRule type="cellIs" dxfId="273" priority="389" operator="lessThan">
      <formula>0</formula>
    </cfRule>
  </conditionalFormatting>
  <conditionalFormatting sqref="S153">
    <cfRule type="cellIs" dxfId="272" priority="387" operator="lessThan">
      <formula>0</formula>
    </cfRule>
  </conditionalFormatting>
  <conditionalFormatting sqref="P153">
    <cfRule type="cellIs" dxfId="271" priority="385" operator="equal">
      <formula>AS_DURATION_EFFORT</formula>
    </cfRule>
    <cfRule type="cellIs" dxfId="270" priority="386" operator="equal">
      <formula>AS_DEV_EFFORT</formula>
    </cfRule>
  </conditionalFormatting>
  <conditionalFormatting sqref="F153">
    <cfRule type="expression" dxfId="269" priority="384">
      <formula>$K153&lt;&gt;""</formula>
    </cfRule>
  </conditionalFormatting>
  <conditionalFormatting sqref="C153">
    <cfRule type="expression" dxfId="268" priority="383">
      <formula>$G153&lt;&gt;"-"</formula>
    </cfRule>
  </conditionalFormatting>
  <conditionalFormatting sqref="D153">
    <cfRule type="expression" dxfId="267" priority="382">
      <formula>$H153&lt;&gt;"-"</formula>
    </cfRule>
  </conditionalFormatting>
  <conditionalFormatting sqref="E153">
    <cfRule type="expression" dxfId="266" priority="381">
      <formula>$I153&lt;&gt;"-"</formula>
    </cfRule>
  </conditionalFormatting>
  <conditionalFormatting sqref="B154">
    <cfRule type="expression" dxfId="265" priority="378">
      <formula>AD154&lt;&gt;""</formula>
    </cfRule>
  </conditionalFormatting>
  <conditionalFormatting sqref="Z154">
    <cfRule type="cellIs" dxfId="264" priority="376" operator="greaterThan">
      <formula>0</formula>
    </cfRule>
    <cfRule type="cellIs" dxfId="263" priority="377" operator="lessThan">
      <formula>0</formula>
    </cfRule>
  </conditionalFormatting>
  <conditionalFormatting sqref="S154">
    <cfRule type="cellIs" dxfId="262" priority="375" operator="lessThan">
      <formula>0</formula>
    </cfRule>
  </conditionalFormatting>
  <conditionalFormatting sqref="P154">
    <cfRule type="cellIs" dxfId="261" priority="373" operator="equal">
      <formula>AS_DURATION_EFFORT</formula>
    </cfRule>
    <cfRule type="cellIs" dxfId="260" priority="374" operator="equal">
      <formula>AS_DEV_EFFORT</formula>
    </cfRule>
  </conditionalFormatting>
  <conditionalFormatting sqref="F154">
    <cfRule type="expression" dxfId="259" priority="372">
      <formula>$K154&lt;&gt;""</formula>
    </cfRule>
  </conditionalFormatting>
  <conditionalFormatting sqref="C154">
    <cfRule type="expression" dxfId="258" priority="371">
      <formula>$G154&lt;&gt;"-"</formula>
    </cfRule>
  </conditionalFormatting>
  <conditionalFormatting sqref="D154">
    <cfRule type="expression" dxfId="257" priority="370">
      <formula>$H154&lt;&gt;"-"</formula>
    </cfRule>
  </conditionalFormatting>
  <conditionalFormatting sqref="E154">
    <cfRule type="expression" dxfId="256" priority="369">
      <formula>$I154&lt;&gt;"-"</formula>
    </cfRule>
  </conditionalFormatting>
  <conditionalFormatting sqref="B158">
    <cfRule type="expression" dxfId="255" priority="365">
      <formula>AD158&lt;&gt;""</formula>
    </cfRule>
  </conditionalFormatting>
  <conditionalFormatting sqref="Z158">
    <cfRule type="cellIs" dxfId="254" priority="363" operator="greaterThan">
      <formula>0</formula>
    </cfRule>
    <cfRule type="cellIs" dxfId="253" priority="364" operator="lessThan">
      <formula>0</formula>
    </cfRule>
  </conditionalFormatting>
  <conditionalFormatting sqref="S158">
    <cfRule type="cellIs" dxfId="252" priority="362" operator="lessThan">
      <formula>0</formula>
    </cfRule>
  </conditionalFormatting>
  <conditionalFormatting sqref="T156:T157">
    <cfRule type="expression" dxfId="251" priority="366">
      <formula>#REF!="Yes"</formula>
    </cfRule>
  </conditionalFormatting>
  <conditionalFormatting sqref="P158">
    <cfRule type="cellIs" dxfId="250" priority="360" operator="equal">
      <formula>AS_DURATION_EFFORT</formula>
    </cfRule>
    <cfRule type="cellIs" dxfId="249" priority="361" operator="equal">
      <formula>AS_DEV_EFFORT</formula>
    </cfRule>
  </conditionalFormatting>
  <conditionalFormatting sqref="B156:B157">
    <cfRule type="expression" dxfId="248" priority="359">
      <formula>AD156&lt;&gt;""</formula>
    </cfRule>
  </conditionalFormatting>
  <conditionalFormatting sqref="F158">
    <cfRule type="expression" dxfId="247" priority="358">
      <formula>$K158&lt;&gt;""</formula>
    </cfRule>
  </conditionalFormatting>
  <conditionalFormatting sqref="C158">
    <cfRule type="expression" dxfId="246" priority="357">
      <formula>$G158&lt;&gt;"-"</formula>
    </cfRule>
  </conditionalFormatting>
  <conditionalFormatting sqref="D158">
    <cfRule type="expression" dxfId="245" priority="356">
      <formula>$H158&lt;&gt;"-"</formula>
    </cfRule>
  </conditionalFormatting>
  <conditionalFormatting sqref="E158">
    <cfRule type="expression" dxfId="244" priority="355">
      <formula>$I158&lt;&gt;"-"</formula>
    </cfRule>
  </conditionalFormatting>
  <conditionalFormatting sqref="B159">
    <cfRule type="expression" dxfId="243" priority="352">
      <formula>AD159&lt;&gt;""</formula>
    </cfRule>
  </conditionalFormatting>
  <conditionalFormatting sqref="Z159">
    <cfRule type="cellIs" dxfId="242" priority="350" operator="greaterThan">
      <formula>0</formula>
    </cfRule>
    <cfRule type="cellIs" dxfId="241" priority="351" operator="lessThan">
      <formula>0</formula>
    </cfRule>
  </conditionalFormatting>
  <conditionalFormatting sqref="S159">
    <cfRule type="cellIs" dxfId="240" priority="349" operator="lessThan">
      <formula>0</formula>
    </cfRule>
  </conditionalFormatting>
  <conditionalFormatting sqref="P159">
    <cfRule type="cellIs" dxfId="239" priority="347" operator="equal">
      <formula>AS_DURATION_EFFORT</formula>
    </cfRule>
    <cfRule type="cellIs" dxfId="238" priority="348" operator="equal">
      <formula>AS_DEV_EFFORT</formula>
    </cfRule>
  </conditionalFormatting>
  <conditionalFormatting sqref="F159">
    <cfRule type="expression" dxfId="237" priority="346">
      <formula>$K159&lt;&gt;""</formula>
    </cfRule>
  </conditionalFormatting>
  <conditionalFormatting sqref="C159">
    <cfRule type="expression" dxfId="236" priority="345">
      <formula>$G159&lt;&gt;"-"</formula>
    </cfRule>
  </conditionalFormatting>
  <conditionalFormatting sqref="D159">
    <cfRule type="expression" dxfId="235" priority="344">
      <formula>$H159&lt;&gt;"-"</formula>
    </cfRule>
  </conditionalFormatting>
  <conditionalFormatting sqref="E159">
    <cfRule type="expression" dxfId="234" priority="343">
      <formula>$I159&lt;&gt;"-"</formula>
    </cfRule>
  </conditionalFormatting>
  <conditionalFormatting sqref="B163">
    <cfRule type="expression" dxfId="233" priority="339">
      <formula>AD163&lt;&gt;""</formula>
    </cfRule>
  </conditionalFormatting>
  <conditionalFormatting sqref="Z163">
    <cfRule type="cellIs" dxfId="232" priority="337" operator="greaterThan">
      <formula>0</formula>
    </cfRule>
    <cfRule type="cellIs" dxfId="231" priority="338" operator="lessThan">
      <formula>0</formula>
    </cfRule>
  </conditionalFormatting>
  <conditionalFormatting sqref="S163">
    <cfRule type="cellIs" dxfId="230" priority="336" operator="lessThan">
      <formula>0</formula>
    </cfRule>
  </conditionalFormatting>
  <conditionalFormatting sqref="T161:T162">
    <cfRule type="expression" dxfId="229" priority="340">
      <formula>#REF!="Yes"</formula>
    </cfRule>
  </conditionalFormatting>
  <conditionalFormatting sqref="P163">
    <cfRule type="cellIs" dxfId="228" priority="334" operator="equal">
      <formula>AS_DURATION_EFFORT</formula>
    </cfRule>
    <cfRule type="cellIs" dxfId="227" priority="335" operator="equal">
      <formula>AS_DEV_EFFORT</formula>
    </cfRule>
  </conditionalFormatting>
  <conditionalFormatting sqref="B161:B162">
    <cfRule type="expression" dxfId="226" priority="333">
      <formula>AD161&lt;&gt;""</formula>
    </cfRule>
  </conditionalFormatting>
  <conditionalFormatting sqref="F163">
    <cfRule type="expression" dxfId="225" priority="332">
      <formula>$K163&lt;&gt;""</formula>
    </cfRule>
  </conditionalFormatting>
  <conditionalFormatting sqref="C163">
    <cfRule type="expression" dxfId="224" priority="331">
      <formula>$G163&lt;&gt;"-"</formula>
    </cfRule>
  </conditionalFormatting>
  <conditionalFormatting sqref="D163">
    <cfRule type="expression" dxfId="223" priority="330">
      <formula>$H163&lt;&gt;"-"</formula>
    </cfRule>
  </conditionalFormatting>
  <conditionalFormatting sqref="E163">
    <cfRule type="expression" dxfId="222" priority="329">
      <formula>$I163&lt;&gt;"-"</formula>
    </cfRule>
  </conditionalFormatting>
  <conditionalFormatting sqref="B167">
    <cfRule type="expression" dxfId="221" priority="325">
      <formula>AD167&lt;&gt;""</formula>
    </cfRule>
  </conditionalFormatting>
  <conditionalFormatting sqref="Z167">
    <cfRule type="cellIs" dxfId="220" priority="323" operator="greaterThan">
      <formula>0</formula>
    </cfRule>
    <cfRule type="cellIs" dxfId="219" priority="324" operator="lessThan">
      <formula>0</formula>
    </cfRule>
  </conditionalFormatting>
  <conditionalFormatting sqref="S167">
    <cfRule type="cellIs" dxfId="218" priority="322" operator="lessThan">
      <formula>0</formula>
    </cfRule>
  </conditionalFormatting>
  <conditionalFormatting sqref="T165:T166">
    <cfRule type="expression" dxfId="217" priority="326">
      <formula>#REF!="Yes"</formula>
    </cfRule>
  </conditionalFormatting>
  <conditionalFormatting sqref="P167">
    <cfRule type="cellIs" dxfId="216" priority="320" operator="equal">
      <formula>AS_DURATION_EFFORT</formula>
    </cfRule>
    <cfRule type="cellIs" dxfId="215" priority="321" operator="equal">
      <formula>AS_DEV_EFFORT</formula>
    </cfRule>
  </conditionalFormatting>
  <conditionalFormatting sqref="B165:B166">
    <cfRule type="expression" dxfId="214" priority="319">
      <formula>AD165&lt;&gt;""</formula>
    </cfRule>
  </conditionalFormatting>
  <conditionalFormatting sqref="F167">
    <cfRule type="expression" dxfId="213" priority="318">
      <formula>$K167&lt;&gt;""</formula>
    </cfRule>
  </conditionalFormatting>
  <conditionalFormatting sqref="C167">
    <cfRule type="expression" dxfId="212" priority="317">
      <formula>$G167&lt;&gt;"-"</formula>
    </cfRule>
  </conditionalFormatting>
  <conditionalFormatting sqref="D167">
    <cfRule type="expression" dxfId="211" priority="316">
      <formula>$H167&lt;&gt;"-"</formula>
    </cfRule>
  </conditionalFormatting>
  <conditionalFormatting sqref="E167">
    <cfRule type="expression" dxfId="210" priority="315">
      <formula>$I167&lt;&gt;"-"</formula>
    </cfRule>
  </conditionalFormatting>
  <conditionalFormatting sqref="B171">
    <cfRule type="expression" dxfId="209" priority="311">
      <formula>AD171&lt;&gt;""</formula>
    </cfRule>
  </conditionalFormatting>
  <conditionalFormatting sqref="Z171">
    <cfRule type="cellIs" dxfId="208" priority="309" operator="greaterThan">
      <formula>0</formula>
    </cfRule>
    <cfRule type="cellIs" dxfId="207" priority="310" operator="lessThan">
      <formula>0</formula>
    </cfRule>
  </conditionalFormatting>
  <conditionalFormatting sqref="S171">
    <cfRule type="cellIs" dxfId="206" priority="308" operator="lessThan">
      <formula>0</formula>
    </cfRule>
  </conditionalFormatting>
  <conditionalFormatting sqref="T169:T170">
    <cfRule type="expression" dxfId="205" priority="312">
      <formula>#REF!="Yes"</formula>
    </cfRule>
  </conditionalFormatting>
  <conditionalFormatting sqref="P171">
    <cfRule type="cellIs" dxfId="204" priority="306" operator="equal">
      <formula>AS_DURATION_EFFORT</formula>
    </cfRule>
    <cfRule type="cellIs" dxfId="203" priority="307" operator="equal">
      <formula>AS_DEV_EFFORT</formula>
    </cfRule>
  </conditionalFormatting>
  <conditionalFormatting sqref="B169:B170">
    <cfRule type="expression" dxfId="202" priority="305">
      <formula>AD169&lt;&gt;""</formula>
    </cfRule>
  </conditionalFormatting>
  <conditionalFormatting sqref="F171">
    <cfRule type="expression" dxfId="201" priority="304">
      <formula>$K171&lt;&gt;""</formula>
    </cfRule>
  </conditionalFormatting>
  <conditionalFormatting sqref="C171">
    <cfRule type="expression" dxfId="200" priority="303">
      <formula>$G171&lt;&gt;"-"</formula>
    </cfRule>
  </conditionalFormatting>
  <conditionalFormatting sqref="D171">
    <cfRule type="expression" dxfId="199" priority="302">
      <formula>$H171&lt;&gt;"-"</formula>
    </cfRule>
  </conditionalFormatting>
  <conditionalFormatting sqref="E171">
    <cfRule type="expression" dxfId="198" priority="301">
      <formula>$I171&lt;&gt;"-"</formula>
    </cfRule>
  </conditionalFormatting>
  <conditionalFormatting sqref="B173">
    <cfRule type="expression" dxfId="197" priority="298">
      <formula>AD173&lt;&gt;""</formula>
    </cfRule>
  </conditionalFormatting>
  <conditionalFormatting sqref="Z173">
    <cfRule type="cellIs" dxfId="196" priority="296" operator="greaterThan">
      <formula>0</formula>
    </cfRule>
    <cfRule type="cellIs" dxfId="195" priority="297" operator="lessThan">
      <formula>0</formula>
    </cfRule>
  </conditionalFormatting>
  <conditionalFormatting sqref="S173">
    <cfRule type="cellIs" dxfId="194" priority="295" operator="lessThan">
      <formula>0</formula>
    </cfRule>
  </conditionalFormatting>
  <conditionalFormatting sqref="P173">
    <cfRule type="cellIs" dxfId="193" priority="293" operator="equal">
      <formula>AS_DURATION_EFFORT</formula>
    </cfRule>
    <cfRule type="cellIs" dxfId="192" priority="294" operator="equal">
      <formula>AS_DEV_EFFORT</formula>
    </cfRule>
  </conditionalFormatting>
  <conditionalFormatting sqref="F173">
    <cfRule type="expression" dxfId="191" priority="292">
      <formula>$K173&lt;&gt;""</formula>
    </cfRule>
  </conditionalFormatting>
  <conditionalFormatting sqref="C173">
    <cfRule type="expression" dxfId="190" priority="291">
      <formula>$G173&lt;&gt;"-"</formula>
    </cfRule>
  </conditionalFormatting>
  <conditionalFormatting sqref="D173">
    <cfRule type="expression" dxfId="189" priority="290">
      <formula>$H173&lt;&gt;"-"</formula>
    </cfRule>
  </conditionalFormatting>
  <conditionalFormatting sqref="E173">
    <cfRule type="expression" dxfId="188" priority="289">
      <formula>$I173&lt;&gt;"-"</formula>
    </cfRule>
  </conditionalFormatting>
  <conditionalFormatting sqref="B172">
    <cfRule type="expression" dxfId="187" priority="274">
      <formula>AD172&lt;&gt;""</formula>
    </cfRule>
  </conditionalFormatting>
  <conditionalFormatting sqref="Z172">
    <cfRule type="cellIs" dxfId="186" priority="272" operator="greaterThan">
      <formula>0</formula>
    </cfRule>
    <cfRule type="cellIs" dxfId="185" priority="273" operator="lessThan">
      <formula>0</formula>
    </cfRule>
  </conditionalFormatting>
  <conditionalFormatting sqref="S172">
    <cfRule type="cellIs" dxfId="184" priority="271" operator="lessThan">
      <formula>0</formula>
    </cfRule>
  </conditionalFormatting>
  <conditionalFormatting sqref="P172">
    <cfRule type="cellIs" dxfId="183" priority="269" operator="equal">
      <formula>AS_DURATION_EFFORT</formula>
    </cfRule>
    <cfRule type="cellIs" dxfId="182" priority="270" operator="equal">
      <formula>AS_DEV_EFFORT</formula>
    </cfRule>
  </conditionalFormatting>
  <conditionalFormatting sqref="F172">
    <cfRule type="expression" dxfId="181" priority="268">
      <formula>$K172&lt;&gt;""</formula>
    </cfRule>
  </conditionalFormatting>
  <conditionalFormatting sqref="C172">
    <cfRule type="expression" dxfId="180" priority="267">
      <formula>$G172&lt;&gt;"-"</formula>
    </cfRule>
  </conditionalFormatting>
  <conditionalFormatting sqref="D172">
    <cfRule type="expression" dxfId="179" priority="266">
      <formula>$H172&lt;&gt;"-"</formula>
    </cfRule>
  </conditionalFormatting>
  <conditionalFormatting sqref="E172">
    <cfRule type="expression" dxfId="178" priority="265">
      <formula>$I172&lt;&gt;"-"</formula>
    </cfRule>
  </conditionalFormatting>
  <conditionalFormatting sqref="B177">
    <cfRule type="expression" dxfId="177" priority="261">
      <formula>AD177&lt;&gt;""</formula>
    </cfRule>
  </conditionalFormatting>
  <conditionalFormatting sqref="Z177">
    <cfRule type="cellIs" dxfId="176" priority="259" operator="greaterThan">
      <formula>0</formula>
    </cfRule>
    <cfRule type="cellIs" dxfId="175" priority="260" operator="lessThan">
      <formula>0</formula>
    </cfRule>
  </conditionalFormatting>
  <conditionalFormatting sqref="S177">
    <cfRule type="cellIs" dxfId="174" priority="258" operator="lessThan">
      <formula>0</formula>
    </cfRule>
  </conditionalFormatting>
  <conditionalFormatting sqref="T175:T176">
    <cfRule type="expression" dxfId="173" priority="262">
      <formula>#REF!="Yes"</formula>
    </cfRule>
  </conditionalFormatting>
  <conditionalFormatting sqref="P177">
    <cfRule type="cellIs" dxfId="172" priority="256" operator="equal">
      <formula>AS_DURATION_EFFORT</formula>
    </cfRule>
    <cfRule type="cellIs" dxfId="171" priority="257" operator="equal">
      <formula>AS_DEV_EFFORT</formula>
    </cfRule>
  </conditionalFormatting>
  <conditionalFormatting sqref="B175:B176">
    <cfRule type="expression" dxfId="170" priority="255">
      <formula>AD175&lt;&gt;""</formula>
    </cfRule>
  </conditionalFormatting>
  <conditionalFormatting sqref="F177">
    <cfRule type="expression" dxfId="169" priority="254">
      <formula>$K177&lt;&gt;""</formula>
    </cfRule>
  </conditionalFormatting>
  <conditionalFormatting sqref="C177">
    <cfRule type="expression" dxfId="168" priority="253">
      <formula>$G177&lt;&gt;"-"</formula>
    </cfRule>
  </conditionalFormatting>
  <conditionalFormatting sqref="D177">
    <cfRule type="expression" dxfId="167" priority="252">
      <formula>$H177&lt;&gt;"-"</formula>
    </cfRule>
  </conditionalFormatting>
  <conditionalFormatting sqref="E177">
    <cfRule type="expression" dxfId="166" priority="251">
      <formula>$I177&lt;&gt;"-"</formula>
    </cfRule>
  </conditionalFormatting>
  <conditionalFormatting sqref="B181">
    <cfRule type="expression" dxfId="165" priority="247">
      <formula>AD181&lt;&gt;""</formula>
    </cfRule>
  </conditionalFormatting>
  <conditionalFormatting sqref="Z181">
    <cfRule type="cellIs" dxfId="164" priority="245" operator="greaterThan">
      <formula>0</formula>
    </cfRule>
    <cfRule type="cellIs" dxfId="163" priority="246" operator="lessThan">
      <formula>0</formula>
    </cfRule>
  </conditionalFormatting>
  <conditionalFormatting sqref="S181">
    <cfRule type="cellIs" dxfId="162" priority="244" operator="lessThan">
      <formula>0</formula>
    </cfRule>
  </conditionalFormatting>
  <conditionalFormatting sqref="T179:T180">
    <cfRule type="expression" dxfId="161" priority="248">
      <formula>#REF!="Yes"</formula>
    </cfRule>
  </conditionalFormatting>
  <conditionalFormatting sqref="P181">
    <cfRule type="cellIs" dxfId="160" priority="242" operator="equal">
      <formula>AS_DURATION_EFFORT</formula>
    </cfRule>
    <cfRule type="cellIs" dxfId="159" priority="243" operator="equal">
      <formula>AS_DEV_EFFORT</formula>
    </cfRule>
  </conditionalFormatting>
  <conditionalFormatting sqref="B179:B180">
    <cfRule type="expression" dxfId="158" priority="241">
      <formula>AD179&lt;&gt;""</formula>
    </cfRule>
  </conditionalFormatting>
  <conditionalFormatting sqref="F181">
    <cfRule type="expression" dxfId="157" priority="240">
      <formula>$K181&lt;&gt;""</formula>
    </cfRule>
  </conditionalFormatting>
  <conditionalFormatting sqref="C181">
    <cfRule type="expression" dxfId="156" priority="239">
      <formula>$G181&lt;&gt;"-"</formula>
    </cfRule>
  </conditionalFormatting>
  <conditionalFormatting sqref="D181">
    <cfRule type="expression" dxfId="155" priority="238">
      <formula>$H181&lt;&gt;"-"</formula>
    </cfRule>
  </conditionalFormatting>
  <conditionalFormatting sqref="E181">
    <cfRule type="expression" dxfId="154" priority="237">
      <formula>$I181&lt;&gt;"-"</formula>
    </cfRule>
  </conditionalFormatting>
  <conditionalFormatting sqref="B185">
    <cfRule type="expression" dxfId="153" priority="231">
      <formula>AD185&lt;&gt;""</formula>
    </cfRule>
  </conditionalFormatting>
  <conditionalFormatting sqref="Z185">
    <cfRule type="cellIs" dxfId="152" priority="229" operator="greaterThan">
      <formula>0</formula>
    </cfRule>
    <cfRule type="cellIs" dxfId="151" priority="230" operator="lessThan">
      <formula>0</formula>
    </cfRule>
  </conditionalFormatting>
  <conditionalFormatting sqref="S185">
    <cfRule type="cellIs" dxfId="150" priority="228" operator="lessThan">
      <formula>0</formula>
    </cfRule>
  </conditionalFormatting>
  <conditionalFormatting sqref="T183:T184">
    <cfRule type="expression" dxfId="149" priority="232">
      <formula>#REF!="Yes"</formula>
    </cfRule>
  </conditionalFormatting>
  <conditionalFormatting sqref="P185">
    <cfRule type="cellIs" dxfId="148" priority="226" operator="equal">
      <formula>AS_DURATION_EFFORT</formula>
    </cfRule>
    <cfRule type="cellIs" dxfId="147" priority="227" operator="equal">
      <formula>AS_DEV_EFFORT</formula>
    </cfRule>
  </conditionalFormatting>
  <conditionalFormatting sqref="B183:B184">
    <cfRule type="expression" dxfId="146" priority="225">
      <formula>AD183&lt;&gt;""</formula>
    </cfRule>
  </conditionalFormatting>
  <conditionalFormatting sqref="F185">
    <cfRule type="expression" dxfId="145" priority="224">
      <formula>$K185&lt;&gt;""</formula>
    </cfRule>
  </conditionalFormatting>
  <conditionalFormatting sqref="C185">
    <cfRule type="expression" dxfId="144" priority="223">
      <formula>$G185&lt;&gt;"-"</formula>
    </cfRule>
  </conditionalFormatting>
  <conditionalFormatting sqref="D185">
    <cfRule type="expression" dxfId="143" priority="222">
      <formula>$H185&lt;&gt;"-"</formula>
    </cfRule>
  </conditionalFormatting>
  <conditionalFormatting sqref="E185">
    <cfRule type="expression" dxfId="142" priority="221">
      <formula>$I185&lt;&gt;"-"</formula>
    </cfRule>
  </conditionalFormatting>
  <conditionalFormatting sqref="B189">
    <cfRule type="expression" dxfId="141" priority="217">
      <formula>AD189&lt;&gt;""</formula>
    </cfRule>
  </conditionalFormatting>
  <conditionalFormatting sqref="Z189">
    <cfRule type="cellIs" dxfId="140" priority="215" operator="greaterThan">
      <formula>0</formula>
    </cfRule>
    <cfRule type="cellIs" dxfId="139" priority="216" operator="lessThan">
      <formula>0</formula>
    </cfRule>
  </conditionalFormatting>
  <conditionalFormatting sqref="S189">
    <cfRule type="cellIs" dxfId="138" priority="214" operator="lessThan">
      <formula>0</formula>
    </cfRule>
  </conditionalFormatting>
  <conditionalFormatting sqref="T187:T188">
    <cfRule type="expression" dxfId="137" priority="218">
      <formula>#REF!="Yes"</formula>
    </cfRule>
  </conditionalFormatting>
  <conditionalFormatting sqref="P189">
    <cfRule type="cellIs" dxfId="136" priority="212" operator="equal">
      <formula>AS_DURATION_EFFORT</formula>
    </cfRule>
    <cfRule type="cellIs" dxfId="135" priority="213" operator="equal">
      <formula>AS_DEV_EFFORT</formula>
    </cfRule>
  </conditionalFormatting>
  <conditionalFormatting sqref="B187:B188">
    <cfRule type="expression" dxfId="134" priority="211">
      <formula>AD187&lt;&gt;""</formula>
    </cfRule>
  </conditionalFormatting>
  <conditionalFormatting sqref="F189">
    <cfRule type="expression" dxfId="133" priority="210">
      <formula>$K189&lt;&gt;""</formula>
    </cfRule>
  </conditionalFormatting>
  <conditionalFormatting sqref="C189">
    <cfRule type="expression" dxfId="132" priority="209">
      <formula>$G189&lt;&gt;"-"</formula>
    </cfRule>
  </conditionalFormatting>
  <conditionalFormatting sqref="D189">
    <cfRule type="expression" dxfId="131" priority="208">
      <formula>$H189&lt;&gt;"-"</formula>
    </cfRule>
  </conditionalFormatting>
  <conditionalFormatting sqref="E189">
    <cfRule type="expression" dxfId="130" priority="207">
      <formula>$I189&lt;&gt;"-"</formula>
    </cfRule>
  </conditionalFormatting>
  <conditionalFormatting sqref="B194">
    <cfRule type="expression" dxfId="129" priority="203">
      <formula>AD194&lt;&gt;""</formula>
    </cfRule>
  </conditionalFormatting>
  <conditionalFormatting sqref="Z194">
    <cfRule type="cellIs" dxfId="128" priority="201" operator="greaterThan">
      <formula>0</formula>
    </cfRule>
    <cfRule type="cellIs" dxfId="127" priority="202" operator="lessThan">
      <formula>0</formula>
    </cfRule>
  </conditionalFormatting>
  <conditionalFormatting sqref="S194">
    <cfRule type="cellIs" dxfId="126" priority="200" operator="lessThan">
      <formula>0</formula>
    </cfRule>
  </conditionalFormatting>
  <conditionalFormatting sqref="T192:T193">
    <cfRule type="expression" dxfId="125" priority="204">
      <formula>#REF!="Yes"</formula>
    </cfRule>
  </conditionalFormatting>
  <conditionalFormatting sqref="P194">
    <cfRule type="cellIs" dxfId="124" priority="198" operator="equal">
      <formula>AS_DURATION_EFFORT</formula>
    </cfRule>
    <cfRule type="cellIs" dxfId="123" priority="199" operator="equal">
      <formula>AS_DEV_EFFORT</formula>
    </cfRule>
  </conditionalFormatting>
  <conditionalFormatting sqref="B192:B193">
    <cfRule type="expression" dxfId="122" priority="197">
      <formula>AD192&lt;&gt;""</formula>
    </cfRule>
  </conditionalFormatting>
  <conditionalFormatting sqref="F194">
    <cfRule type="expression" dxfId="121" priority="196">
      <formula>$K194&lt;&gt;""</formula>
    </cfRule>
  </conditionalFormatting>
  <conditionalFormatting sqref="C194">
    <cfRule type="expression" dxfId="120" priority="195">
      <formula>$G194&lt;&gt;"-"</formula>
    </cfRule>
  </conditionalFormatting>
  <conditionalFormatting sqref="D194">
    <cfRule type="expression" dxfId="119" priority="194">
      <formula>$H194&lt;&gt;"-"</formula>
    </cfRule>
  </conditionalFormatting>
  <conditionalFormatting sqref="E194">
    <cfRule type="expression" dxfId="118" priority="193">
      <formula>$I194&lt;&gt;"-"</formula>
    </cfRule>
  </conditionalFormatting>
  <conditionalFormatting sqref="B195">
    <cfRule type="expression" dxfId="117" priority="190">
      <formula>AD195&lt;&gt;""</formula>
    </cfRule>
  </conditionalFormatting>
  <conditionalFormatting sqref="Z195">
    <cfRule type="cellIs" dxfId="116" priority="188" operator="greaterThan">
      <formula>0</formula>
    </cfRule>
    <cfRule type="cellIs" dxfId="115" priority="189" operator="lessThan">
      <formula>0</formula>
    </cfRule>
  </conditionalFormatting>
  <conditionalFormatting sqref="S195">
    <cfRule type="cellIs" dxfId="114" priority="187" operator="lessThan">
      <formula>0</formula>
    </cfRule>
  </conditionalFormatting>
  <conditionalFormatting sqref="P195">
    <cfRule type="cellIs" dxfId="113" priority="185" operator="equal">
      <formula>AS_DURATION_EFFORT</formula>
    </cfRule>
    <cfRule type="cellIs" dxfId="112" priority="186" operator="equal">
      <formula>AS_DEV_EFFORT</formula>
    </cfRule>
  </conditionalFormatting>
  <conditionalFormatting sqref="F195">
    <cfRule type="expression" dxfId="111" priority="184">
      <formula>$K195&lt;&gt;""</formula>
    </cfRule>
  </conditionalFormatting>
  <conditionalFormatting sqref="C195">
    <cfRule type="expression" dxfId="110" priority="183">
      <formula>$G195&lt;&gt;"-"</formula>
    </cfRule>
  </conditionalFormatting>
  <conditionalFormatting sqref="D195">
    <cfRule type="expression" dxfId="109" priority="182">
      <formula>$H195&lt;&gt;"-"</formula>
    </cfRule>
  </conditionalFormatting>
  <conditionalFormatting sqref="E195">
    <cfRule type="expression" dxfId="108" priority="181">
      <formula>$I195&lt;&gt;"-"</formula>
    </cfRule>
  </conditionalFormatting>
  <conditionalFormatting sqref="B196">
    <cfRule type="expression" dxfId="107" priority="178">
      <formula>AD196&lt;&gt;""</formula>
    </cfRule>
  </conditionalFormatting>
  <conditionalFormatting sqref="Z196">
    <cfRule type="cellIs" dxfId="106" priority="176" operator="greaterThan">
      <formula>0</formula>
    </cfRule>
    <cfRule type="cellIs" dxfId="105" priority="177" operator="lessThan">
      <formula>0</formula>
    </cfRule>
  </conditionalFormatting>
  <conditionalFormatting sqref="S196">
    <cfRule type="cellIs" dxfId="104" priority="175" operator="lessThan">
      <formula>0</formula>
    </cfRule>
  </conditionalFormatting>
  <conditionalFormatting sqref="P196">
    <cfRule type="cellIs" dxfId="103" priority="173" operator="equal">
      <formula>AS_DURATION_EFFORT</formula>
    </cfRule>
    <cfRule type="cellIs" dxfId="102" priority="174" operator="equal">
      <formula>AS_DEV_EFFORT</formula>
    </cfRule>
  </conditionalFormatting>
  <conditionalFormatting sqref="F196">
    <cfRule type="expression" dxfId="101" priority="172">
      <formula>$K196&lt;&gt;""</formula>
    </cfRule>
  </conditionalFormatting>
  <conditionalFormatting sqref="C196">
    <cfRule type="expression" dxfId="100" priority="171">
      <formula>$G196&lt;&gt;"-"</formula>
    </cfRule>
  </conditionalFormatting>
  <conditionalFormatting sqref="D196">
    <cfRule type="expression" dxfId="99" priority="170">
      <formula>$H196&lt;&gt;"-"</formula>
    </cfRule>
  </conditionalFormatting>
  <conditionalFormatting sqref="E196">
    <cfRule type="expression" dxfId="98" priority="169">
      <formula>$I196&lt;&gt;"-"</formula>
    </cfRule>
  </conditionalFormatting>
  <conditionalFormatting sqref="B200">
    <cfRule type="expression" dxfId="97" priority="165">
      <formula>AD200&lt;&gt;""</formula>
    </cfRule>
  </conditionalFormatting>
  <conditionalFormatting sqref="Z200">
    <cfRule type="cellIs" dxfId="96" priority="163" operator="greaterThan">
      <formula>0</formula>
    </cfRule>
    <cfRule type="cellIs" dxfId="95" priority="164" operator="lessThan">
      <formula>0</formula>
    </cfRule>
  </conditionalFormatting>
  <conditionalFormatting sqref="S200">
    <cfRule type="cellIs" dxfId="94" priority="162" operator="lessThan">
      <formula>0</formula>
    </cfRule>
  </conditionalFormatting>
  <conditionalFormatting sqref="T198:T199">
    <cfRule type="expression" dxfId="93" priority="166">
      <formula>#REF!="Yes"</formula>
    </cfRule>
  </conditionalFormatting>
  <conditionalFormatting sqref="P200">
    <cfRule type="cellIs" dxfId="92" priority="160" operator="equal">
      <formula>AS_DURATION_EFFORT</formula>
    </cfRule>
    <cfRule type="cellIs" dxfId="91" priority="161" operator="equal">
      <formula>AS_DEV_EFFORT</formula>
    </cfRule>
  </conditionalFormatting>
  <conditionalFormatting sqref="B198:B199">
    <cfRule type="expression" dxfId="90" priority="159">
      <formula>AD198&lt;&gt;""</formula>
    </cfRule>
  </conditionalFormatting>
  <conditionalFormatting sqref="F200">
    <cfRule type="expression" dxfId="89" priority="158">
      <formula>$K200&lt;&gt;""</formula>
    </cfRule>
  </conditionalFormatting>
  <conditionalFormatting sqref="C200">
    <cfRule type="expression" dxfId="88" priority="157">
      <formula>$G200&lt;&gt;"-"</formula>
    </cfRule>
  </conditionalFormatting>
  <conditionalFormatting sqref="D200">
    <cfRule type="expression" dxfId="87" priority="156">
      <formula>$H200&lt;&gt;"-"</formula>
    </cfRule>
  </conditionalFormatting>
  <conditionalFormatting sqref="E200">
    <cfRule type="expression" dxfId="86" priority="155">
      <formula>$I200&lt;&gt;"-"</formula>
    </cfRule>
  </conditionalFormatting>
  <conditionalFormatting sqref="B190">
    <cfRule type="expression" dxfId="85" priority="138">
      <formula>AD190&lt;&gt;""</formula>
    </cfRule>
  </conditionalFormatting>
  <conditionalFormatting sqref="Z190">
    <cfRule type="cellIs" dxfId="84" priority="136" operator="greaterThan">
      <formula>0</formula>
    </cfRule>
    <cfRule type="cellIs" dxfId="83" priority="137" operator="lessThan">
      <formula>0</formula>
    </cfRule>
  </conditionalFormatting>
  <conditionalFormatting sqref="S190">
    <cfRule type="cellIs" dxfId="82" priority="135" operator="lessThan">
      <formula>0</formula>
    </cfRule>
  </conditionalFormatting>
  <conditionalFormatting sqref="P190">
    <cfRule type="cellIs" dxfId="81" priority="133" operator="equal">
      <formula>AS_DURATION_EFFORT</formula>
    </cfRule>
    <cfRule type="cellIs" dxfId="80" priority="134" operator="equal">
      <formula>AS_DEV_EFFORT</formula>
    </cfRule>
  </conditionalFormatting>
  <conditionalFormatting sqref="F190">
    <cfRule type="expression" dxfId="79" priority="132">
      <formula>$K190&lt;&gt;""</formula>
    </cfRule>
  </conditionalFormatting>
  <conditionalFormatting sqref="C190">
    <cfRule type="expression" dxfId="78" priority="131">
      <formula>$G190&lt;&gt;"-"</formula>
    </cfRule>
  </conditionalFormatting>
  <conditionalFormatting sqref="D190">
    <cfRule type="expression" dxfId="77" priority="130">
      <formula>$H190&lt;&gt;"-"</formula>
    </cfRule>
  </conditionalFormatting>
  <conditionalFormatting sqref="E190">
    <cfRule type="expression" dxfId="76" priority="129">
      <formula>$I190&lt;&gt;"-"</formula>
    </cfRule>
  </conditionalFormatting>
  <conditionalFormatting sqref="B204">
    <cfRule type="expression" dxfId="75" priority="125">
      <formula>AD204&lt;&gt;""</formula>
    </cfRule>
  </conditionalFormatting>
  <conditionalFormatting sqref="Z204">
    <cfRule type="cellIs" dxfId="74" priority="123" operator="greaterThan">
      <formula>0</formula>
    </cfRule>
    <cfRule type="cellIs" dxfId="73" priority="124" operator="lessThan">
      <formula>0</formula>
    </cfRule>
  </conditionalFormatting>
  <conditionalFormatting sqref="S204">
    <cfRule type="cellIs" dxfId="72" priority="122" operator="lessThan">
      <formula>0</formula>
    </cfRule>
  </conditionalFormatting>
  <conditionalFormatting sqref="T202:T203">
    <cfRule type="expression" dxfId="71" priority="126">
      <formula>#REF!="Yes"</formula>
    </cfRule>
  </conditionalFormatting>
  <conditionalFormatting sqref="P204">
    <cfRule type="cellIs" dxfId="70" priority="120" operator="equal">
      <formula>AS_DURATION_EFFORT</formula>
    </cfRule>
    <cfRule type="cellIs" dxfId="69" priority="121" operator="equal">
      <formula>AS_DEV_EFFORT</formula>
    </cfRule>
  </conditionalFormatting>
  <conditionalFormatting sqref="B202:B203">
    <cfRule type="expression" dxfId="68" priority="119">
      <formula>AD202&lt;&gt;""</formula>
    </cfRule>
  </conditionalFormatting>
  <conditionalFormatting sqref="F204">
    <cfRule type="expression" dxfId="67" priority="118">
      <formula>$K204&lt;&gt;""</formula>
    </cfRule>
  </conditionalFormatting>
  <conditionalFormatting sqref="C204">
    <cfRule type="expression" dxfId="66" priority="117">
      <formula>$G204&lt;&gt;"-"</formula>
    </cfRule>
  </conditionalFormatting>
  <conditionalFormatting sqref="D204">
    <cfRule type="expression" dxfId="65" priority="116">
      <formula>$H204&lt;&gt;"-"</formula>
    </cfRule>
  </conditionalFormatting>
  <conditionalFormatting sqref="E204">
    <cfRule type="expression" dxfId="64" priority="115">
      <formula>$I204&lt;&gt;"-"</formula>
    </cfRule>
  </conditionalFormatting>
  <conditionalFormatting sqref="B69">
    <cfRule type="expression" dxfId="63" priority="112">
      <formula>AD69&lt;&gt;""</formula>
    </cfRule>
  </conditionalFormatting>
  <conditionalFormatting sqref="Z69">
    <cfRule type="cellIs" dxfId="62" priority="110" operator="greaterThan">
      <formula>0</formula>
    </cfRule>
    <cfRule type="cellIs" dxfId="61" priority="111" operator="lessThan">
      <formula>0</formula>
    </cfRule>
  </conditionalFormatting>
  <conditionalFormatting sqref="S69">
    <cfRule type="cellIs" dxfId="60" priority="109" operator="lessThan">
      <formula>0</formula>
    </cfRule>
  </conditionalFormatting>
  <conditionalFormatting sqref="P69">
    <cfRule type="cellIs" dxfId="59" priority="107" operator="equal">
      <formula>AS_DURATION_EFFORT</formula>
    </cfRule>
    <cfRule type="cellIs" dxfId="58" priority="108" operator="equal">
      <formula>AS_DEV_EFFORT</formula>
    </cfRule>
  </conditionalFormatting>
  <conditionalFormatting sqref="L69:AC69">
    <cfRule type="expression" dxfId="57" priority="113">
      <formula>AND($G69="Yes", $S$6="Exclude")</formula>
    </cfRule>
    <cfRule type="expression" dxfId="56" priority="114">
      <formula>$J69="Yes"</formula>
    </cfRule>
  </conditionalFormatting>
  <conditionalFormatting sqref="F69">
    <cfRule type="expression" dxfId="55" priority="106">
      <formula>$K69&lt;&gt;""</formula>
    </cfRule>
  </conditionalFormatting>
  <conditionalFormatting sqref="C69">
    <cfRule type="expression" dxfId="54" priority="105">
      <formula>$G69&lt;&gt;"-"</formula>
    </cfRule>
  </conditionalFormatting>
  <conditionalFormatting sqref="D69">
    <cfRule type="expression" dxfId="53" priority="104">
      <formula>$H69&lt;&gt;"-"</formula>
    </cfRule>
  </conditionalFormatting>
  <conditionalFormatting sqref="E69">
    <cfRule type="expression" dxfId="52" priority="103">
      <formula>$I69&lt;&gt;"-"</formula>
    </cfRule>
  </conditionalFormatting>
  <conditionalFormatting sqref="B86">
    <cfRule type="expression" dxfId="51" priority="100">
      <formula>AD86&lt;&gt;""</formula>
    </cfRule>
  </conditionalFormatting>
  <conditionalFormatting sqref="Z86">
    <cfRule type="cellIs" dxfId="50" priority="98" operator="greaterThan">
      <formula>0</formula>
    </cfRule>
    <cfRule type="cellIs" dxfId="49" priority="99" operator="lessThan">
      <formula>0</formula>
    </cfRule>
  </conditionalFormatting>
  <conditionalFormatting sqref="S86">
    <cfRule type="cellIs" dxfId="48" priority="97" operator="lessThan">
      <formula>0</formula>
    </cfRule>
  </conditionalFormatting>
  <conditionalFormatting sqref="P86">
    <cfRule type="cellIs" dxfId="47" priority="95" operator="equal">
      <formula>AS_DURATION_EFFORT</formula>
    </cfRule>
    <cfRule type="cellIs" dxfId="46" priority="96" operator="equal">
      <formula>AS_DEV_EFFORT</formula>
    </cfRule>
  </conditionalFormatting>
  <conditionalFormatting sqref="L86:AC86">
    <cfRule type="expression" dxfId="45" priority="101">
      <formula>AND($G86="Yes", $S$6="Exclude")</formula>
    </cfRule>
    <cfRule type="expression" dxfId="44" priority="102">
      <formula>$J86="Yes"</formula>
    </cfRule>
  </conditionalFormatting>
  <conditionalFormatting sqref="F86">
    <cfRule type="expression" dxfId="43" priority="94">
      <formula>$K86&lt;&gt;""</formula>
    </cfRule>
  </conditionalFormatting>
  <conditionalFormatting sqref="C86">
    <cfRule type="expression" dxfId="42" priority="93">
      <formula>$G86&lt;&gt;"-"</formula>
    </cfRule>
  </conditionalFormatting>
  <conditionalFormatting sqref="D86">
    <cfRule type="expression" dxfId="41" priority="92">
      <formula>$H86&lt;&gt;"-"</formula>
    </cfRule>
  </conditionalFormatting>
  <conditionalFormatting sqref="E86">
    <cfRule type="expression" dxfId="40" priority="91">
      <formula>$I86&lt;&gt;"-"</formula>
    </cfRule>
  </conditionalFormatting>
  <conditionalFormatting sqref="B87">
    <cfRule type="expression" dxfId="39" priority="76">
      <formula>AD87&lt;&gt;""</formula>
    </cfRule>
  </conditionalFormatting>
  <conditionalFormatting sqref="Z87">
    <cfRule type="cellIs" dxfId="38" priority="74" operator="greaterThan">
      <formula>0</formula>
    </cfRule>
    <cfRule type="cellIs" dxfId="37" priority="75" operator="lessThan">
      <formula>0</formula>
    </cfRule>
  </conditionalFormatting>
  <conditionalFormatting sqref="S87">
    <cfRule type="cellIs" dxfId="36" priority="73" operator="lessThan">
      <formula>0</formula>
    </cfRule>
  </conditionalFormatting>
  <conditionalFormatting sqref="P87">
    <cfRule type="cellIs" dxfId="35" priority="71" operator="equal">
      <formula>AS_DURATION_EFFORT</formula>
    </cfRule>
    <cfRule type="cellIs" dxfId="34" priority="72" operator="equal">
      <formula>AS_DEV_EFFORT</formula>
    </cfRule>
  </conditionalFormatting>
  <conditionalFormatting sqref="L87:AC87">
    <cfRule type="expression" dxfId="33" priority="77">
      <formula>AND($G87="Yes", $S$6="Exclude")</formula>
    </cfRule>
    <cfRule type="expression" dxfId="32" priority="78">
      <formula>$J87="Yes"</formula>
    </cfRule>
  </conditionalFormatting>
  <conditionalFormatting sqref="F87">
    <cfRule type="expression" dxfId="31" priority="70">
      <formula>$K87&lt;&gt;""</formula>
    </cfRule>
  </conditionalFormatting>
  <conditionalFormatting sqref="C87">
    <cfRule type="expression" dxfId="30" priority="69">
      <formula>$G87&lt;&gt;"-"</formula>
    </cfRule>
  </conditionalFormatting>
  <conditionalFormatting sqref="D87">
    <cfRule type="expression" dxfId="29" priority="68">
      <formula>$H87&lt;&gt;"-"</formula>
    </cfRule>
  </conditionalFormatting>
  <conditionalFormatting sqref="E87">
    <cfRule type="expression" dxfId="28" priority="67">
      <formula>$I87&lt;&gt;"-"</formula>
    </cfRule>
  </conditionalFormatting>
  <conditionalFormatting sqref="B208">
    <cfRule type="expression" dxfId="27" priority="39">
      <formula>AD208&lt;&gt;""</formula>
    </cfRule>
  </conditionalFormatting>
  <conditionalFormatting sqref="Z208">
    <cfRule type="cellIs" dxfId="26" priority="37" operator="greaterThan">
      <formula>0</formula>
    </cfRule>
    <cfRule type="cellIs" dxfId="25" priority="38" operator="lessThan">
      <formula>0</formula>
    </cfRule>
  </conditionalFormatting>
  <conditionalFormatting sqref="S208">
    <cfRule type="cellIs" dxfId="24" priority="36" operator="lessThan">
      <formula>0</formula>
    </cfRule>
  </conditionalFormatting>
  <conditionalFormatting sqref="T206:T207">
    <cfRule type="expression" dxfId="23" priority="40">
      <formula>#REF!="Yes"</formula>
    </cfRule>
  </conditionalFormatting>
  <conditionalFormatting sqref="P208">
    <cfRule type="cellIs" dxfId="22" priority="34" operator="equal">
      <formula>AS_DURATION_EFFORT</formula>
    </cfRule>
    <cfRule type="cellIs" dxfId="21" priority="35" operator="equal">
      <formula>AS_DEV_EFFORT</formula>
    </cfRule>
  </conditionalFormatting>
  <conditionalFormatting sqref="B206:B207">
    <cfRule type="expression" dxfId="20" priority="33">
      <formula>AD206&lt;&gt;""</formula>
    </cfRule>
  </conditionalFormatting>
  <conditionalFormatting sqref="L208:AC208">
    <cfRule type="expression" dxfId="19" priority="41">
      <formula>AND($G208="Yes", $S$6="Exclude")</formula>
    </cfRule>
    <cfRule type="expression" dxfId="18" priority="42">
      <formula>$J208="Yes"</formula>
    </cfRule>
  </conditionalFormatting>
  <conditionalFormatting sqref="F208">
    <cfRule type="expression" dxfId="17" priority="32">
      <formula>$K208&lt;&gt;""</formula>
    </cfRule>
  </conditionalFormatting>
  <conditionalFormatting sqref="C208">
    <cfRule type="expression" dxfId="16" priority="31">
      <formula>$G208&lt;&gt;"-"</formula>
    </cfRule>
  </conditionalFormatting>
  <conditionalFormatting sqref="D208">
    <cfRule type="expression" dxfId="15" priority="30">
      <formula>$H208&lt;&gt;"-"</formula>
    </cfRule>
  </conditionalFormatting>
  <conditionalFormatting sqref="E208">
    <cfRule type="expression" dxfId="14" priority="29">
      <formula>$I208&lt;&gt;"-"</formula>
    </cfRule>
  </conditionalFormatting>
  <conditionalFormatting sqref="B275">
    <cfRule type="expression" dxfId="13" priority="11">
      <formula>AD275&lt;&gt;""</formula>
    </cfRule>
  </conditionalFormatting>
  <conditionalFormatting sqref="Z275">
    <cfRule type="cellIs" dxfId="12" priority="9" operator="greaterThan">
      <formula>0</formula>
    </cfRule>
    <cfRule type="cellIs" dxfId="11" priority="10" operator="lessThan">
      <formula>0</formula>
    </cfRule>
  </conditionalFormatting>
  <conditionalFormatting sqref="S275">
    <cfRule type="cellIs" dxfId="10" priority="8" operator="lessThan">
      <formula>0</formula>
    </cfRule>
  </conditionalFormatting>
  <conditionalFormatting sqref="T273:T274">
    <cfRule type="expression" dxfId="9" priority="12">
      <formula>#REF!="Yes"</formula>
    </cfRule>
  </conditionalFormatting>
  <conditionalFormatting sqref="P275">
    <cfRule type="cellIs" dxfId="8" priority="6" operator="equal">
      <formula>AS_DURATION_EFFORT</formula>
    </cfRule>
    <cfRule type="cellIs" dxfId="7" priority="7" operator="equal">
      <formula>AS_DEV_EFFORT</formula>
    </cfRule>
  </conditionalFormatting>
  <conditionalFormatting sqref="B273:B274">
    <cfRule type="expression" dxfId="6" priority="5">
      <formula>AD273&lt;&gt;""</formula>
    </cfRule>
  </conditionalFormatting>
  <conditionalFormatting sqref="L275:AC275">
    <cfRule type="expression" dxfId="5" priority="13">
      <formula>AND($G275="Yes", $S$6="Exclude")</formula>
    </cfRule>
    <cfRule type="expression" dxfId="4" priority="14">
      <formula>$J275="Yes"</formula>
    </cfRule>
  </conditionalFormatting>
  <conditionalFormatting sqref="F275">
    <cfRule type="expression" dxfId="3" priority="4">
      <formula>$K275&lt;&gt;""</formula>
    </cfRule>
  </conditionalFormatting>
  <conditionalFormatting sqref="C275">
    <cfRule type="expression" dxfId="2" priority="3">
      <formula>$G275&lt;&gt;"-"</formula>
    </cfRule>
  </conditionalFormatting>
  <conditionalFormatting sqref="D275">
    <cfRule type="expression" dxfId="1" priority="2">
      <formula>$H275&lt;&gt;"-"</formula>
    </cfRule>
  </conditionalFormatting>
  <conditionalFormatting sqref="E275">
    <cfRule type="expression" dxfId="0" priority="1">
      <formula>$I275&lt;&gt;"-"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347" xr:uid="{00000000-0002-0000-0100-000002000000}">
      <formula1>YES_NO_LIST</formula1>
    </dataValidation>
    <dataValidation type="list" allowBlank="1" showInputMessage="1" showErrorMessage="1" sqref="O344" xr:uid="{00000000-0002-0000-0100-000003000000}">
      <formula1>PLATFORMS_LIST</formula1>
    </dataValidation>
    <dataValidation type="list" allowBlank="1" showInputMessage="1" showErrorMessage="1" sqref="O345" xr:uid="{00000000-0002-0000-0100-000004000000}">
      <formula1>PROJECT_TYPES_LIST</formula1>
    </dataValidation>
    <dataValidation type="list" allowBlank="1" showInputMessage="1" showErrorMessage="1" sqref="O349" xr:uid="{00000000-0002-0000-0100-000005000000}">
      <formula1>CURRENCIES_LIST</formula1>
    </dataValidation>
    <dataValidation type="list" allowBlank="1" showInputMessage="1" showErrorMessage="1" sqref="O348" xr:uid="{00000000-0002-0000-0100-000006000000}">
      <formula1>REGIONS_LIST</formula1>
    </dataValidation>
    <dataValidation type="list" showInputMessage="1" showErrorMessage="1" sqref="G465 J465 G16:G18 J63:J64 J110:J113 G94:G97 J289 J68:J69 J204 G63:G64 G53:G56 J94:J97 J81:J87 J238:J239 G238:G239 J243:J246 G243:G246 G225:G226 J259:J261 G259:G261 G265:G266 J265:J266 J270:J271 G270:G271 J279:J282 G279:G282 G289 J16:J18 J22:J24 G28:G31 J41:J43 G22:G24 J28:J31 G41:G43 J117 G231:G234 J231:J234 J225:J226 J35:J37 G35:G37 J47:J49 G47:G49 J53:J56 G73:G77 J73:J77 G68:G69 G110:G113 G117 G213:G217 J213:J217 G250:G252 J250:J252 J121:J122 G121:G122 J126:J127 G126:G127 G131 J131 G135 J135 J139:J140 G139:G140 G144 J144 G148 J148 G152:G154 J152:J154 J158:J159 G158:G159 G163 J163 G167 J167 J171:J173 G171:G173 G177 J177 G181 J181 G185 J185 J189:J190 J200 G194:G196 J194:J196 G200 G189:G190 G204 G81:G87 J101:J105 G101:G105 G208 J208 G275 J275" xr:uid="{00000000-0002-0000-0100-000007000000}">
      <formula1>YES_NO_LIST</formula1>
    </dataValidation>
    <dataValidation type="list" showInputMessage="1" showErrorMessage="1" sqref="I465 I81:I87 I94:I97 I289 I204 I63:I64 I53:I56 I68:I69 I238:I239 I243:I246 I225:I226 I259:I261 I265:I266 I270:I271 I279:I282 I16:I18 I22:I24 I28:I31 I41:I43 I117 I231:I234 I35:I37 I47:I49 I73:I77 I110:I113 I213:I217 I250:I252 I121:I122 I126:I127 I131 I135 I139:I140 I144 I148 I152:I154 I158:I159 I163 I167 I171:I173 I177 I181 I185 I200 I194:I196 I189:I190 I101:I105 I208 I275" xr:uid="{00000000-0002-0000-0100-000008000000}">
      <formula1>EXTRAS_LIST</formula1>
    </dataValidation>
    <dataValidation type="list" showInputMessage="1" showErrorMessage="1" sqref="H465 H81:H87 H94:H97 H289 H204 H63:H64 H53:H56 H68:H69 H238:H239 H243:H246 H225:H226 H259:H261 H265:H266 H270:H271 H279:H282 H16:H18 H22:H24 H28:H31 H41:H43 H117 H231:H234 H35:H37 H47:H49 H73:H77 H110:H113 H213:H217 H250:H252 H121:H122 H126:H127 H131 H135 H139:H140 H144 H148 H152:H154 H158:H159 H163 H167 H171:H173 H177 H181 H185 H200 H194:H196 H189:H190 H101:H105 H208 H275" xr:uid="{00000000-0002-0000-0100-000009000000}">
      <formula1>BUFFER_TYPES_LIST</formula1>
    </dataValidation>
    <dataValidation type="list" showInputMessage="1" showErrorMessage="1" sqref="S299" xr:uid="{00000000-0002-0000-0100-00000A000000}">
      <formula1>"Default, Extended"</formula1>
    </dataValidation>
  </dataValidations>
  <hyperlinks>
    <hyperlink ref="T335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299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19050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819150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857250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857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M19" sqref="M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70" t="s">
        <v>91</v>
      </c>
      <c r="C1" s="339">
        <f>START_DATE</f>
        <v>42583</v>
      </c>
      <c r="D1" s="339"/>
      <c r="E1" s="339"/>
      <c r="F1" s="339"/>
      <c r="I1" s="1" t="s">
        <v>95</v>
      </c>
      <c r="L1" s="340">
        <v>41583</v>
      </c>
      <c r="M1" s="340"/>
      <c r="N1" s="340"/>
      <c r="O1" s="340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</row>
    <row r="2" spans="2:38" x14ac:dyDescent="0.35">
      <c r="B2" s="135" t="s">
        <v>122</v>
      </c>
      <c r="C2" s="136" t="s">
        <v>123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</row>
    <row r="3" spans="2:38" x14ac:dyDescent="0.35">
      <c r="B3" s="70" t="s">
        <v>93</v>
      </c>
      <c r="C3" s="337">
        <v>1</v>
      </c>
      <c r="D3" s="338"/>
      <c r="E3" s="338"/>
      <c r="F3" s="341"/>
      <c r="G3" s="337">
        <f>C3+1</f>
        <v>2</v>
      </c>
      <c r="H3" s="338"/>
      <c r="I3" s="338"/>
      <c r="J3" s="338"/>
      <c r="K3" s="337">
        <f>G3+1</f>
        <v>3</v>
      </c>
      <c r="L3" s="338"/>
      <c r="M3" s="338"/>
      <c r="N3" s="338"/>
      <c r="O3" s="337">
        <f>K3+1</f>
        <v>4</v>
      </c>
      <c r="P3" s="338"/>
      <c r="Q3" s="338"/>
      <c r="R3" s="338"/>
      <c r="S3" s="337">
        <f>O3+1</f>
        <v>5</v>
      </c>
      <c r="T3" s="338"/>
      <c r="U3" s="338"/>
      <c r="V3" s="338"/>
      <c r="W3" s="337">
        <f>S3+1</f>
        <v>6</v>
      </c>
      <c r="X3" s="338"/>
      <c r="Y3" s="338"/>
      <c r="Z3" s="338"/>
      <c r="AA3" s="337">
        <f>W3+1</f>
        <v>7</v>
      </c>
      <c r="AB3" s="338"/>
      <c r="AC3" s="338"/>
      <c r="AD3" s="338"/>
      <c r="AE3" s="337">
        <f>AA3+1</f>
        <v>8</v>
      </c>
      <c r="AF3" s="338"/>
      <c r="AG3" s="338"/>
      <c r="AH3" s="338"/>
      <c r="AI3" s="337">
        <f>AE3+1</f>
        <v>9</v>
      </c>
      <c r="AJ3" s="338"/>
      <c r="AK3" s="338"/>
      <c r="AL3" s="338"/>
    </row>
    <row r="4" spans="2:38" ht="45.75" customHeight="1" x14ac:dyDescent="0.35">
      <c r="B4" s="71" t="s">
        <v>94</v>
      </c>
      <c r="C4" s="72">
        <f>START_DATE</f>
        <v>42583</v>
      </c>
      <c r="D4" s="73">
        <f t="shared" ref="D4:AL4" si="0">WORKDAY(C4,5)</f>
        <v>42590</v>
      </c>
      <c r="E4" s="73">
        <f t="shared" si="0"/>
        <v>42597</v>
      </c>
      <c r="F4" s="74">
        <f t="shared" si="0"/>
        <v>42604</v>
      </c>
      <c r="G4" s="72">
        <f t="shared" si="0"/>
        <v>42611</v>
      </c>
      <c r="H4" s="73">
        <f t="shared" si="0"/>
        <v>42618</v>
      </c>
      <c r="I4" s="73">
        <f t="shared" si="0"/>
        <v>42625</v>
      </c>
      <c r="J4" s="73">
        <f t="shared" si="0"/>
        <v>42632</v>
      </c>
      <c r="K4" s="72">
        <f t="shared" si="0"/>
        <v>42639</v>
      </c>
      <c r="L4" s="73">
        <f t="shared" si="0"/>
        <v>42646</v>
      </c>
      <c r="M4" s="73">
        <f t="shared" si="0"/>
        <v>42653</v>
      </c>
      <c r="N4" s="73">
        <f t="shared" si="0"/>
        <v>42660</v>
      </c>
      <c r="O4" s="72">
        <f t="shared" si="0"/>
        <v>42667</v>
      </c>
      <c r="P4" s="73">
        <f t="shared" si="0"/>
        <v>42674</v>
      </c>
      <c r="Q4" s="73">
        <f t="shared" si="0"/>
        <v>42681</v>
      </c>
      <c r="R4" s="73">
        <f t="shared" si="0"/>
        <v>42688</v>
      </c>
      <c r="S4" s="72">
        <f t="shared" si="0"/>
        <v>42695</v>
      </c>
      <c r="T4" s="73">
        <f t="shared" si="0"/>
        <v>42702</v>
      </c>
      <c r="U4" s="73">
        <f t="shared" si="0"/>
        <v>42709</v>
      </c>
      <c r="V4" s="73">
        <f t="shared" si="0"/>
        <v>42716</v>
      </c>
      <c r="W4" s="72">
        <f t="shared" si="0"/>
        <v>42723</v>
      </c>
      <c r="X4" s="73">
        <f t="shared" si="0"/>
        <v>42730</v>
      </c>
      <c r="Y4" s="73">
        <f t="shared" si="0"/>
        <v>42737</v>
      </c>
      <c r="Z4" s="73">
        <f t="shared" si="0"/>
        <v>42744</v>
      </c>
      <c r="AA4" s="72">
        <f t="shared" si="0"/>
        <v>42751</v>
      </c>
      <c r="AB4" s="73">
        <f t="shared" si="0"/>
        <v>42758</v>
      </c>
      <c r="AC4" s="73">
        <f t="shared" si="0"/>
        <v>42765</v>
      </c>
      <c r="AD4" s="73">
        <f t="shared" si="0"/>
        <v>42772</v>
      </c>
      <c r="AE4" s="72">
        <f t="shared" si="0"/>
        <v>42779</v>
      </c>
      <c r="AF4" s="73">
        <f t="shared" si="0"/>
        <v>42786</v>
      </c>
      <c r="AG4" s="73">
        <f t="shared" si="0"/>
        <v>42793</v>
      </c>
      <c r="AH4" s="73">
        <f t="shared" si="0"/>
        <v>42800</v>
      </c>
      <c r="AI4" s="72">
        <f t="shared" si="0"/>
        <v>42807</v>
      </c>
      <c r="AJ4" s="73">
        <f t="shared" si="0"/>
        <v>42814</v>
      </c>
      <c r="AK4" s="73">
        <f t="shared" si="0"/>
        <v>42821</v>
      </c>
      <c r="AL4" s="73">
        <f t="shared" si="0"/>
        <v>42828</v>
      </c>
    </row>
    <row r="5" spans="2:38" x14ac:dyDescent="0.35">
      <c r="B5" s="127" t="s">
        <v>120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</row>
    <row r="6" spans="2:38" x14ac:dyDescent="0.35">
      <c r="B6" s="125" t="str">
        <f>Estimation!N326</f>
        <v>Discovery / Requirement Analysis</v>
      </c>
      <c r="C6" s="129"/>
      <c r="D6" s="129"/>
      <c r="E6" s="129"/>
    </row>
    <row r="7" spans="2:38" x14ac:dyDescent="0.35">
      <c r="B7" s="125" t="str">
        <f>Estimation!N327</f>
        <v>System Design, Framework and Test Cases</v>
      </c>
      <c r="E7" s="130"/>
      <c r="F7" s="130"/>
      <c r="G7" s="130"/>
      <c r="H7" s="130"/>
      <c r="I7" s="130"/>
    </row>
    <row r="8" spans="2:38" x14ac:dyDescent="0.35">
      <c r="B8" s="125" t="str">
        <f>Estimation!N328</f>
        <v>Development and Unit Testing</v>
      </c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</row>
    <row r="9" spans="2:38" x14ac:dyDescent="0.35">
      <c r="B9" s="125" t="str">
        <f>Estimation!N329</f>
        <v>System Testing and Stabilization</v>
      </c>
      <c r="Q9" s="132"/>
      <c r="R9" s="132"/>
      <c r="S9" s="132"/>
      <c r="T9" s="132"/>
      <c r="U9" s="132"/>
      <c r="V9" s="132"/>
      <c r="W9" s="132"/>
      <c r="X9" s="132"/>
    </row>
    <row r="10" spans="2:38" x14ac:dyDescent="0.35">
      <c r="B10" s="125" t="str">
        <f>Estimation!N330</f>
        <v>Deployment, UAT and Documentation</v>
      </c>
      <c r="W10" s="133"/>
      <c r="X10" s="133"/>
      <c r="Y10" s="133"/>
      <c r="Z10" s="133"/>
      <c r="AA10" s="133"/>
    </row>
    <row r="11" spans="2:38" x14ac:dyDescent="0.35">
      <c r="B11" s="125" t="str">
        <f>Estimation!N331</f>
        <v>Others</v>
      </c>
      <c r="AA11" s="99"/>
      <c r="AB11" s="99"/>
    </row>
    <row r="12" spans="2:38" x14ac:dyDescent="0.35">
      <c r="B12" s="127" t="s">
        <v>121</v>
      </c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</row>
    <row r="13" spans="2:38" x14ac:dyDescent="0.35">
      <c r="B13" s="125" t="s">
        <v>8</v>
      </c>
      <c r="C13" s="128">
        <v>1</v>
      </c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</row>
    <row r="14" spans="2:38" x14ac:dyDescent="0.35">
      <c r="B14" s="125" t="s">
        <v>9</v>
      </c>
      <c r="C14" s="128"/>
      <c r="D14" s="128">
        <v>1</v>
      </c>
      <c r="E14" s="128">
        <v>1</v>
      </c>
      <c r="F14" s="128">
        <v>1</v>
      </c>
      <c r="G14" s="128">
        <v>1</v>
      </c>
      <c r="H14" s="128">
        <v>1</v>
      </c>
      <c r="I14" s="128">
        <v>1</v>
      </c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</row>
    <row r="15" spans="2:38" x14ac:dyDescent="0.35">
      <c r="B15" s="125" t="s">
        <v>10</v>
      </c>
      <c r="C15" s="128"/>
      <c r="D15" s="128"/>
      <c r="E15" s="128">
        <v>1</v>
      </c>
      <c r="F15" s="128">
        <v>1</v>
      </c>
      <c r="G15" s="128">
        <v>1</v>
      </c>
      <c r="H15" s="128">
        <v>1</v>
      </c>
      <c r="I15" s="128">
        <v>1</v>
      </c>
      <c r="J15" s="128">
        <v>1</v>
      </c>
      <c r="K15" s="128">
        <v>1</v>
      </c>
      <c r="L15" s="128">
        <v>1</v>
      </c>
      <c r="M15" s="128">
        <v>1</v>
      </c>
      <c r="N15" s="128">
        <v>1</v>
      </c>
      <c r="O15" s="128">
        <v>1</v>
      </c>
      <c r="P15" s="128">
        <v>1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8">
        <v>1</v>
      </c>
      <c r="W15" s="128">
        <v>1</v>
      </c>
      <c r="X15" s="128">
        <v>1</v>
      </c>
      <c r="Y15" s="128">
        <v>1</v>
      </c>
      <c r="Z15" s="128">
        <v>1</v>
      </c>
      <c r="AA15" s="128">
        <v>1</v>
      </c>
      <c r="AB15" s="128">
        <v>1</v>
      </c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</row>
    <row r="16" spans="2:38" x14ac:dyDescent="0.35">
      <c r="B16" s="125" t="s">
        <v>12</v>
      </c>
      <c r="C16" s="128"/>
      <c r="D16" s="128"/>
      <c r="E16" s="128"/>
      <c r="F16" s="128"/>
      <c r="G16" s="128"/>
      <c r="H16" s="128">
        <v>2</v>
      </c>
      <c r="I16" s="128">
        <v>2</v>
      </c>
      <c r="J16" s="128">
        <v>2</v>
      </c>
      <c r="K16" s="128">
        <v>2</v>
      </c>
      <c r="L16" s="128">
        <v>2</v>
      </c>
      <c r="M16" s="128">
        <v>2</v>
      </c>
      <c r="N16" s="128">
        <v>2</v>
      </c>
      <c r="O16" s="128">
        <v>2</v>
      </c>
      <c r="P16" s="128">
        <v>2</v>
      </c>
      <c r="Q16" s="128">
        <v>2</v>
      </c>
      <c r="R16" s="128">
        <v>2</v>
      </c>
      <c r="S16" s="128">
        <v>2</v>
      </c>
      <c r="T16" s="128">
        <v>2</v>
      </c>
      <c r="U16" s="128">
        <v>2</v>
      </c>
      <c r="V16" s="128">
        <v>2</v>
      </c>
      <c r="W16" s="128">
        <v>2</v>
      </c>
      <c r="X16" s="128">
        <v>2</v>
      </c>
      <c r="Y16" s="128">
        <v>2</v>
      </c>
      <c r="Z16" s="128">
        <v>2</v>
      </c>
      <c r="AA16" s="128">
        <v>2</v>
      </c>
      <c r="AB16" s="128">
        <v>2</v>
      </c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</row>
    <row r="17" spans="2:38" x14ac:dyDescent="0.35">
      <c r="B17" s="125" t="s">
        <v>11</v>
      </c>
      <c r="C17" s="128"/>
      <c r="D17" s="128"/>
      <c r="E17" s="128"/>
      <c r="F17" s="128"/>
      <c r="G17" s="128"/>
      <c r="H17" s="128">
        <v>1</v>
      </c>
      <c r="I17" s="128">
        <v>1</v>
      </c>
      <c r="J17" s="128"/>
      <c r="K17" s="128"/>
      <c r="L17" s="128"/>
      <c r="M17" s="128"/>
      <c r="N17" s="128"/>
      <c r="O17" s="128"/>
      <c r="P17" s="128"/>
      <c r="Q17" s="128">
        <v>1</v>
      </c>
      <c r="R17" s="128">
        <v>1</v>
      </c>
      <c r="S17" s="128">
        <v>1</v>
      </c>
      <c r="T17" s="128">
        <v>1</v>
      </c>
      <c r="U17" s="128">
        <v>1</v>
      </c>
      <c r="V17" s="128">
        <v>1</v>
      </c>
      <c r="W17" s="128">
        <v>1</v>
      </c>
      <c r="X17" s="128">
        <v>1</v>
      </c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</row>
    <row r="18" spans="2:38" x14ac:dyDescent="0.35">
      <c r="B18" s="125" t="s">
        <v>13</v>
      </c>
      <c r="C18" s="128">
        <v>1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</row>
    <row r="19" spans="2:38" x14ac:dyDescent="0.35"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</row>
  </sheetData>
  <mergeCells count="11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72"/>
  </cols>
  <sheetData>
    <row r="2" spans="2:58" ht="28.5" x14ac:dyDescent="0.35">
      <c r="B2" s="171" t="str">
        <f>TEMPLATE_NAME&amp;" "&amp;TEMPLATE_VER&amp;" - HELP"</f>
        <v>AG Estimation Template -  Version 2.0.4 - HELP</v>
      </c>
    </row>
    <row r="4" spans="2:58" x14ac:dyDescent="0.35">
      <c r="B4" s="172" t="s">
        <v>176</v>
      </c>
    </row>
    <row r="5" spans="2:58" x14ac:dyDescent="0.35">
      <c r="B5" s="209" t="s">
        <v>177</v>
      </c>
      <c r="D5" s="172" t="s">
        <v>178</v>
      </c>
    </row>
    <row r="6" spans="2:58" x14ac:dyDescent="0.35">
      <c r="B6" s="209" t="s">
        <v>177</v>
      </c>
      <c r="D6" s="172" t="s">
        <v>179</v>
      </c>
    </row>
    <row r="7" spans="2:58" x14ac:dyDescent="0.35">
      <c r="B7" s="209" t="s">
        <v>177</v>
      </c>
      <c r="D7" s="172" t="s">
        <v>180</v>
      </c>
    </row>
    <row r="8" spans="2:58" x14ac:dyDescent="0.35">
      <c r="B8" s="209" t="s">
        <v>177</v>
      </c>
      <c r="D8" s="172" t="s">
        <v>181</v>
      </c>
    </row>
    <row r="9" spans="2:58" x14ac:dyDescent="0.35">
      <c r="B9" s="209" t="s">
        <v>177</v>
      </c>
      <c r="D9" s="172" t="s">
        <v>182</v>
      </c>
    </row>
    <row r="10" spans="2:58" x14ac:dyDescent="0.35">
      <c r="B10" s="209" t="s">
        <v>177</v>
      </c>
      <c r="D10" s="172" t="s">
        <v>183</v>
      </c>
    </row>
    <row r="11" spans="2:58" x14ac:dyDescent="0.35">
      <c r="B11" s="209" t="s">
        <v>177</v>
      </c>
      <c r="D11" s="172" t="s">
        <v>184</v>
      </c>
    </row>
    <row r="13" spans="2:58" x14ac:dyDescent="0.35">
      <c r="B13" s="343" t="s">
        <v>263</v>
      </c>
      <c r="C13" s="343"/>
      <c r="D13" s="343"/>
      <c r="E13" s="343"/>
      <c r="F13" s="343"/>
      <c r="G13" s="343"/>
      <c r="H13" s="343"/>
      <c r="I13" s="343"/>
      <c r="J13" s="343"/>
      <c r="N13" s="235" t="s">
        <v>424</v>
      </c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9" t="s">
        <v>425</v>
      </c>
      <c r="AW13" s="234"/>
      <c r="AX13" s="235" t="s">
        <v>426</v>
      </c>
      <c r="AY13" s="234"/>
      <c r="AZ13" s="234"/>
      <c r="BA13" s="234"/>
      <c r="BB13" s="234"/>
      <c r="BC13" s="234"/>
      <c r="BD13" s="234"/>
      <c r="BE13" s="234"/>
      <c r="BF13" s="234"/>
    </row>
    <row r="14" spans="2:58" x14ac:dyDescent="0.35">
      <c r="B14" s="343"/>
      <c r="C14" s="343"/>
      <c r="D14" s="343"/>
      <c r="E14" s="343"/>
      <c r="F14" s="343"/>
      <c r="G14" s="343"/>
      <c r="H14" s="343"/>
      <c r="I14" s="343"/>
      <c r="J14" s="343"/>
      <c r="N14" s="235" t="s">
        <v>427</v>
      </c>
      <c r="S14" s="235" t="s">
        <v>428</v>
      </c>
      <c r="AH14" s="239" t="s">
        <v>429</v>
      </c>
    </row>
    <row r="15" spans="2:58" ht="15" customHeight="1" x14ac:dyDescent="0.35">
      <c r="B15" s="236"/>
      <c r="C15" s="236"/>
      <c r="D15" s="236"/>
      <c r="E15" s="236"/>
      <c r="F15" s="236"/>
      <c r="G15" s="236"/>
      <c r="H15" s="236"/>
      <c r="I15" s="236"/>
      <c r="J15" s="236"/>
      <c r="N15" s="237"/>
      <c r="S15" s="237"/>
      <c r="AH15" s="238"/>
    </row>
    <row r="16" spans="2:58" ht="15" customHeight="1" x14ac:dyDescent="0.35">
      <c r="H16" s="342" t="s">
        <v>195</v>
      </c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2"/>
      <c r="V16" s="342"/>
      <c r="AL16" s="342" t="s">
        <v>245</v>
      </c>
      <c r="AM16" s="342"/>
      <c r="AN16" s="342"/>
      <c r="AO16" s="342"/>
      <c r="AP16" s="342"/>
      <c r="AQ16" s="342"/>
      <c r="AR16" s="342"/>
      <c r="AS16" s="342"/>
      <c r="AT16" s="342"/>
      <c r="AU16" s="342"/>
      <c r="AV16" s="342"/>
      <c r="AW16" s="342"/>
      <c r="AX16" s="342"/>
      <c r="AY16" s="342"/>
      <c r="AZ16" s="342"/>
      <c r="BA16" s="342"/>
      <c r="BB16" s="342"/>
      <c r="BC16" s="342"/>
      <c r="BD16" s="342"/>
    </row>
    <row r="17" spans="2:56" ht="15" customHeight="1" x14ac:dyDescent="0.35">
      <c r="H17" s="342"/>
      <c r="I17" s="342"/>
      <c r="J17" s="342"/>
      <c r="K17" s="342"/>
      <c r="L17" s="342"/>
      <c r="M17" s="342"/>
      <c r="N17" s="342"/>
      <c r="O17" s="342"/>
      <c r="P17" s="342"/>
      <c r="Q17" s="342"/>
      <c r="R17" s="342"/>
      <c r="S17" s="342"/>
      <c r="T17" s="342"/>
      <c r="U17" s="342"/>
      <c r="V17" s="342"/>
      <c r="AL17" s="342"/>
      <c r="AM17" s="342"/>
      <c r="AN17" s="342"/>
      <c r="AO17" s="342"/>
      <c r="AP17" s="342"/>
      <c r="AQ17" s="342"/>
      <c r="AR17" s="342"/>
      <c r="AS17" s="342"/>
      <c r="AT17" s="342"/>
      <c r="AU17" s="342"/>
      <c r="AV17" s="342"/>
      <c r="AW17" s="342"/>
      <c r="AX17" s="342"/>
      <c r="AY17" s="342"/>
      <c r="AZ17" s="342"/>
      <c r="BA17" s="342"/>
      <c r="BB17" s="342"/>
      <c r="BC17" s="342"/>
      <c r="BD17" s="342"/>
    </row>
    <row r="18" spans="2:56" x14ac:dyDescent="0.35">
      <c r="H18" s="172" t="s">
        <v>196</v>
      </c>
      <c r="AL18" s="172" t="s">
        <v>200</v>
      </c>
    </row>
    <row r="19" spans="2:56" x14ac:dyDescent="0.35">
      <c r="H19" s="172" t="s">
        <v>197</v>
      </c>
      <c r="AL19" s="172" t="s">
        <v>201</v>
      </c>
    </row>
    <row r="20" spans="2:56" x14ac:dyDescent="0.35">
      <c r="H20" s="172" t="s">
        <v>198</v>
      </c>
      <c r="AL20" s="172" t="s">
        <v>202</v>
      </c>
    </row>
    <row r="21" spans="2:56" x14ac:dyDescent="0.35">
      <c r="H21" s="172" t="s">
        <v>199</v>
      </c>
    </row>
    <row r="22" spans="2:56" x14ac:dyDescent="0.35">
      <c r="H22" s="172" t="s">
        <v>205</v>
      </c>
      <c r="O22"/>
      <c r="AL22" s="172" t="s">
        <v>203</v>
      </c>
    </row>
    <row r="23" spans="2:56" x14ac:dyDescent="0.35">
      <c r="H23" s="172" t="s">
        <v>206</v>
      </c>
      <c r="AL23" s="172" t="s">
        <v>204</v>
      </c>
    </row>
    <row r="29" spans="2:56" x14ac:dyDescent="0.35">
      <c r="B29" s="342" t="s">
        <v>207</v>
      </c>
      <c r="C29" s="342"/>
      <c r="D29" s="342"/>
      <c r="E29" s="342"/>
      <c r="F29" s="342"/>
      <c r="G29" s="342"/>
      <c r="H29" s="342"/>
      <c r="I29" s="342"/>
      <c r="J29" s="342"/>
      <c r="K29" s="342"/>
      <c r="L29" s="342"/>
      <c r="M29" s="342"/>
      <c r="N29" s="342"/>
      <c r="O29" s="342"/>
    </row>
    <row r="30" spans="2:56" x14ac:dyDescent="0.35">
      <c r="B30" s="342"/>
      <c r="C30" s="342"/>
      <c r="D30" s="342"/>
      <c r="E30" s="342"/>
      <c r="F30" s="342"/>
      <c r="G30" s="342"/>
      <c r="H30" s="342"/>
      <c r="I30" s="342"/>
      <c r="J30" s="342"/>
      <c r="K30" s="342"/>
      <c r="L30" s="342"/>
      <c r="M30" s="342"/>
      <c r="N30" s="342"/>
      <c r="O30" s="342"/>
    </row>
    <row r="31" spans="2:56" x14ac:dyDescent="0.35">
      <c r="B31" s="172" t="s">
        <v>431</v>
      </c>
    </row>
    <row r="32" spans="2:56" x14ac:dyDescent="0.35">
      <c r="B32" s="172" t="s">
        <v>432</v>
      </c>
    </row>
    <row r="33" spans="2:31" x14ac:dyDescent="0.35">
      <c r="B33" s="172" t="s">
        <v>433</v>
      </c>
    </row>
    <row r="34" spans="2:31" x14ac:dyDescent="0.35">
      <c r="B34" s="172" t="s">
        <v>434</v>
      </c>
    </row>
    <row r="35" spans="2:31" x14ac:dyDescent="0.35">
      <c r="B35" s="172" t="s">
        <v>435</v>
      </c>
    </row>
    <row r="36" spans="2:31" x14ac:dyDescent="0.35">
      <c r="B36" s="172" t="s">
        <v>436</v>
      </c>
    </row>
    <row r="41" spans="2:31" x14ac:dyDescent="0.35">
      <c r="B41" s="342" t="s">
        <v>208</v>
      </c>
      <c r="C41" s="342"/>
      <c r="D41" s="342"/>
      <c r="E41" s="342"/>
      <c r="F41" s="342"/>
      <c r="G41" s="342"/>
      <c r="H41" s="342"/>
      <c r="I41" s="342"/>
      <c r="J41" s="342"/>
      <c r="K41" s="342"/>
      <c r="L41" s="342"/>
      <c r="M41" s="342"/>
      <c r="N41" s="342"/>
      <c r="O41" s="342"/>
    </row>
    <row r="42" spans="2:31" x14ac:dyDescent="0.35">
      <c r="B42" s="342"/>
      <c r="C42" s="342"/>
      <c r="D42" s="342"/>
      <c r="E42" s="342"/>
      <c r="F42" s="342"/>
      <c r="G42" s="342"/>
      <c r="H42" s="342"/>
      <c r="I42" s="342"/>
      <c r="J42" s="342"/>
      <c r="K42" s="342"/>
      <c r="L42" s="342"/>
      <c r="M42" s="342"/>
      <c r="N42" s="342"/>
      <c r="O42" s="342"/>
      <c r="AE42" s="172" t="s">
        <v>214</v>
      </c>
    </row>
    <row r="43" spans="2:31" x14ac:dyDescent="0.35">
      <c r="B43" s="172" t="s">
        <v>210</v>
      </c>
      <c r="AE43" s="172" t="s">
        <v>213</v>
      </c>
    </row>
    <row r="44" spans="2:31" x14ac:dyDescent="0.35">
      <c r="B44" s="172" t="s">
        <v>209</v>
      </c>
      <c r="AE44" s="172" t="s">
        <v>215</v>
      </c>
    </row>
    <row r="46" spans="2:31" x14ac:dyDescent="0.35">
      <c r="B46" s="172" t="s">
        <v>211</v>
      </c>
      <c r="AE46" s="172" t="s">
        <v>216</v>
      </c>
    </row>
    <row r="47" spans="2:31" x14ac:dyDescent="0.35">
      <c r="B47" s="172" t="s">
        <v>212</v>
      </c>
      <c r="AE47" s="172" t="s">
        <v>217</v>
      </c>
    </row>
    <row r="49" spans="2:14" x14ac:dyDescent="0.35">
      <c r="B49" s="342" t="s">
        <v>224</v>
      </c>
      <c r="C49" s="342"/>
      <c r="D49" s="342"/>
      <c r="E49" s="342"/>
      <c r="F49" s="342"/>
      <c r="G49" s="342"/>
      <c r="H49" s="342"/>
      <c r="I49" s="342"/>
      <c r="J49" s="342"/>
      <c r="K49" s="342"/>
      <c r="L49" s="342"/>
      <c r="M49" s="342"/>
      <c r="N49" s="342"/>
    </row>
    <row r="50" spans="2:14" x14ac:dyDescent="0.35">
      <c r="B50" s="342"/>
      <c r="C50" s="342"/>
      <c r="D50" s="342"/>
      <c r="E50" s="342"/>
      <c r="F50" s="342"/>
      <c r="G50" s="342"/>
      <c r="H50" s="342"/>
      <c r="I50" s="342"/>
      <c r="J50" s="342"/>
      <c r="K50" s="342"/>
      <c r="L50" s="342"/>
      <c r="M50" s="342"/>
      <c r="N50" s="342"/>
    </row>
    <row r="51" spans="2:14" x14ac:dyDescent="0.35">
      <c r="B51" s="172" t="s">
        <v>218</v>
      </c>
    </row>
    <row r="52" spans="2:14" x14ac:dyDescent="0.35">
      <c r="B52" s="172" t="s">
        <v>219</v>
      </c>
    </row>
    <row r="54" spans="2:14" x14ac:dyDescent="0.35">
      <c r="B54" s="172" t="s">
        <v>220</v>
      </c>
    </row>
    <row r="55" spans="2:14" x14ac:dyDescent="0.35">
      <c r="B55" s="172" t="s">
        <v>221</v>
      </c>
    </row>
    <row r="56" spans="2:14" x14ac:dyDescent="0.35">
      <c r="B56" s="172" t="s">
        <v>222</v>
      </c>
    </row>
    <row r="57" spans="2:14" x14ac:dyDescent="0.35">
      <c r="B57" s="172" t="s">
        <v>223</v>
      </c>
    </row>
    <row r="71" spans="2:16" x14ac:dyDescent="0.35">
      <c r="B71" s="342" t="s">
        <v>225</v>
      </c>
      <c r="C71" s="342"/>
      <c r="D71" s="342"/>
      <c r="E71" s="342"/>
      <c r="F71" s="342"/>
      <c r="G71" s="342"/>
      <c r="H71" s="342"/>
      <c r="I71" s="342"/>
      <c r="J71" s="342"/>
      <c r="K71" s="342"/>
      <c r="L71" s="342"/>
      <c r="M71" s="342"/>
      <c r="N71" s="342"/>
      <c r="O71" s="342"/>
      <c r="P71" s="342"/>
    </row>
    <row r="72" spans="2:16" x14ac:dyDescent="0.35">
      <c r="B72" s="342"/>
      <c r="C72" s="342"/>
      <c r="D72" s="342"/>
      <c r="E72" s="342"/>
      <c r="F72" s="342"/>
      <c r="G72" s="342"/>
      <c r="H72" s="342"/>
      <c r="I72" s="342"/>
      <c r="J72" s="342"/>
      <c r="K72" s="342"/>
      <c r="L72" s="342"/>
      <c r="M72" s="342"/>
      <c r="N72" s="342"/>
      <c r="O72" s="342"/>
      <c r="P72" s="342"/>
    </row>
    <row r="73" spans="2:16" x14ac:dyDescent="0.35">
      <c r="B73" s="172" t="s">
        <v>226</v>
      </c>
    </row>
    <row r="74" spans="2:16" x14ac:dyDescent="0.35">
      <c r="B74" s="172" t="s">
        <v>228</v>
      </c>
    </row>
    <row r="75" spans="2:16" x14ac:dyDescent="0.35">
      <c r="B75" s="172" t="s">
        <v>227</v>
      </c>
    </row>
    <row r="79" spans="2:16" x14ac:dyDescent="0.35">
      <c r="B79" s="172" t="s">
        <v>229</v>
      </c>
    </row>
    <row r="80" spans="2:16" x14ac:dyDescent="0.35">
      <c r="B80" s="172" t="s">
        <v>230</v>
      </c>
    </row>
    <row r="83" spans="3:69" ht="15" customHeight="1" x14ac:dyDescent="0.35">
      <c r="BG83" s="217" t="s">
        <v>233</v>
      </c>
      <c r="BH83" s="216"/>
      <c r="BI83" s="216"/>
      <c r="BJ83" s="216"/>
      <c r="BK83" s="216"/>
      <c r="BL83" s="216"/>
      <c r="BM83" s="216"/>
      <c r="BN83" s="216"/>
      <c r="BO83" s="216"/>
      <c r="BP83" s="216"/>
    </row>
    <row r="84" spans="3:69" ht="15" customHeight="1" x14ac:dyDescent="0.35">
      <c r="C84" s="342" t="s">
        <v>234</v>
      </c>
      <c r="D84" s="342"/>
      <c r="E84" s="342"/>
      <c r="F84" s="342"/>
      <c r="G84" s="342"/>
      <c r="H84" s="342"/>
      <c r="I84" s="342"/>
      <c r="J84" s="342"/>
      <c r="K84" s="342"/>
      <c r="L84" s="342"/>
      <c r="M84" s="342"/>
      <c r="N84" s="342"/>
      <c r="O84" s="342"/>
      <c r="P84" s="342"/>
      <c r="Q84" s="342"/>
      <c r="AZ84" s="217"/>
      <c r="BA84" s="217"/>
      <c r="BB84" s="217"/>
      <c r="BC84" s="217"/>
      <c r="BD84" s="217"/>
      <c r="BF84" s="217"/>
      <c r="BG84" s="216" t="s">
        <v>231</v>
      </c>
      <c r="BH84" s="217"/>
      <c r="BI84" s="217"/>
      <c r="BJ84" s="217"/>
    </row>
    <row r="85" spans="3:69" ht="18.5" x14ac:dyDescent="0.35">
      <c r="C85" s="342"/>
      <c r="D85" s="342"/>
      <c r="E85" s="342"/>
      <c r="F85" s="342"/>
      <c r="G85" s="342"/>
      <c r="H85" s="342"/>
      <c r="I85" s="342"/>
      <c r="J85" s="342"/>
      <c r="K85" s="342"/>
      <c r="L85" s="342"/>
      <c r="M85" s="342"/>
      <c r="N85" s="342"/>
      <c r="O85" s="342"/>
      <c r="P85" s="342"/>
      <c r="Q85" s="342"/>
      <c r="AY85" s="217"/>
      <c r="AZ85" s="217"/>
      <c r="BA85" s="217"/>
      <c r="BB85" s="217"/>
      <c r="BC85" s="217"/>
      <c r="BD85" s="217"/>
      <c r="BF85" s="217"/>
      <c r="BG85" s="216" t="s">
        <v>232</v>
      </c>
      <c r="BH85" s="217"/>
      <c r="BI85" s="217"/>
      <c r="BJ85" s="217"/>
      <c r="BK85" s="216"/>
      <c r="BL85" s="216"/>
      <c r="BM85" s="216"/>
      <c r="BN85" s="216"/>
      <c r="BO85" s="216"/>
      <c r="BP85" s="216"/>
      <c r="BQ85" s="216"/>
    </row>
    <row r="86" spans="3:69" x14ac:dyDescent="0.35">
      <c r="C86" s="172" t="s">
        <v>235</v>
      </c>
      <c r="BG86" s="216"/>
      <c r="BH86" s="216"/>
      <c r="BI86" s="216"/>
      <c r="BJ86" s="216"/>
      <c r="BK86" s="216"/>
      <c r="BL86" s="216"/>
      <c r="BM86" s="216"/>
      <c r="BN86" s="216"/>
      <c r="BO86" s="216"/>
      <c r="BP86" s="216"/>
      <c r="BQ86" s="216"/>
    </row>
    <row r="87" spans="3:69" x14ac:dyDescent="0.35">
      <c r="C87" s="172" t="s">
        <v>236</v>
      </c>
    </row>
    <row r="93" spans="3:69" x14ac:dyDescent="0.35">
      <c r="AE93" s="342" t="s">
        <v>237</v>
      </c>
      <c r="AF93" s="342"/>
      <c r="AG93" s="342"/>
      <c r="AH93" s="342"/>
      <c r="AI93" s="342"/>
      <c r="AJ93" s="342"/>
      <c r="AK93" s="342"/>
      <c r="AL93" s="342"/>
      <c r="AM93" s="342"/>
      <c r="AN93" s="342"/>
      <c r="AO93" s="342"/>
      <c r="AP93" s="342"/>
      <c r="AQ93" s="342"/>
      <c r="AR93" s="342"/>
      <c r="AS93" s="342"/>
      <c r="AT93" s="342"/>
      <c r="AU93" s="342"/>
      <c r="AV93" s="342"/>
      <c r="AW93" s="342"/>
      <c r="AX93" s="342"/>
      <c r="AY93" s="342"/>
    </row>
    <row r="94" spans="3:69" x14ac:dyDescent="0.35">
      <c r="AE94" s="342"/>
      <c r="AF94" s="342"/>
      <c r="AG94" s="342"/>
      <c r="AH94" s="342"/>
      <c r="AI94" s="342"/>
      <c r="AJ94" s="342"/>
      <c r="AK94" s="342"/>
      <c r="AL94" s="342"/>
      <c r="AM94" s="342"/>
      <c r="AN94" s="342"/>
      <c r="AO94" s="342"/>
      <c r="AP94" s="342"/>
      <c r="AQ94" s="342"/>
      <c r="AR94" s="342"/>
      <c r="AS94" s="342"/>
      <c r="AT94" s="342"/>
      <c r="AU94" s="342"/>
      <c r="AV94" s="342"/>
      <c r="AW94" s="342"/>
      <c r="AX94" s="342"/>
      <c r="AY94" s="342"/>
    </row>
    <row r="95" spans="3:69" x14ac:dyDescent="0.35">
      <c r="AE95" s="172" t="s">
        <v>238</v>
      </c>
    </row>
    <row r="96" spans="3:69" ht="15" customHeight="1" x14ac:dyDescent="0.35">
      <c r="AE96" s="172" t="s">
        <v>239</v>
      </c>
    </row>
    <row r="97" spans="3:23" ht="15" customHeight="1" x14ac:dyDescent="0.35"/>
    <row r="104" spans="3:23" x14ac:dyDescent="0.35">
      <c r="C104" s="342" t="s">
        <v>240</v>
      </c>
      <c r="D104" s="342"/>
      <c r="E104" s="342"/>
      <c r="F104" s="342"/>
      <c r="G104" s="342"/>
      <c r="H104" s="342"/>
      <c r="I104" s="342"/>
      <c r="J104" s="342"/>
      <c r="K104" s="342"/>
      <c r="L104" s="342"/>
      <c r="M104" s="342"/>
      <c r="N104" s="342"/>
      <c r="O104" s="342"/>
      <c r="P104" s="342"/>
      <c r="Q104" s="342"/>
      <c r="R104" s="342"/>
      <c r="S104" s="342"/>
      <c r="T104" s="342"/>
      <c r="U104" s="342"/>
      <c r="V104" s="342"/>
      <c r="W104" s="342"/>
    </row>
    <row r="105" spans="3:23" x14ac:dyDescent="0.35">
      <c r="C105" s="342"/>
      <c r="D105" s="342"/>
      <c r="E105" s="342"/>
      <c r="F105" s="342"/>
      <c r="G105" s="342"/>
      <c r="H105" s="342"/>
      <c r="I105" s="342"/>
      <c r="J105" s="342"/>
      <c r="K105" s="342"/>
      <c r="L105" s="342"/>
      <c r="M105" s="342"/>
      <c r="N105" s="342"/>
      <c r="O105" s="342"/>
      <c r="P105" s="342"/>
      <c r="Q105" s="342"/>
      <c r="R105" s="342"/>
      <c r="S105" s="342"/>
      <c r="T105" s="342"/>
      <c r="U105" s="342"/>
      <c r="V105" s="342"/>
      <c r="W105" s="342"/>
    </row>
    <row r="111" spans="3:23" x14ac:dyDescent="0.35">
      <c r="C111" s="172" t="s">
        <v>241</v>
      </c>
    </row>
    <row r="112" spans="3:23" x14ac:dyDescent="0.35">
      <c r="C112" s="172" t="s">
        <v>242</v>
      </c>
    </row>
    <row r="114" spans="3:52" x14ac:dyDescent="0.35">
      <c r="C114" s="172" t="s">
        <v>243</v>
      </c>
      <c r="AF114" s="342" t="s">
        <v>246</v>
      </c>
      <c r="AG114" s="342"/>
      <c r="AH114" s="342"/>
      <c r="AI114" s="342"/>
      <c r="AJ114" s="342"/>
      <c r="AK114" s="342"/>
      <c r="AL114" s="342"/>
      <c r="AM114" s="342"/>
      <c r="AN114" s="342"/>
      <c r="AO114" s="342"/>
      <c r="AP114" s="342"/>
      <c r="AQ114" s="342"/>
      <c r="AR114" s="342"/>
      <c r="AS114" s="342"/>
      <c r="AT114" s="342"/>
      <c r="AU114" s="342"/>
      <c r="AV114" s="342"/>
      <c r="AW114" s="342"/>
      <c r="AX114" s="342"/>
      <c r="AY114" s="342"/>
      <c r="AZ114" s="342"/>
    </row>
    <row r="115" spans="3:52" x14ac:dyDescent="0.35">
      <c r="C115" s="172" t="s">
        <v>244</v>
      </c>
      <c r="AF115" s="342"/>
      <c r="AG115" s="342"/>
      <c r="AH115" s="342"/>
      <c r="AI115" s="342"/>
      <c r="AJ115" s="342"/>
      <c r="AK115" s="342"/>
      <c r="AL115" s="342"/>
      <c r="AM115" s="342"/>
      <c r="AN115" s="342"/>
      <c r="AO115" s="342"/>
      <c r="AP115" s="342"/>
      <c r="AQ115" s="342"/>
      <c r="AR115" s="342"/>
      <c r="AS115" s="342"/>
      <c r="AT115" s="342"/>
      <c r="AU115" s="342"/>
      <c r="AV115" s="342"/>
      <c r="AW115" s="342"/>
      <c r="AX115" s="342"/>
      <c r="AY115" s="342"/>
      <c r="AZ115" s="342"/>
    </row>
    <row r="116" spans="3:52" x14ac:dyDescent="0.35">
      <c r="AF116" s="172" t="s">
        <v>252</v>
      </c>
    </row>
    <row r="117" spans="3:52" x14ac:dyDescent="0.35">
      <c r="AF117" s="172" t="s">
        <v>251</v>
      </c>
    </row>
    <row r="121" spans="3:52" x14ac:dyDescent="0.35">
      <c r="V121" s="342" t="s">
        <v>247</v>
      </c>
      <c r="W121" s="342"/>
      <c r="X121" s="342"/>
      <c r="Y121" s="342"/>
      <c r="Z121" s="342"/>
      <c r="AA121" s="342"/>
      <c r="AB121" s="342"/>
      <c r="AC121" s="342"/>
      <c r="AD121" s="342"/>
      <c r="AE121" s="342"/>
      <c r="AF121" s="342"/>
      <c r="AG121" s="342"/>
      <c r="AH121" s="342"/>
      <c r="AI121" s="342"/>
      <c r="AJ121" s="342"/>
      <c r="AK121" s="342"/>
      <c r="AL121" s="342"/>
      <c r="AM121" s="342"/>
      <c r="AN121" s="342"/>
      <c r="AO121" s="342"/>
      <c r="AP121" s="342"/>
    </row>
    <row r="122" spans="3:52" x14ac:dyDescent="0.35">
      <c r="V122" s="342"/>
      <c r="W122" s="342"/>
      <c r="X122" s="342"/>
      <c r="Y122" s="342"/>
      <c r="Z122" s="342"/>
      <c r="AA122" s="342"/>
      <c r="AB122" s="342"/>
      <c r="AC122" s="342"/>
      <c r="AD122" s="342"/>
      <c r="AE122" s="342"/>
      <c r="AF122" s="342"/>
      <c r="AG122" s="342"/>
      <c r="AH122" s="342"/>
      <c r="AI122" s="342"/>
      <c r="AJ122" s="342"/>
      <c r="AK122" s="342"/>
      <c r="AL122" s="342"/>
      <c r="AM122" s="342"/>
      <c r="AN122" s="342"/>
      <c r="AO122" s="342"/>
      <c r="AP122" s="342"/>
    </row>
    <row r="123" spans="3:52" x14ac:dyDescent="0.35">
      <c r="S123" s="172" t="s">
        <v>248</v>
      </c>
    </row>
    <row r="124" spans="3:52" x14ac:dyDescent="0.35">
      <c r="S124" s="172" t="s">
        <v>249</v>
      </c>
    </row>
    <row r="126" spans="3:52" x14ac:dyDescent="0.35">
      <c r="S126" s="172" t="s">
        <v>250</v>
      </c>
    </row>
    <row r="130" spans="4:26" x14ac:dyDescent="0.35">
      <c r="F130" s="342" t="s">
        <v>253</v>
      </c>
      <c r="G130" s="342"/>
      <c r="H130" s="342"/>
      <c r="I130" s="342"/>
      <c r="J130" s="342"/>
      <c r="K130" s="342"/>
      <c r="L130" s="342"/>
      <c r="M130" s="342"/>
      <c r="N130" s="342"/>
      <c r="O130" s="342"/>
      <c r="P130" s="342"/>
      <c r="Q130" s="342"/>
      <c r="R130" s="342"/>
      <c r="S130" s="342"/>
      <c r="T130" s="342"/>
      <c r="U130" s="342"/>
      <c r="V130" s="342"/>
      <c r="W130" s="342"/>
      <c r="X130" s="342"/>
      <c r="Y130" s="342"/>
      <c r="Z130" s="342"/>
    </row>
    <row r="131" spans="4:26" x14ac:dyDescent="0.35">
      <c r="F131" s="342"/>
      <c r="G131" s="342"/>
      <c r="H131" s="342"/>
      <c r="I131" s="342"/>
      <c r="J131" s="342"/>
      <c r="K131" s="342"/>
      <c r="L131" s="342"/>
      <c r="M131" s="342"/>
      <c r="N131" s="342"/>
      <c r="O131" s="342"/>
      <c r="P131" s="342"/>
      <c r="Q131" s="342"/>
      <c r="R131" s="342"/>
      <c r="S131" s="342"/>
      <c r="T131" s="342"/>
      <c r="U131" s="342"/>
      <c r="V131" s="342"/>
      <c r="W131" s="342"/>
      <c r="X131" s="342"/>
      <c r="Y131" s="342"/>
      <c r="Z131" s="342"/>
    </row>
    <row r="132" spans="4:26" x14ac:dyDescent="0.35">
      <c r="F132" s="172" t="s">
        <v>254</v>
      </c>
    </row>
    <row r="133" spans="4:26" x14ac:dyDescent="0.35">
      <c r="F133" s="172" t="s">
        <v>255</v>
      </c>
    </row>
    <row r="143" spans="4:26" x14ac:dyDescent="0.35">
      <c r="D143" s="342" t="s">
        <v>256</v>
      </c>
      <c r="E143" s="342"/>
      <c r="F143" s="342"/>
      <c r="G143" s="342"/>
      <c r="H143" s="342"/>
      <c r="I143" s="342"/>
      <c r="J143" s="342"/>
      <c r="K143" s="342"/>
      <c r="L143" s="342"/>
      <c r="M143" s="342"/>
      <c r="N143" s="342"/>
      <c r="O143" s="342"/>
      <c r="P143" s="342"/>
      <c r="Q143" s="342"/>
      <c r="R143" s="342"/>
      <c r="S143" s="342"/>
      <c r="T143" s="342"/>
      <c r="U143" s="342"/>
      <c r="V143" s="342"/>
      <c r="W143" s="342"/>
      <c r="X143" s="342"/>
    </row>
    <row r="144" spans="4:26" x14ac:dyDescent="0.35">
      <c r="D144" s="342"/>
      <c r="E144" s="342"/>
      <c r="F144" s="342"/>
      <c r="G144" s="342"/>
      <c r="H144" s="342"/>
      <c r="I144" s="342"/>
      <c r="J144" s="342"/>
      <c r="K144" s="342"/>
      <c r="L144" s="342"/>
      <c r="M144" s="342"/>
      <c r="N144" s="342"/>
      <c r="O144" s="342"/>
      <c r="P144" s="342"/>
      <c r="Q144" s="342"/>
      <c r="R144" s="342"/>
      <c r="S144" s="342"/>
      <c r="T144" s="342"/>
      <c r="U144" s="342"/>
      <c r="V144" s="342"/>
      <c r="W144" s="342"/>
      <c r="X144" s="342"/>
    </row>
    <row r="145" spans="4:24" x14ac:dyDescent="0.35">
      <c r="D145" s="172" t="s">
        <v>257</v>
      </c>
    </row>
    <row r="146" spans="4:24" x14ac:dyDescent="0.35">
      <c r="D146" s="172" t="s">
        <v>258</v>
      </c>
    </row>
    <row r="148" spans="4:24" x14ac:dyDescent="0.35">
      <c r="D148" s="172" t="s">
        <v>259</v>
      </c>
    </row>
    <row r="149" spans="4:24" x14ac:dyDescent="0.35">
      <c r="D149" s="172" t="s">
        <v>260</v>
      </c>
    </row>
    <row r="152" spans="4:24" x14ac:dyDescent="0.35">
      <c r="D152" s="342" t="s">
        <v>261</v>
      </c>
      <c r="E152" s="342"/>
      <c r="F152" s="342"/>
      <c r="G152" s="342"/>
      <c r="H152" s="342"/>
      <c r="I152" s="342"/>
      <c r="J152" s="342"/>
      <c r="K152" s="342"/>
      <c r="L152" s="342"/>
      <c r="M152" s="342"/>
      <c r="N152" s="342"/>
      <c r="O152" s="342"/>
      <c r="P152" s="342"/>
      <c r="Q152" s="342"/>
      <c r="R152" s="342"/>
      <c r="S152" s="342"/>
      <c r="T152" s="342"/>
      <c r="U152" s="342"/>
      <c r="V152" s="342"/>
      <c r="W152" s="342"/>
      <c r="X152" s="342"/>
    </row>
    <row r="153" spans="4:24" x14ac:dyDescent="0.35">
      <c r="D153" s="342"/>
      <c r="E153" s="342"/>
      <c r="F153" s="342"/>
      <c r="G153" s="342"/>
      <c r="H153" s="342"/>
      <c r="I153" s="342"/>
      <c r="J153" s="342"/>
      <c r="K153" s="342"/>
      <c r="L153" s="342"/>
      <c r="M153" s="342"/>
      <c r="N153" s="342"/>
      <c r="O153" s="342"/>
      <c r="P153" s="342"/>
      <c r="Q153" s="342"/>
      <c r="R153" s="342"/>
      <c r="S153" s="342"/>
      <c r="T153" s="342"/>
      <c r="U153" s="342"/>
      <c r="V153" s="342"/>
      <c r="W153" s="342"/>
      <c r="X153" s="342"/>
    </row>
    <row r="154" spans="4:24" x14ac:dyDescent="0.35">
      <c r="G154" s="172" t="s">
        <v>262</v>
      </c>
    </row>
  </sheetData>
  <mergeCells count="15">
    <mergeCell ref="B13:J14"/>
    <mergeCell ref="B71:P72"/>
    <mergeCell ref="B49:N50"/>
    <mergeCell ref="B41:O42"/>
    <mergeCell ref="B29:O30"/>
    <mergeCell ref="AL16:BD17"/>
    <mergeCell ref="H16:V17"/>
    <mergeCell ref="V121:AP122"/>
    <mergeCell ref="F130:Z131"/>
    <mergeCell ref="D143:X144"/>
    <mergeCell ref="D152:X153"/>
    <mergeCell ref="C84:Q85"/>
    <mergeCell ref="AE93:AY94"/>
    <mergeCell ref="C104:W105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" activePane="bottomLeft" state="frozenSplit"/>
      <selection pane="bottomLeft" activeCell="H51" sqref="H51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71" t="str">
        <f>TEMPLATE_NAME&amp;" "&amp;TEMPLATE_VER&amp;" - FAQs"</f>
        <v>AG Estimation Template -  Version 2.0.4 - FAQs</v>
      </c>
    </row>
    <row r="4" spans="2:4" ht="18.5" x14ac:dyDescent="0.45">
      <c r="B4" s="233" t="s">
        <v>409</v>
      </c>
    </row>
    <row r="6" spans="2:4" s="229" customFormat="1" ht="21" x14ac:dyDescent="0.5">
      <c r="B6" s="228">
        <v>1</v>
      </c>
      <c r="C6" s="228" t="s">
        <v>421</v>
      </c>
    </row>
    <row r="7" spans="2:4" x14ac:dyDescent="0.35">
      <c r="D7" t="s">
        <v>422</v>
      </c>
    </row>
    <row r="8" spans="2:4" x14ac:dyDescent="0.35">
      <c r="D8" t="s">
        <v>423</v>
      </c>
    </row>
    <row r="10" spans="2:4" s="229" customFormat="1" ht="21" x14ac:dyDescent="0.5">
      <c r="B10" s="228">
        <v>2</v>
      </c>
      <c r="C10" s="228" t="s">
        <v>264</v>
      </c>
    </row>
    <row r="11" spans="2:4" x14ac:dyDescent="0.35">
      <c r="D11" t="s">
        <v>437</v>
      </c>
    </row>
    <row r="12" spans="2:4" x14ac:dyDescent="0.35">
      <c r="D12" t="s">
        <v>438</v>
      </c>
    </row>
    <row r="14" spans="2:4" s="229" customFormat="1" ht="21" x14ac:dyDescent="0.5">
      <c r="B14" s="228">
        <v>3</v>
      </c>
      <c r="C14" s="228" t="s">
        <v>265</v>
      </c>
    </row>
    <row r="15" spans="2:4" x14ac:dyDescent="0.35">
      <c r="D15" t="s">
        <v>439</v>
      </c>
    </row>
    <row r="17" spans="2:4" s="229" customFormat="1" ht="21" x14ac:dyDescent="0.5">
      <c r="B17" s="228">
        <v>4</v>
      </c>
      <c r="C17" s="228" t="s">
        <v>266</v>
      </c>
    </row>
    <row r="18" spans="2:4" x14ac:dyDescent="0.35">
      <c r="D18" t="s">
        <v>267</v>
      </c>
    </row>
    <row r="19" spans="2:4" x14ac:dyDescent="0.35">
      <c r="D19" t="s">
        <v>268</v>
      </c>
    </row>
    <row r="20" spans="2:4" x14ac:dyDescent="0.35">
      <c r="D20" t="s">
        <v>269</v>
      </c>
    </row>
    <row r="22" spans="2:4" s="229" customFormat="1" ht="21" x14ac:dyDescent="0.5">
      <c r="B22" s="228">
        <v>5</v>
      </c>
      <c r="C22" s="228" t="s">
        <v>270</v>
      </c>
    </row>
    <row r="23" spans="2:4" x14ac:dyDescent="0.35">
      <c r="D23" t="s">
        <v>271</v>
      </c>
    </row>
    <row r="24" spans="2:4" x14ac:dyDescent="0.35">
      <c r="D24" t="s">
        <v>440</v>
      </c>
    </row>
    <row r="25" spans="2:4" x14ac:dyDescent="0.35">
      <c r="D25" t="s">
        <v>272</v>
      </c>
    </row>
    <row r="27" spans="2:4" s="229" customFormat="1" ht="21" x14ac:dyDescent="0.5">
      <c r="B27" s="228">
        <v>6</v>
      </c>
      <c r="C27" s="228" t="s">
        <v>273</v>
      </c>
    </row>
    <row r="28" spans="2:4" x14ac:dyDescent="0.35">
      <c r="D28" t="s">
        <v>274</v>
      </c>
    </row>
    <row r="30" spans="2:4" s="229" customFormat="1" ht="21" x14ac:dyDescent="0.5">
      <c r="B30" s="228">
        <v>7</v>
      </c>
      <c r="C30" s="228" t="s">
        <v>277</v>
      </c>
    </row>
    <row r="31" spans="2:4" x14ac:dyDescent="0.35">
      <c r="D31" t="s">
        <v>278</v>
      </c>
    </row>
    <row r="33" spans="2:9" s="229" customFormat="1" ht="21" x14ac:dyDescent="0.5">
      <c r="B33" s="228">
        <v>8</v>
      </c>
      <c r="C33" s="228" t="s">
        <v>282</v>
      </c>
    </row>
    <row r="34" spans="2:9" x14ac:dyDescent="0.35">
      <c r="D34" t="s">
        <v>283</v>
      </c>
    </row>
    <row r="35" spans="2:9" x14ac:dyDescent="0.35">
      <c r="D35" t="s">
        <v>284</v>
      </c>
    </row>
    <row r="37" spans="2:9" s="229" customFormat="1" ht="21" x14ac:dyDescent="0.5">
      <c r="B37" s="228">
        <v>9</v>
      </c>
      <c r="C37" s="228" t="s">
        <v>279</v>
      </c>
    </row>
    <row r="38" spans="2:9" x14ac:dyDescent="0.35">
      <c r="D38" t="s">
        <v>280</v>
      </c>
    </row>
    <row r="39" spans="2:9" x14ac:dyDescent="0.35">
      <c r="F39" s="220" t="s">
        <v>281</v>
      </c>
      <c r="G39" t="s">
        <v>286</v>
      </c>
    </row>
    <row r="40" spans="2:9" x14ac:dyDescent="0.35">
      <c r="F40" s="220" t="s">
        <v>285</v>
      </c>
      <c r="G40" t="s">
        <v>287</v>
      </c>
    </row>
    <row r="41" spans="2:9" x14ac:dyDescent="0.35">
      <c r="F41" s="220" t="s">
        <v>288</v>
      </c>
      <c r="G41" t="s">
        <v>289</v>
      </c>
    </row>
    <row r="42" spans="2:9" x14ac:dyDescent="0.35">
      <c r="F42" s="220" t="s">
        <v>290</v>
      </c>
      <c r="G42" t="s">
        <v>291</v>
      </c>
    </row>
    <row r="43" spans="2:9" x14ac:dyDescent="0.35">
      <c r="G43" s="220" t="s">
        <v>292</v>
      </c>
      <c r="H43" t="s">
        <v>294</v>
      </c>
    </row>
    <row r="44" spans="2:9" x14ac:dyDescent="0.35">
      <c r="G44" s="220" t="s">
        <v>293</v>
      </c>
      <c r="H44" t="s">
        <v>295</v>
      </c>
    </row>
    <row r="45" spans="2:9" x14ac:dyDescent="0.35">
      <c r="G45" s="1" t="s">
        <v>296</v>
      </c>
      <c r="H45" t="s">
        <v>297</v>
      </c>
    </row>
    <row r="46" spans="2:9" x14ac:dyDescent="0.35">
      <c r="I46" t="s">
        <v>298</v>
      </c>
    </row>
    <row r="47" spans="2:9" x14ac:dyDescent="0.35">
      <c r="G47" s="220" t="s">
        <v>299</v>
      </c>
      <c r="H47" t="s">
        <v>300</v>
      </c>
    </row>
    <row r="48" spans="2:9" x14ac:dyDescent="0.35">
      <c r="I48" t="s">
        <v>301</v>
      </c>
    </row>
    <row r="49" spans="2:20" x14ac:dyDescent="0.35">
      <c r="G49" s="220" t="s">
        <v>302</v>
      </c>
      <c r="H49" t="s">
        <v>303</v>
      </c>
    </row>
    <row r="50" spans="2:20" x14ac:dyDescent="0.35">
      <c r="D50" s="344" t="s">
        <v>446</v>
      </c>
      <c r="E50" s="344"/>
      <c r="F50" s="344"/>
      <c r="G50" s="344"/>
      <c r="H50" t="s">
        <v>447</v>
      </c>
    </row>
    <row r="51" spans="2:20" x14ac:dyDescent="0.35">
      <c r="D51" s="344"/>
      <c r="E51" s="344"/>
      <c r="F51" s="344"/>
      <c r="G51" s="344"/>
    </row>
    <row r="52" spans="2:20" x14ac:dyDescent="0.35">
      <c r="D52" s="344"/>
      <c r="E52" s="344"/>
      <c r="F52" s="344"/>
      <c r="G52" s="344"/>
    </row>
    <row r="54" spans="2:20" s="229" customFormat="1" ht="21" x14ac:dyDescent="0.5">
      <c r="B54" s="228">
        <v>10</v>
      </c>
      <c r="C54" s="228" t="s">
        <v>304</v>
      </c>
    </row>
    <row r="55" spans="2:20" x14ac:dyDescent="0.35">
      <c r="D55" t="s">
        <v>305</v>
      </c>
    </row>
    <row r="56" spans="2:20" x14ac:dyDescent="0.35">
      <c r="D56" t="s">
        <v>306</v>
      </c>
    </row>
    <row r="57" spans="2:20" x14ac:dyDescent="0.35">
      <c r="F57" s="220" t="s">
        <v>307</v>
      </c>
      <c r="G57" t="s">
        <v>308</v>
      </c>
    </row>
    <row r="58" spans="2:20" x14ac:dyDescent="0.35">
      <c r="H58" t="s">
        <v>309</v>
      </c>
    </row>
    <row r="59" spans="2:20" x14ac:dyDescent="0.35">
      <c r="I59" t="s">
        <v>311</v>
      </c>
      <c r="N59" t="s">
        <v>310</v>
      </c>
    </row>
    <row r="60" spans="2:20" x14ac:dyDescent="0.35">
      <c r="I60" t="s">
        <v>312</v>
      </c>
      <c r="N60" t="s">
        <v>313</v>
      </c>
      <c r="T60" t="s">
        <v>321</v>
      </c>
    </row>
    <row r="61" spans="2:20" x14ac:dyDescent="0.35">
      <c r="I61" t="s">
        <v>314</v>
      </c>
      <c r="N61" t="s">
        <v>315</v>
      </c>
      <c r="T61" t="s">
        <v>321</v>
      </c>
    </row>
    <row r="62" spans="2:20" x14ac:dyDescent="0.35">
      <c r="N62" t="s">
        <v>316</v>
      </c>
    </row>
    <row r="63" spans="2:20" x14ac:dyDescent="0.35">
      <c r="F63" s="220" t="s">
        <v>317</v>
      </c>
      <c r="G63" t="s">
        <v>318</v>
      </c>
    </row>
    <row r="64" spans="2:20" x14ac:dyDescent="0.35">
      <c r="F64" s="220" t="s">
        <v>322</v>
      </c>
      <c r="G64" t="s">
        <v>323</v>
      </c>
    </row>
    <row r="65" spans="2:30" x14ac:dyDescent="0.35">
      <c r="H65" t="s">
        <v>324</v>
      </c>
    </row>
    <row r="66" spans="2:30" x14ac:dyDescent="0.35">
      <c r="I66" t="s">
        <v>325</v>
      </c>
    </row>
    <row r="67" spans="2:30" x14ac:dyDescent="0.35">
      <c r="G67" t="s">
        <v>326</v>
      </c>
    </row>
    <row r="68" spans="2:30" x14ac:dyDescent="0.35">
      <c r="F68" s="220" t="s">
        <v>319</v>
      </c>
      <c r="G68" t="s">
        <v>320</v>
      </c>
      <c r="AD68" t="s">
        <v>321</v>
      </c>
    </row>
    <row r="69" spans="2:30" x14ac:dyDescent="0.35">
      <c r="H69" t="s">
        <v>342</v>
      </c>
    </row>
    <row r="71" spans="2:30" s="229" customFormat="1" ht="21" x14ac:dyDescent="0.5">
      <c r="B71" s="228">
        <v>11</v>
      </c>
      <c r="C71" s="228" t="s">
        <v>327</v>
      </c>
    </row>
    <row r="72" spans="2:30" x14ac:dyDescent="0.35">
      <c r="D72" t="s">
        <v>328</v>
      </c>
    </row>
    <row r="73" spans="2:30" x14ac:dyDescent="0.35">
      <c r="D73" t="s">
        <v>329</v>
      </c>
    </row>
    <row r="74" spans="2:30" x14ac:dyDescent="0.35">
      <c r="D74" t="s">
        <v>330</v>
      </c>
    </row>
    <row r="76" spans="2:30" s="229" customFormat="1" ht="21" x14ac:dyDescent="0.5">
      <c r="B76" s="228">
        <v>12</v>
      </c>
      <c r="C76" s="228" t="s">
        <v>331</v>
      </c>
    </row>
    <row r="77" spans="2:30" x14ac:dyDescent="0.35">
      <c r="D77" t="s">
        <v>332</v>
      </c>
    </row>
    <row r="78" spans="2:30" x14ac:dyDescent="0.35">
      <c r="D78" t="s">
        <v>333</v>
      </c>
    </row>
    <row r="79" spans="2:30" x14ac:dyDescent="0.35">
      <c r="E79" s="220" t="s">
        <v>334</v>
      </c>
      <c r="F79" t="s">
        <v>338</v>
      </c>
    </row>
    <row r="80" spans="2:30" x14ac:dyDescent="0.35">
      <c r="G80" t="s">
        <v>344</v>
      </c>
    </row>
    <row r="81" spans="2:7" x14ac:dyDescent="0.35">
      <c r="G81" t="s">
        <v>339</v>
      </c>
    </row>
    <row r="82" spans="2:7" x14ac:dyDescent="0.35">
      <c r="E82" s="220" t="s">
        <v>340</v>
      </c>
      <c r="F82" t="s">
        <v>341</v>
      </c>
    </row>
    <row r="83" spans="2:7" x14ac:dyDescent="0.35">
      <c r="G83" t="s">
        <v>343</v>
      </c>
    </row>
    <row r="85" spans="2:7" s="229" customFormat="1" ht="21" x14ac:dyDescent="0.5">
      <c r="B85" s="228">
        <v>13</v>
      </c>
      <c r="C85" s="228" t="s">
        <v>345</v>
      </c>
    </row>
    <row r="86" spans="2:7" x14ac:dyDescent="0.35">
      <c r="D86" t="s">
        <v>346</v>
      </c>
    </row>
    <row r="87" spans="2:7" x14ac:dyDescent="0.35">
      <c r="E87" s="220" t="s">
        <v>347</v>
      </c>
      <c r="F87" t="s">
        <v>350</v>
      </c>
    </row>
    <row r="88" spans="2:7" x14ac:dyDescent="0.35">
      <c r="E88" s="220"/>
      <c r="F88" t="s">
        <v>351</v>
      </c>
    </row>
    <row r="89" spans="2:7" x14ac:dyDescent="0.35">
      <c r="E89" s="220"/>
      <c r="F89" t="s">
        <v>352</v>
      </c>
    </row>
    <row r="90" spans="2:7" x14ac:dyDescent="0.35">
      <c r="E90" s="220"/>
      <c r="F90" t="s">
        <v>353</v>
      </c>
    </row>
    <row r="91" spans="2:7" x14ac:dyDescent="0.35">
      <c r="E91" s="220"/>
      <c r="F91" t="s">
        <v>354</v>
      </c>
    </row>
    <row r="92" spans="2:7" x14ac:dyDescent="0.35">
      <c r="E92" s="220" t="s">
        <v>348</v>
      </c>
      <c r="F92" t="s">
        <v>355</v>
      </c>
    </row>
    <row r="93" spans="2:7" x14ac:dyDescent="0.35">
      <c r="E93" s="220"/>
      <c r="F93" t="s">
        <v>356</v>
      </c>
    </row>
    <row r="94" spans="2:7" x14ac:dyDescent="0.35">
      <c r="E94" s="220" t="s">
        <v>349</v>
      </c>
      <c r="F94" t="s">
        <v>357</v>
      </c>
    </row>
    <row r="96" spans="2:7" s="229" customFormat="1" ht="21" x14ac:dyDescent="0.5">
      <c r="B96" s="228">
        <v>14</v>
      </c>
      <c r="C96" s="228" t="s">
        <v>417</v>
      </c>
    </row>
    <row r="97" spans="2:6" x14ac:dyDescent="0.35">
      <c r="D97" t="s">
        <v>358</v>
      </c>
    </row>
    <row r="98" spans="2:6" x14ac:dyDescent="0.35">
      <c r="E98" s="220" t="s">
        <v>359</v>
      </c>
      <c r="F98" t="s">
        <v>366</v>
      </c>
    </row>
    <row r="99" spans="2:6" x14ac:dyDescent="0.35">
      <c r="E99" s="220" t="s">
        <v>360</v>
      </c>
      <c r="F99" t="s">
        <v>367</v>
      </c>
    </row>
    <row r="100" spans="2:6" x14ac:dyDescent="0.35">
      <c r="E100" s="220" t="s">
        <v>361</v>
      </c>
      <c r="F100" t="s">
        <v>365</v>
      </c>
    </row>
    <row r="101" spans="2:6" x14ac:dyDescent="0.35">
      <c r="E101" s="220" t="s">
        <v>362</v>
      </c>
      <c r="F101" t="s">
        <v>364</v>
      </c>
    </row>
    <row r="102" spans="2:6" x14ac:dyDescent="0.35">
      <c r="E102" s="220" t="s">
        <v>363</v>
      </c>
      <c r="F102" t="s">
        <v>368</v>
      </c>
    </row>
    <row r="104" spans="2:6" s="229" customFormat="1" ht="21" x14ac:dyDescent="0.5">
      <c r="B104" s="228">
        <v>15</v>
      </c>
      <c r="C104" s="228" t="s">
        <v>335</v>
      </c>
    </row>
    <row r="105" spans="2:6" x14ac:dyDescent="0.35">
      <c r="D105" t="s">
        <v>336</v>
      </c>
    </row>
    <row r="106" spans="2:6" x14ac:dyDescent="0.35">
      <c r="D106" t="s">
        <v>337</v>
      </c>
    </row>
    <row r="108" spans="2:6" s="229" customFormat="1" ht="21" x14ac:dyDescent="0.5">
      <c r="B108" s="228">
        <v>16</v>
      </c>
      <c r="C108" s="228" t="s">
        <v>369</v>
      </c>
    </row>
    <row r="109" spans="2:6" x14ac:dyDescent="0.35">
      <c r="D109" t="s">
        <v>370</v>
      </c>
    </row>
    <row r="110" spans="2:6" x14ac:dyDescent="0.35">
      <c r="D110" t="s">
        <v>371</v>
      </c>
    </row>
    <row r="111" spans="2:6" x14ac:dyDescent="0.35">
      <c r="D111" t="s">
        <v>372</v>
      </c>
    </row>
    <row r="114" spans="2:6" ht="18.5" x14ac:dyDescent="0.45">
      <c r="B114" s="233" t="s">
        <v>410</v>
      </c>
    </row>
    <row r="116" spans="2:6" s="229" customFormat="1" ht="21" x14ac:dyDescent="0.5">
      <c r="B116" s="227">
        <v>17</v>
      </c>
      <c r="C116" s="227" t="s">
        <v>389</v>
      </c>
    </row>
    <row r="117" spans="2:6" x14ac:dyDescent="0.35">
      <c r="D117" t="s">
        <v>396</v>
      </c>
    </row>
    <row r="118" spans="2:6" x14ac:dyDescent="0.35">
      <c r="E118" t="s">
        <v>397</v>
      </c>
    </row>
    <row r="119" spans="2:6" x14ac:dyDescent="0.35">
      <c r="E119" t="s">
        <v>398</v>
      </c>
    </row>
    <row r="120" spans="2:6" x14ac:dyDescent="0.35">
      <c r="E120" t="s">
        <v>400</v>
      </c>
    </row>
    <row r="121" spans="2:6" s="231" customFormat="1" x14ac:dyDescent="0.35">
      <c r="F121" s="232" t="s">
        <v>399</v>
      </c>
    </row>
    <row r="122" spans="2:6" s="231" customFormat="1" x14ac:dyDescent="0.35">
      <c r="F122" s="232"/>
    </row>
    <row r="123" spans="2:6" s="231" customFormat="1" x14ac:dyDescent="0.35">
      <c r="E123" s="232" t="s">
        <v>401</v>
      </c>
      <c r="F123" s="232"/>
    </row>
    <row r="124" spans="2:6" s="231" customFormat="1" x14ac:dyDescent="0.35">
      <c r="F124" s="232" t="s">
        <v>402</v>
      </c>
    </row>
    <row r="125" spans="2:6" s="231" customFormat="1" x14ac:dyDescent="0.35">
      <c r="F125" s="232" t="s">
        <v>403</v>
      </c>
    </row>
    <row r="126" spans="2:6" x14ac:dyDescent="0.35">
      <c r="F126" s="232" t="s">
        <v>404</v>
      </c>
    </row>
    <row r="127" spans="2:6" x14ac:dyDescent="0.35">
      <c r="F127" s="232"/>
    </row>
    <row r="128" spans="2:6" s="229" customFormat="1" ht="21" x14ac:dyDescent="0.5">
      <c r="B128" s="227">
        <v>18</v>
      </c>
      <c r="C128" s="227" t="s">
        <v>390</v>
      </c>
    </row>
    <row r="129" spans="2:4" x14ac:dyDescent="0.35">
      <c r="D129" t="s">
        <v>405</v>
      </c>
    </row>
    <row r="130" spans="2:4" x14ac:dyDescent="0.35">
      <c r="D130" t="s">
        <v>406</v>
      </c>
    </row>
    <row r="131" spans="2:4" x14ac:dyDescent="0.35">
      <c r="D131" t="s">
        <v>407</v>
      </c>
    </row>
    <row r="132" spans="2:4" x14ac:dyDescent="0.35">
      <c r="D132" t="s">
        <v>408</v>
      </c>
    </row>
    <row r="134" spans="2:4" s="229" customFormat="1" ht="21" x14ac:dyDescent="0.5">
      <c r="B134" s="227">
        <v>19</v>
      </c>
      <c r="C134" s="227" t="s">
        <v>392</v>
      </c>
    </row>
    <row r="135" spans="2:4" x14ac:dyDescent="0.35">
      <c r="D135" t="s">
        <v>393</v>
      </c>
    </row>
    <row r="137" spans="2:4" s="229" customFormat="1" ht="21" x14ac:dyDescent="0.5">
      <c r="B137" s="227">
        <v>20</v>
      </c>
      <c r="C137" s="227" t="s">
        <v>394</v>
      </c>
    </row>
    <row r="138" spans="2:4" x14ac:dyDescent="0.35">
      <c r="D138" t="s">
        <v>395</v>
      </c>
    </row>
    <row r="140" spans="2:4" s="229" customFormat="1" ht="21" x14ac:dyDescent="0.5">
      <c r="B140" s="227">
        <v>21</v>
      </c>
      <c r="C140" s="227" t="s">
        <v>379</v>
      </c>
    </row>
    <row r="141" spans="2:4" x14ac:dyDescent="0.35">
      <c r="D141" t="s">
        <v>373</v>
      </c>
    </row>
    <row r="142" spans="2:4" x14ac:dyDescent="0.35">
      <c r="D142" t="s">
        <v>374</v>
      </c>
    </row>
    <row r="144" spans="2:4" s="229" customFormat="1" ht="21" x14ac:dyDescent="0.5">
      <c r="B144" s="227">
        <v>22</v>
      </c>
      <c r="C144" s="227" t="s">
        <v>380</v>
      </c>
    </row>
    <row r="145" spans="2:4" x14ac:dyDescent="0.35">
      <c r="D145" t="s">
        <v>375</v>
      </c>
    </row>
    <row r="146" spans="2:4" x14ac:dyDescent="0.35">
      <c r="D146" t="s">
        <v>376</v>
      </c>
    </row>
    <row r="147" spans="2:4" x14ac:dyDescent="0.35">
      <c r="D147" t="s">
        <v>377</v>
      </c>
    </row>
    <row r="148" spans="2:4" x14ac:dyDescent="0.35">
      <c r="D148" t="s">
        <v>378</v>
      </c>
    </row>
    <row r="151" spans="2:4" ht="18.5" x14ac:dyDescent="0.45">
      <c r="B151" s="233" t="s">
        <v>411</v>
      </c>
    </row>
    <row r="153" spans="2:4" s="229" customFormat="1" ht="21" x14ac:dyDescent="0.5">
      <c r="B153" s="230">
        <v>23</v>
      </c>
      <c r="C153" s="230" t="s">
        <v>420</v>
      </c>
    </row>
    <row r="154" spans="2:4" x14ac:dyDescent="0.35">
      <c r="D154" t="s">
        <v>381</v>
      </c>
    </row>
    <row r="155" spans="2:4" x14ac:dyDescent="0.35">
      <c r="D155" t="s">
        <v>382</v>
      </c>
    </row>
    <row r="156" spans="2:4" x14ac:dyDescent="0.35">
      <c r="D156" t="s">
        <v>383</v>
      </c>
    </row>
    <row r="157" spans="2:4" x14ac:dyDescent="0.35">
      <c r="D157" t="s">
        <v>384</v>
      </c>
    </row>
    <row r="159" spans="2:4" s="229" customFormat="1" ht="21" x14ac:dyDescent="0.5">
      <c r="B159" s="230">
        <v>24</v>
      </c>
      <c r="C159" s="230" t="s">
        <v>418</v>
      </c>
    </row>
    <row r="160" spans="2:4" x14ac:dyDescent="0.35">
      <c r="D160" t="s">
        <v>412</v>
      </c>
    </row>
    <row r="161" spans="2:4" x14ac:dyDescent="0.35">
      <c r="D161" t="s">
        <v>413</v>
      </c>
    </row>
    <row r="162" spans="2:4" x14ac:dyDescent="0.35">
      <c r="D162" t="s">
        <v>414</v>
      </c>
    </row>
    <row r="163" spans="2:4" x14ac:dyDescent="0.35">
      <c r="D163" t="s">
        <v>415</v>
      </c>
    </row>
    <row r="165" spans="2:4" s="229" customFormat="1" ht="21" x14ac:dyDescent="0.5">
      <c r="B165" s="230">
        <v>25</v>
      </c>
      <c r="C165" s="230" t="s">
        <v>385</v>
      </c>
    </row>
    <row r="166" spans="2:4" x14ac:dyDescent="0.35">
      <c r="D166" t="s">
        <v>386</v>
      </c>
    </row>
    <row r="167" spans="2:4" x14ac:dyDescent="0.35">
      <c r="D167" t="s">
        <v>387</v>
      </c>
    </row>
    <row r="168" spans="2:4" x14ac:dyDescent="0.35">
      <c r="D168" t="s">
        <v>388</v>
      </c>
    </row>
    <row r="172" spans="2:4" ht="18.5" x14ac:dyDescent="0.45">
      <c r="B172" s="233" t="s">
        <v>416</v>
      </c>
    </row>
    <row r="174" spans="2:4" s="229" customFormat="1" ht="21" x14ac:dyDescent="0.5">
      <c r="B174" s="226">
        <v>26</v>
      </c>
      <c r="C174" s="226" t="s">
        <v>419</v>
      </c>
    </row>
    <row r="175" spans="2:4" x14ac:dyDescent="0.35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19" ma:contentTypeDescription="" ma:contentTypeScope="" ma:versionID="3b6de457559cd0436ceb29123c467a76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14d79c159d607aa21ba2c8d09858bf7e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9EF3843-EEF4-4BA1-AA02-A0818997DD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5A3788-A2C5-49FE-A0B1-252591E114B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purl.org/dc/elements/1.1/"/>
    <ds:schemaRef ds:uri="http://schemas.microsoft.com/office/2006/metadata/properties"/>
    <ds:schemaRef ds:uri="97082568-3af7-4690-b0aa-7486844a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Nagarro</dc:creator>
  <cp:keywords/>
  <cp:lastModifiedBy>Nagarro</cp:lastModifiedBy>
  <cp:lastPrinted>2015-06-17T10:58:29Z</cp:lastPrinted>
  <dcterms:created xsi:type="dcterms:W3CDTF">2013-10-21T05:49:27Z</dcterms:created>
  <dcterms:modified xsi:type="dcterms:W3CDTF">2019-07-10T15:15:11Z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