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jeet2126\Desktop\Assessment for Assc Architect\Artifacts\"/>
    </mc:Choice>
  </mc:AlternateContent>
  <xr:revisionPtr revIDLastSave="0" documentId="13_ncr:1_{FE189034-278E-4C36-8FB9-4BAD6658C12C}" xr6:coauthVersionLast="43" xr6:coauthVersionMax="43" xr10:uidLastSave="{00000000-0000-0000-0000-000000000000}"/>
  <workbookProtection workbookAlgorithmName="SHA-512" workbookHashValue="wzFoNzfVdL4Dmi+OGf0QVZyL3cjNKyvkR4xrmj9yq6Nei1SEI13Qf7QZ6Sk+CuW13o41oCxG+H2FZpbHK7JX0Q==" workbookSaltValue="28P0ZPqQNJMHt9isURrkZA==" workbookSpinCount="100000" lockStructure="1"/>
  <bookViews>
    <workbookView xWindow="-110" yWindow="-110" windowWidth="19420" windowHeight="10420" tabRatio="0" firstSheet="1" activeTab="1" xr2:uid="{00000000-000D-0000-FFFF-FFFF00000000}"/>
  </bookViews>
  <sheets>
    <sheet name="Lists" sheetId="4" state="hidden" r:id="rId1"/>
    <sheet name="Estimation" sheetId="2" r:id="rId2"/>
    <sheet name="Schedule" sheetId="5" r:id="rId3"/>
    <sheet name="RoughWork" sheetId="7" r:id="rId4"/>
    <sheet name="Help" sheetId="6" r:id="rId5"/>
    <sheet name="FAQs" sheetId="8" r:id="rId6"/>
  </sheets>
  <functionGroups builtInGroupCount="19"/>
  <definedNames>
    <definedName name="ACTIVITY_RANGE">Estimation!$368:$368</definedName>
    <definedName name="AS_DEV_EFFORT">Estimation!$P$258</definedName>
    <definedName name="AS_DURATION_EFFORT">Estimation!$P$259</definedName>
    <definedName name="AS_MANUAL_DURATION_EFFORT">Estimation!$U$260</definedName>
    <definedName name="AUTOMATED_END_DATE">Estimation!$P$234</definedName>
    <definedName name="BUFFER_TYPES_LIST">Lists!$B$45:$B$48</definedName>
    <definedName name="BUFFERS_BY_TYPE">Estimation!$N$293:$O$295</definedName>
    <definedName name="CHOSEN_CURRENCY">Estimation!$O$252</definedName>
    <definedName name="CLIENT_NAME">Estimation!$O$245</definedName>
    <definedName name="COMPACT_WBS">Estimation!$L$10:$T$195</definedName>
    <definedName name="COPY_TYPE">Estimation!$R$9</definedName>
    <definedName name="CURRENCIES_LIST">Lists!$B$27:$B$29</definedName>
    <definedName name="CUSTOM_PERCENT">Estimation!$T$5</definedName>
    <definedName name="DESIGN_COST">Estimation!$W$220</definedName>
    <definedName name="DESIGN_EFFORT">Estimation!$O$220</definedName>
    <definedName name="DESIGN_RANGE">Estimation!$L$59:$AC$86</definedName>
    <definedName name="DESIGN_TA_COUNT">Estimation!$R$230</definedName>
    <definedName name="DESIGN_TA_PERCENT">Estimation!$R$220</definedName>
    <definedName name="DEV_COST">Estimation!$W$221</definedName>
    <definedName name="DEV_DEV_COUNT">Estimation!$T$231</definedName>
    <definedName name="DEV_DEV_PERCENT">Estimation!$T$221</definedName>
    <definedName name="DEV_EFFORT">Estimation!$O$221</definedName>
    <definedName name="DEV_RANGE">Estimation!$L$87:$AC$126</definedName>
    <definedName name="DURATION">Estimation!$P$235</definedName>
    <definedName name="EXTRA_FOR_H">Estimation!$O$280</definedName>
    <definedName name="EXTRAS_ARRAY">Estimation!$N$285:$O$290</definedName>
    <definedName name="EXTRAS_LIST">Estimation!$N$285:$N$290</definedName>
    <definedName name="FBS">Estimation!$L$197</definedName>
    <definedName name="FBS_FORMAT">Estimation!$S$202</definedName>
    <definedName name="FBS_INSERT_AT">Estimation!$M$208:$P$208</definedName>
    <definedName name="FBS_LINK">Estimation!$T$202</definedName>
    <definedName name="FBS_RANGE">Estimation!$M$203:$P$209</definedName>
    <definedName name="FULL_WBS">Estimation!$L$10:$AC$195</definedName>
    <definedName name="INCLUDE_OPTIONALS_LIST">Lists!$B$58:$B$59</definedName>
    <definedName name="IS_KEY_OPP">Estimation!$O$250</definedName>
    <definedName name="LESS_FOR_L">Estimation!$O$281</definedName>
    <definedName name="MANUAL_DURATION">Estimation!$P$236</definedName>
    <definedName name="MANUAL_END_DATE">Schedule!$L$1</definedName>
    <definedName name="MAX_EFFORT_PERCENT">Estimation!$P$255</definedName>
    <definedName name="MIN_EFFORT_PERCENT">Estimation!$O$255</definedName>
    <definedName name="MODULE_RANGE">Estimation!$372:$372</definedName>
    <definedName name="NOT_IN_COMPACT">Estimation!$O:$W</definedName>
    <definedName name="OTHER_COST">Estimation!$W$224</definedName>
    <definedName name="OTHER_EFFORT">Estimation!$O$224</definedName>
    <definedName name="OTHER_TL_COUNT">Estimation!$S$234</definedName>
    <definedName name="OTHER_TL_PERCENT">Estimation!$S$224</definedName>
    <definedName name="OTHERS_RANGE">Estimation!$L$188:$AC$194</definedName>
    <definedName name="PLATFORM">Estimation!$O$247</definedName>
    <definedName name="PLATFORMS_LIST">Lists!$B$38:$B$42</definedName>
    <definedName name="_xlnm.Print_Area" localSheetId="1">Estimation!$A$1:$AC$241</definedName>
    <definedName name="PROJECT_NAME">Estimation!$O$246</definedName>
    <definedName name="PROJECT_TYPE">Estimation!$O$248</definedName>
    <definedName name="PROJECT_TYPES_LIST">Lists!$B$32:$B$35</definedName>
    <definedName name="QA_COST">Estimation!$W$222</definedName>
    <definedName name="QA_EFFORT">Estimation!$O$222</definedName>
    <definedName name="QA_RANGE">Estimation!$L$127:$AC$164</definedName>
    <definedName name="REGIONS_LIST">Lists!$B$19:$B$24</definedName>
    <definedName name="REQ_BA_COUNT">Estimation!$Q$229</definedName>
    <definedName name="REQ_BA_PERCENT">Estimation!$Q$219</definedName>
    <definedName name="REQ_COST">Estimation!$W$219</definedName>
    <definedName name="REQ_EFFORT">Estimation!$O$219</definedName>
    <definedName name="REQ_RANGE">Estimation!$L$12:$AC$58</definedName>
    <definedName name="RFP_NAME">Estimation!$O$249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Estimation!$P$285:$P$286</definedName>
    <definedName name="SECTION_RANGE">Estimation!$364:$370</definedName>
    <definedName name="START_DATE">Estimation!$O$229</definedName>
    <definedName name="TASK_RANGE">Estimation!$366:$369</definedName>
    <definedName name="TEMPLATE_NAME">Estimation!$G$3</definedName>
    <definedName name="TEMPLATE_SECTION">Estimation!$363:$373</definedName>
    <definedName name="TEMPLATE_VER">Estimation!$K$3</definedName>
    <definedName name="TESTING_QA_COUNT">Estimation!$U$232</definedName>
    <definedName name="TESTING_QA_PERCENT">Estimation!$U$222</definedName>
    <definedName name="TOTAL_COST">Estimation!$W$225</definedName>
    <definedName name="TOTAL_EFFORT">Estimation!$O$225</definedName>
    <definedName name="Total_FRs">Estimation!$Q$23</definedName>
    <definedName name="Total_Screens">Estimation!$P$56</definedName>
    <definedName name="Total_Test_Cases">Estimation!$P$139</definedName>
    <definedName name="Total_Use_Cases">Estimation!$P$41</definedName>
    <definedName name="TOTAL_WEEKS">Estimation!$P$225</definedName>
    <definedName name="UAT_COST">Estimation!$W$223</definedName>
    <definedName name="UAT_DEV_COUNT">Estimation!$T$233</definedName>
    <definedName name="UAT_DEV_PERCENT">Estimation!$T$223</definedName>
    <definedName name="UAT_EFFORT">Estimation!$O$223</definedName>
    <definedName name="UAT_RANGE">Estimation!$L$165:$AC$187</definedName>
    <definedName name="YES_NO_LIST">Lists!$B$3:$B$5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75" i="2" l="1"/>
  <c r="AA75" i="2" s="1"/>
  <c r="S75" i="2" s="1"/>
  <c r="AD75" i="2" s="1"/>
  <c r="Y162" i="2" l="1"/>
  <c r="AA162" i="2" s="1"/>
  <c r="S162" i="2" s="1"/>
  <c r="AD162" i="2" s="1"/>
  <c r="Y161" i="2"/>
  <c r="AA161" i="2" s="1"/>
  <c r="S161" i="2" s="1"/>
  <c r="AD161" i="2" s="1"/>
  <c r="R160" i="2" l="1"/>
  <c r="R159" i="2"/>
  <c r="R157" i="2"/>
  <c r="X152" i="2"/>
  <c r="X151" i="2"/>
  <c r="AD135" i="2" l="1"/>
  <c r="AD129" i="2"/>
  <c r="Y132" i="2"/>
  <c r="AA132" i="2" s="1"/>
  <c r="S132" i="2" s="1"/>
  <c r="AD130" i="2"/>
  <c r="Y141" i="2"/>
  <c r="AA141" i="2" s="1"/>
  <c r="S141" i="2" s="1"/>
  <c r="AD141" i="2" s="1"/>
  <c r="Y138" i="2"/>
  <c r="AA138" i="2" s="1"/>
  <c r="S138" i="2" s="1"/>
  <c r="AD136" i="2"/>
  <c r="Y124" i="2"/>
  <c r="AA124" i="2" s="1"/>
  <c r="S124" i="2" s="1"/>
  <c r="AD124" i="2" s="1"/>
  <c r="AD120" i="2"/>
  <c r="Y123" i="2"/>
  <c r="AA123" i="2" s="1"/>
  <c r="S123" i="2" s="1"/>
  <c r="AD121" i="2"/>
  <c r="Y54" i="2"/>
  <c r="AA54" i="2" s="1"/>
  <c r="S54" i="2" s="1"/>
  <c r="AD54" i="2" s="1"/>
  <c r="Y56" i="2"/>
  <c r="AA56" i="2" s="1"/>
  <c r="S56" i="2" s="1"/>
  <c r="AD56" i="2" s="1"/>
  <c r="Y47" i="2"/>
  <c r="AA47" i="2" s="1"/>
  <c r="S47" i="2" s="1"/>
  <c r="AD47" i="2" s="1"/>
  <c r="Y48" i="2"/>
  <c r="AA48" i="2" s="1"/>
  <c r="S48" i="2" s="1"/>
  <c r="AD48" i="2" s="1"/>
  <c r="Y49" i="2"/>
  <c r="AA49" i="2" s="1"/>
  <c r="S49" i="2" s="1"/>
  <c r="AD49" i="2" s="1"/>
  <c r="Y42" i="2"/>
  <c r="AA42" i="2" s="1"/>
  <c r="S42" i="2" s="1"/>
  <c r="AD42" i="2" s="1"/>
  <c r="Y43" i="2"/>
  <c r="AA43" i="2" s="1"/>
  <c r="S43" i="2" s="1"/>
  <c r="AD43" i="2" s="1"/>
  <c r="Y36" i="2"/>
  <c r="AA36" i="2" s="1"/>
  <c r="S36" i="2" s="1"/>
  <c r="AD36" i="2" s="1"/>
  <c r="Y37" i="2"/>
  <c r="AA37" i="2" s="1"/>
  <c r="S37" i="2" s="1"/>
  <c r="AD37" i="2" s="1"/>
  <c r="Y29" i="2"/>
  <c r="AA29" i="2" s="1"/>
  <c r="S29" i="2" s="1"/>
  <c r="AD29" i="2" s="1"/>
  <c r="Y30" i="2"/>
  <c r="AA30" i="2" s="1"/>
  <c r="S30" i="2" s="1"/>
  <c r="AD30" i="2" s="1"/>
  <c r="Y31" i="2"/>
  <c r="AA31" i="2" s="1"/>
  <c r="S31" i="2" s="1"/>
  <c r="AD31" i="2" s="1"/>
  <c r="Y22" i="2"/>
  <c r="AA22" i="2" s="1"/>
  <c r="S22" i="2" s="1"/>
  <c r="AD22" i="2" s="1"/>
  <c r="Y53" i="2"/>
  <c r="AA53" i="2" s="1"/>
  <c r="S53" i="2" s="1"/>
  <c r="AD51" i="2"/>
  <c r="AD45" i="2"/>
  <c r="AD39" i="2"/>
  <c r="Y35" i="2"/>
  <c r="AA35" i="2" s="1"/>
  <c r="S35" i="2" s="1"/>
  <c r="AD33" i="2"/>
  <c r="Y28" i="2"/>
  <c r="AA28" i="2" s="1"/>
  <c r="S28" i="2" s="1"/>
  <c r="AD26" i="2"/>
  <c r="Q139" i="2" l="1"/>
  <c r="Y55" i="2"/>
  <c r="AA55" i="2" s="1"/>
  <c r="S55" i="2" s="1"/>
  <c r="AD55" i="2" s="1"/>
  <c r="Q133" i="2"/>
  <c r="Y133" i="2" s="1"/>
  <c r="AA133" i="2" s="1"/>
  <c r="S133" i="2" s="1"/>
  <c r="AD133" i="2" s="1"/>
  <c r="AD132" i="2"/>
  <c r="AD138" i="2"/>
  <c r="P140" i="2"/>
  <c r="P139" i="2"/>
  <c r="Q140" i="2"/>
  <c r="T121" i="2"/>
  <c r="AD123" i="2"/>
  <c r="Y41" i="2"/>
  <c r="AA41" i="2" s="1"/>
  <c r="S41" i="2" s="1"/>
  <c r="T39" i="2" s="1"/>
  <c r="AD53" i="2"/>
  <c r="T45" i="2"/>
  <c r="T33" i="2"/>
  <c r="AD35" i="2"/>
  <c r="T26" i="2"/>
  <c r="AD28" i="2"/>
  <c r="T51" i="2" l="1"/>
  <c r="Y139" i="2"/>
  <c r="AA139" i="2" s="1"/>
  <c r="S139" i="2" s="1"/>
  <c r="AD139" i="2" s="1"/>
  <c r="Q152" i="2"/>
  <c r="Q151" i="2"/>
  <c r="Q146" i="2"/>
  <c r="T130" i="2"/>
  <c r="Y140" i="2"/>
  <c r="AA140" i="2" s="1"/>
  <c r="S140" i="2" s="1"/>
  <c r="AD140" i="2" s="1"/>
  <c r="AD41" i="2"/>
  <c r="S120" i="2"/>
  <c r="T136" i="2" l="1"/>
  <c r="R217" i="2" l="1"/>
  <c r="S217" i="2"/>
  <c r="T217" i="2"/>
  <c r="U217" i="2"/>
  <c r="V217" i="2"/>
  <c r="Q217" i="2"/>
  <c r="S372" i="2"/>
  <c r="AD190" i="2" l="1"/>
  <c r="Y18" i="2" l="1"/>
  <c r="AA18" i="2" s="1"/>
  <c r="S18" i="2" s="1"/>
  <c r="AD18" i="2" s="1"/>
  <c r="Y183" i="2" l="1"/>
  <c r="AA183" i="2" s="1"/>
  <c r="S183" i="2" s="1"/>
  <c r="AD183" i="2" s="1"/>
  <c r="Y184" i="2"/>
  <c r="AA184" i="2" s="1"/>
  <c r="S184" i="2" s="1"/>
  <c r="AD184" i="2" s="1"/>
  <c r="Y185" i="2"/>
  <c r="AA185" i="2" s="1"/>
  <c r="S185" i="2" s="1"/>
  <c r="AD185" i="2" s="1"/>
  <c r="Y182" i="2"/>
  <c r="AA182" i="2" s="1"/>
  <c r="S182" i="2" s="1"/>
  <c r="AD180" i="2"/>
  <c r="Y178" i="2"/>
  <c r="AA178" i="2" s="1"/>
  <c r="S178" i="2" s="1"/>
  <c r="AD176" i="2"/>
  <c r="Y174" i="2"/>
  <c r="AA174" i="2" s="1"/>
  <c r="S174" i="2" s="1"/>
  <c r="AD172" i="2"/>
  <c r="Y170" i="2"/>
  <c r="AA170" i="2" s="1"/>
  <c r="S170" i="2" s="1"/>
  <c r="AD170" i="2" s="1"/>
  <c r="Y169" i="2"/>
  <c r="AA169" i="2" s="1"/>
  <c r="S169" i="2" s="1"/>
  <c r="AD167" i="2"/>
  <c r="Y158" i="2"/>
  <c r="AA158" i="2" s="1"/>
  <c r="S158" i="2" s="1"/>
  <c r="AD158" i="2" s="1"/>
  <c r="Y159" i="2"/>
  <c r="AA159" i="2" s="1"/>
  <c r="S159" i="2" s="1"/>
  <c r="AD159" i="2" s="1"/>
  <c r="Y160" i="2"/>
  <c r="AA160" i="2" s="1"/>
  <c r="S160" i="2" s="1"/>
  <c r="AD160" i="2" s="1"/>
  <c r="Y157" i="2"/>
  <c r="AA157" i="2" s="1"/>
  <c r="S157" i="2" s="1"/>
  <c r="AD155" i="2"/>
  <c r="Y152" i="2"/>
  <c r="AA152" i="2" s="1"/>
  <c r="S152" i="2" s="1"/>
  <c r="AD152" i="2" s="1"/>
  <c r="Y153" i="2"/>
  <c r="AA153" i="2" s="1"/>
  <c r="S153" i="2" s="1"/>
  <c r="AD153" i="2" s="1"/>
  <c r="Y151" i="2"/>
  <c r="AA151" i="2" s="1"/>
  <c r="S151" i="2" s="1"/>
  <c r="AD151" i="2" s="1"/>
  <c r="Y150" i="2"/>
  <c r="AA150" i="2" s="1"/>
  <c r="S150" i="2" s="1"/>
  <c r="AD148" i="2"/>
  <c r="Y146" i="2"/>
  <c r="AA146" i="2" s="1"/>
  <c r="S146" i="2" s="1"/>
  <c r="AD146" i="2" s="1"/>
  <c r="Y145" i="2"/>
  <c r="AA145" i="2" s="1"/>
  <c r="S145" i="2" s="1"/>
  <c r="AD143" i="2"/>
  <c r="Y114" i="2"/>
  <c r="AA114" i="2" s="1"/>
  <c r="S114" i="2" s="1"/>
  <c r="AD114" i="2" s="1"/>
  <c r="Y118" i="2"/>
  <c r="AA118" i="2" s="1"/>
  <c r="S118" i="2" s="1"/>
  <c r="AD116" i="2"/>
  <c r="AD110" i="2"/>
  <c r="Y108" i="2"/>
  <c r="AA108" i="2" s="1"/>
  <c r="S108" i="2" s="1"/>
  <c r="AD108" i="2" s="1"/>
  <c r="Y99" i="2"/>
  <c r="AA99" i="2" s="1"/>
  <c r="S99" i="2" s="1"/>
  <c r="AD99" i="2" s="1"/>
  <c r="Y100" i="2"/>
  <c r="AA100" i="2" s="1"/>
  <c r="S100" i="2" s="1"/>
  <c r="AD100" i="2" s="1"/>
  <c r="Y101" i="2"/>
  <c r="AA101" i="2" s="1"/>
  <c r="S101" i="2" s="1"/>
  <c r="AD101" i="2" s="1"/>
  <c r="Y102" i="2"/>
  <c r="AA102" i="2" s="1"/>
  <c r="S102" i="2" s="1"/>
  <c r="AD102" i="2" s="1"/>
  <c r="Y92" i="2"/>
  <c r="AA92" i="2" s="1"/>
  <c r="S92" i="2" s="1"/>
  <c r="AD92" i="2" s="1"/>
  <c r="Y93" i="2"/>
  <c r="AA93" i="2" s="1"/>
  <c r="S93" i="2" s="1"/>
  <c r="AD93" i="2" s="1"/>
  <c r="Y94" i="2"/>
  <c r="AA94" i="2" s="1"/>
  <c r="S94" i="2" s="1"/>
  <c r="AD94" i="2" s="1"/>
  <c r="Y81" i="2"/>
  <c r="AA81" i="2" s="1"/>
  <c r="S81" i="2" s="1"/>
  <c r="AD81" i="2" s="1"/>
  <c r="Y82" i="2"/>
  <c r="AA82" i="2" s="1"/>
  <c r="S82" i="2" s="1"/>
  <c r="AD82" i="2" s="1"/>
  <c r="Y83" i="2"/>
  <c r="AA83" i="2" s="1"/>
  <c r="S83" i="2" s="1"/>
  <c r="AD83" i="2" s="1"/>
  <c r="Y84" i="2"/>
  <c r="AA84" i="2" s="1"/>
  <c r="S84" i="2" s="1"/>
  <c r="AD84" i="2" s="1"/>
  <c r="Y76" i="2"/>
  <c r="AA76" i="2" s="1"/>
  <c r="S76" i="2" s="1"/>
  <c r="AD76" i="2" s="1"/>
  <c r="Y74" i="2"/>
  <c r="AA74" i="2" s="1"/>
  <c r="S74" i="2" s="1"/>
  <c r="AD74" i="2" s="1"/>
  <c r="Y73" i="2"/>
  <c r="AA73" i="2" s="1"/>
  <c r="S73" i="2" s="1"/>
  <c r="AD73" i="2" s="1"/>
  <c r="Y64" i="2"/>
  <c r="AA64" i="2" s="1"/>
  <c r="S64" i="2" s="1"/>
  <c r="AD64" i="2" s="1"/>
  <c r="Y80" i="2"/>
  <c r="AA80" i="2" s="1"/>
  <c r="S80" i="2" s="1"/>
  <c r="AD78" i="2"/>
  <c r="Y72" i="2"/>
  <c r="AA72" i="2" s="1"/>
  <c r="S72" i="2" s="1"/>
  <c r="AD70" i="2"/>
  <c r="Y68" i="2"/>
  <c r="AA68" i="2" s="1"/>
  <c r="S68" i="2" s="1"/>
  <c r="AD66" i="2"/>
  <c r="Y24" i="2"/>
  <c r="AA24" i="2" s="1"/>
  <c r="S24" i="2" s="1"/>
  <c r="AD24" i="2" s="1"/>
  <c r="Y23" i="2"/>
  <c r="AA23" i="2" s="1"/>
  <c r="S23" i="2" s="1"/>
  <c r="AD20" i="2"/>
  <c r="AD182" i="2" l="1"/>
  <c r="T180" i="2"/>
  <c r="AD178" i="2"/>
  <c r="AD174" i="2"/>
  <c r="AD169" i="2"/>
  <c r="T167" i="2"/>
  <c r="AD157" i="2"/>
  <c r="T155" i="2"/>
  <c r="AD150" i="2"/>
  <c r="T148" i="2"/>
  <c r="AD145" i="2"/>
  <c r="T143" i="2"/>
  <c r="AD118" i="2"/>
  <c r="T116" i="2"/>
  <c r="AD80" i="2"/>
  <c r="T78" i="2"/>
  <c r="AD72" i="2"/>
  <c r="T70" i="2"/>
  <c r="AD68" i="2"/>
  <c r="T66" i="2"/>
  <c r="AD23" i="2"/>
  <c r="T20" i="2"/>
  <c r="S129" i="2"/>
  <c r="S135" i="2"/>
  <c r="AD104" i="2" l="1"/>
  <c r="Y98" i="2"/>
  <c r="AA98" i="2" s="1"/>
  <c r="S98" i="2" s="1"/>
  <c r="AD96" i="2"/>
  <c r="Y107" i="2"/>
  <c r="AA107" i="2" s="1"/>
  <c r="S107" i="2" s="1"/>
  <c r="AD105" i="2"/>
  <c r="Y113" i="2"/>
  <c r="AA113" i="2" s="1"/>
  <c r="S113" i="2" s="1"/>
  <c r="AD111" i="2"/>
  <c r="Y91" i="2"/>
  <c r="AA91" i="2" s="1"/>
  <c r="S91" i="2" s="1"/>
  <c r="AD89" i="2"/>
  <c r="AD98" i="2" l="1"/>
  <c r="T96" i="2"/>
  <c r="AD107" i="2"/>
  <c r="T105" i="2"/>
  <c r="AD113" i="2"/>
  <c r="T111" i="2"/>
  <c r="T89" i="2"/>
  <c r="AD91" i="2"/>
  <c r="S110" i="2"/>
  <c r="S104" i="2"/>
  <c r="Y63" i="2" l="1"/>
  <c r="AA63" i="2" s="1"/>
  <c r="S63" i="2" s="1"/>
  <c r="AD61" i="2"/>
  <c r="Y17" i="2"/>
  <c r="AA17" i="2" s="1"/>
  <c r="S17" i="2" s="1"/>
  <c r="AD17" i="2" s="1"/>
  <c r="Y16" i="2"/>
  <c r="AA16" i="2" s="1"/>
  <c r="S16" i="2" s="1"/>
  <c r="AD14" i="2"/>
  <c r="L14" i="2"/>
  <c r="AD63" i="2" l="1"/>
  <c r="T61" i="2"/>
  <c r="L15" i="2"/>
  <c r="AD16" i="2"/>
  <c r="T14" i="2"/>
  <c r="L20" i="2"/>
  <c r="L21" i="2" l="1"/>
  <c r="M22" i="2" s="1"/>
  <c r="M16" i="2"/>
  <c r="M17" i="2" s="1"/>
  <c r="M18" i="2" s="1"/>
  <c r="B224" i="2"/>
  <c r="B223" i="2"/>
  <c r="B222" i="2"/>
  <c r="B221" i="2"/>
  <c r="B220" i="2"/>
  <c r="B219" i="2"/>
  <c r="AD372" i="2"/>
  <c r="AD366" i="2"/>
  <c r="L26" i="2"/>
  <c r="L27" i="2" l="1"/>
  <c r="M23" i="2"/>
  <c r="P202" i="2"/>
  <c r="L33" i="2"/>
  <c r="L34" i="2" l="1"/>
  <c r="M28" i="2"/>
  <c r="M29" i="2" s="1"/>
  <c r="M24" i="2"/>
  <c r="B2" i="6"/>
  <c r="B2" i="8"/>
  <c r="AB242" i="2"/>
  <c r="L39" i="2"/>
  <c r="M30" i="2" l="1"/>
  <c r="M31" i="2" s="1"/>
  <c r="L40" i="2"/>
  <c r="M35" i="2"/>
  <c r="Y368" i="2"/>
  <c r="L45" i="2"/>
  <c r="M36" i="2" l="1"/>
  <c r="M37" i="2" s="1"/>
  <c r="L46" i="2"/>
  <c r="M41" i="2"/>
  <c r="C55" i="4"/>
  <c r="C54" i="4"/>
  <c r="C52" i="4"/>
  <c r="C51" i="4"/>
  <c r="L51" i="2"/>
  <c r="M42" i="2" l="1"/>
  <c r="M43" i="2" s="1"/>
  <c r="L52" i="2"/>
  <c r="M47" i="2"/>
  <c r="T236" i="2"/>
  <c r="P236" i="2"/>
  <c r="M48" i="2" l="1"/>
  <c r="M49" i="2" s="1"/>
  <c r="M53" i="2"/>
  <c r="AA368" i="2"/>
  <c r="S368" i="2" s="1"/>
  <c r="C1" i="5"/>
  <c r="N234" i="2"/>
  <c r="B11" i="5" s="1"/>
  <c r="M234" i="2"/>
  <c r="N233" i="2"/>
  <c r="B10" i="5" s="1"/>
  <c r="M233" i="2"/>
  <c r="N232" i="2"/>
  <c r="B9" i="5" s="1"/>
  <c r="M232" i="2"/>
  <c r="N231" i="2"/>
  <c r="B8" i="5" s="1"/>
  <c r="M231" i="2"/>
  <c r="N230" i="2"/>
  <c r="B7" i="5" s="1"/>
  <c r="M230" i="2"/>
  <c r="N229" i="2"/>
  <c r="B6" i="5" s="1"/>
  <c r="M229" i="2"/>
  <c r="N224" i="2"/>
  <c r="N223" i="2"/>
  <c r="N222" i="2"/>
  <c r="N221" i="2"/>
  <c r="N220" i="2"/>
  <c r="N219" i="2"/>
  <c r="M224" i="2"/>
  <c r="M223" i="2"/>
  <c r="M222" i="2"/>
  <c r="M221" i="2"/>
  <c r="M220" i="2"/>
  <c r="M219" i="2"/>
  <c r="L61" i="2"/>
  <c r="M54" i="2" l="1"/>
  <c r="M55" i="2" s="1"/>
  <c r="M56" i="2" s="1"/>
  <c r="L62" i="2"/>
  <c r="T366" i="2"/>
  <c r="AD368" i="2"/>
  <c r="L66" i="2"/>
  <c r="L67" i="2" l="1"/>
  <c r="M63" i="2"/>
  <c r="M64" i="2" s="1"/>
  <c r="AD364" i="2"/>
  <c r="L70" i="2"/>
  <c r="L71" i="2" l="1"/>
  <c r="M68" i="2"/>
  <c r="G3" i="5"/>
  <c r="K3" i="5" s="1"/>
  <c r="O3" i="5" s="1"/>
  <c r="S3" i="5" s="1"/>
  <c r="W3" i="5" s="1"/>
  <c r="AA3" i="5" s="1"/>
  <c r="AE3" i="5" s="1"/>
  <c r="AI3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L78" i="2"/>
  <c r="L79" i="2" l="1"/>
  <c r="M72" i="2"/>
  <c r="M73" i="2" s="1"/>
  <c r="M74" i="2" s="1"/>
  <c r="N295" i="2"/>
  <c r="N294" i="2"/>
  <c r="N293" i="2"/>
  <c r="W217" i="2"/>
  <c r="B217" i="2" s="1"/>
  <c r="M75" i="2" l="1"/>
  <c r="M76" i="2" s="1"/>
  <c r="M80" i="2"/>
  <c r="M81" i="2" s="1"/>
  <c r="M82" i="2" s="1"/>
  <c r="M83" i="2" s="1"/>
  <c r="M84" i="2" s="1"/>
  <c r="M3" i="2"/>
  <c r="L89" i="2"/>
  <c r="L90" i="2" l="1"/>
  <c r="N3" i="2"/>
  <c r="M91" i="2" l="1"/>
  <c r="M92" i="2" s="1"/>
  <c r="M93" i="2" s="1"/>
  <c r="M94" i="2" s="1"/>
  <c r="S59" i="2"/>
  <c r="O220" i="2" s="1"/>
  <c r="P220" i="2" s="1"/>
  <c r="S12" i="2"/>
  <c r="O219" i="2" s="1"/>
  <c r="L96" i="2"/>
  <c r="L97" i="2" l="1"/>
  <c r="W220" i="2"/>
  <c r="P219" i="2"/>
  <c r="P229" i="2" s="1"/>
  <c r="O230" i="2" s="1"/>
  <c r="W219" i="2"/>
  <c r="M98" i="2" l="1"/>
  <c r="M99" i="2" s="1"/>
  <c r="M100" i="2" s="1"/>
  <c r="M101" i="2" s="1"/>
  <c r="M102" i="2" s="1"/>
  <c r="P230" i="2"/>
  <c r="O231" i="2" s="1"/>
  <c r="L105" i="2"/>
  <c r="L106" i="2" l="1"/>
  <c r="S364" i="2"/>
  <c r="M107" i="2" l="1"/>
  <c r="M108" i="2" s="1"/>
  <c r="S87" i="2"/>
  <c r="O221" i="2" s="1"/>
  <c r="L111" i="2"/>
  <c r="L112" i="2" l="1"/>
  <c r="T176" i="2"/>
  <c r="P221" i="2"/>
  <c r="P231" i="2" s="1"/>
  <c r="O232" i="2" s="1"/>
  <c r="W221" i="2"/>
  <c r="M113" i="2" l="1"/>
  <c r="M114" i="2" s="1"/>
  <c r="S127" i="2"/>
  <c r="O222" i="2" s="1"/>
  <c r="T172" i="2"/>
  <c r="S165" i="2" s="1"/>
  <c r="O223" i="2" s="1"/>
  <c r="L116" i="2"/>
  <c r="L117" i="2" l="1"/>
  <c r="X192" i="2"/>
  <c r="Y192" i="2" s="1"/>
  <c r="AA192" i="2" s="1"/>
  <c r="S192" i="2" s="1"/>
  <c r="W222" i="2"/>
  <c r="P222" i="2"/>
  <c r="P232" i="2" s="1"/>
  <c r="O233" i="2" s="1"/>
  <c r="P223" i="2"/>
  <c r="W223" i="2"/>
  <c r="M118" i="2" l="1"/>
  <c r="AD192" i="2"/>
  <c r="T3" i="2" s="1"/>
  <c r="T190" i="2"/>
  <c r="S188" i="2" s="1"/>
  <c r="O224" i="2" s="1"/>
  <c r="P233" i="2"/>
  <c r="O234" i="2" s="1"/>
  <c r="L130" i="2"/>
  <c r="L121" i="2"/>
  <c r="L131" i="2" l="1"/>
  <c r="L122" i="2"/>
  <c r="M123" i="2" s="1"/>
  <c r="M124" i="2" s="1"/>
  <c r="O225" i="2"/>
  <c r="W224" i="2"/>
  <c r="W225" i="2" s="1"/>
  <c r="P210" i="2" s="1"/>
  <c r="P224" i="2"/>
  <c r="P225" i="2" s="1"/>
  <c r="L136" i="2"/>
  <c r="L137" i="2" l="1"/>
  <c r="M132" i="2"/>
  <c r="M133" i="2" s="1"/>
  <c r="N5" i="2"/>
  <c r="P234" i="2"/>
  <c r="T235" i="2" s="1"/>
  <c r="O210" i="2"/>
  <c r="N254" i="2"/>
  <c r="S195" i="2"/>
  <c r="L143" i="2"/>
  <c r="L144" i="2" l="1"/>
  <c r="M145" i="2" s="1"/>
  <c r="M146" i="2" s="1"/>
  <c r="M138" i="2"/>
  <c r="M139" i="2" s="1"/>
  <c r="M140" i="2" s="1"/>
  <c r="M141" i="2" s="1"/>
  <c r="P235" i="2"/>
  <c r="N6" i="2" s="1"/>
  <c r="L148" i="2"/>
  <c r="L149" i="2" l="1"/>
  <c r="L155" i="2"/>
  <c r="L156" i="2" l="1"/>
  <c r="M150" i="2"/>
  <c r="M151" i="2" s="1"/>
  <c r="M152" i="2" s="1"/>
  <c r="M153" i="2" s="1"/>
  <c r="L167" i="2"/>
  <c r="L168" i="2" l="1"/>
  <c r="M157" i="2"/>
  <c r="M158" i="2" s="1"/>
  <c r="M159" i="2" s="1"/>
  <c r="M160" i="2" s="1"/>
  <c r="M161" i="2" s="1"/>
  <c r="M162" i="2" s="1"/>
  <c r="L172" i="2"/>
  <c r="L173" i="2" l="1"/>
  <c r="M169" i="2"/>
  <c r="M170" i="2" s="1"/>
  <c r="L176" i="2"/>
  <c r="L177" i="2" l="1"/>
  <c r="M174" i="2"/>
  <c r="L180" i="2"/>
  <c r="L181" i="2" l="1"/>
  <c r="M178" i="2"/>
  <c r="L190" i="2"/>
  <c r="L366" i="2"/>
  <c r="L191" i="2" l="1"/>
  <c r="M192" i="2" s="1"/>
  <c r="L367" i="2"/>
  <c r="M368" i="2" s="1"/>
  <c r="M182" i="2"/>
  <c r="M183" i="2" s="1"/>
  <c r="M184" i="2" s="1"/>
  <c r="M18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tc={7CCDC33E-4A20-4C04-9208-3ABAB03F06DB}</author>
    <author>tc={A26F4214-8AFF-4C7D-875A-54FC233A4694}</author>
  </authors>
  <commentList>
    <comment ref="O23" authorId="0" shapeId="0" xr:uid="{7CCDC33E-4A20-4C04-9208-3ABAB03F06DB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  <comment ref="X47" authorId="1" shapeId="0" xr:uid="{A26F4214-8AFF-4C7D-875A-54FC233A4694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clarify</t>
      </text>
    </comment>
  </commentList>
</comments>
</file>

<file path=xl/sharedStrings.xml><?xml version="1.0" encoding="utf-8"?>
<sst xmlns="http://schemas.openxmlformats.org/spreadsheetml/2006/main" count="1250" uniqueCount="604">
  <si>
    <t>A</t>
  </si>
  <si>
    <t>Exclude</t>
  </si>
  <si>
    <t>Buffer</t>
  </si>
  <si>
    <t>Name</t>
  </si>
  <si>
    <t>Geography</t>
  </si>
  <si>
    <t>Client Name</t>
  </si>
  <si>
    <t>Yes</t>
  </si>
  <si>
    <t>No</t>
  </si>
  <si>
    <t>BA</t>
  </si>
  <si>
    <t>TA</t>
  </si>
  <si>
    <t>TL</t>
  </si>
  <si>
    <t>QA</t>
  </si>
  <si>
    <t>DEV</t>
  </si>
  <si>
    <t>GD</t>
  </si>
  <si>
    <t>OC</t>
  </si>
  <si>
    <t>PM</t>
  </si>
  <si>
    <t>YES_NO_LIST</t>
  </si>
  <si>
    <t>ROLES_LIST</t>
  </si>
  <si>
    <t>USA</t>
  </si>
  <si>
    <t>Mexico</t>
  </si>
  <si>
    <t>Europe</t>
  </si>
  <si>
    <t>Asia (except India)</t>
  </si>
  <si>
    <t>India</t>
  </si>
  <si>
    <t>-</t>
  </si>
  <si>
    <t>REGIONS_LIST</t>
  </si>
  <si>
    <t>USD</t>
  </si>
  <si>
    <t>Currency</t>
  </si>
  <si>
    <t>Euro</t>
  </si>
  <si>
    <t>CURRENCIES_LIST</t>
  </si>
  <si>
    <t>PDs</t>
  </si>
  <si>
    <t>Project Name</t>
  </si>
  <si>
    <t>Project Type</t>
  </si>
  <si>
    <t>Development</t>
  </si>
  <si>
    <t>Consulting</t>
  </si>
  <si>
    <t>Testing</t>
  </si>
  <si>
    <t>PROJECT_TYPES_LIST</t>
  </si>
  <si>
    <t>Platform</t>
  </si>
  <si>
    <t>PLATFORMS_LIST</t>
  </si>
  <si>
    <t>Web</t>
  </si>
  <si>
    <t>Windows</t>
  </si>
  <si>
    <t>Mobile</t>
  </si>
  <si>
    <t>Enterprise</t>
  </si>
  <si>
    <t>Low</t>
  </si>
  <si>
    <t>Medium</t>
  </si>
  <si>
    <t>BUFFER_TYPES_LIST</t>
  </si>
  <si>
    <t>High</t>
  </si>
  <si>
    <t>H</t>
  </si>
  <si>
    <t>L</t>
  </si>
  <si>
    <t>Notes</t>
  </si>
  <si>
    <t>Discovery / Requirement Analysis</t>
  </si>
  <si>
    <t xml:space="preserve"> (+/-)</t>
  </si>
  <si>
    <t>x N</t>
  </si>
  <si>
    <t>SALES_CALL_SCALE_LIST</t>
  </si>
  <si>
    <t>Maximize</t>
  </si>
  <si>
    <t>Minimize</t>
  </si>
  <si>
    <t>No Change</t>
  </si>
  <si>
    <t>RFP Name</t>
  </si>
  <si>
    <t>Unit</t>
  </si>
  <si>
    <t>Complexity %</t>
  </si>
  <si>
    <t>Effort (PDs)</t>
  </si>
  <si>
    <t>Optional</t>
  </si>
  <si>
    <t>INCLUDE_OPTIONALS_LIST</t>
  </si>
  <si>
    <t>Optionals:</t>
  </si>
  <si>
    <t>Include</t>
  </si>
  <si>
    <t>Calculated</t>
  </si>
  <si>
    <t>High (+)</t>
  </si>
  <si>
    <t>Low (-)</t>
  </si>
  <si>
    <t>Is Key Opp?</t>
  </si>
  <si>
    <t>B</t>
  </si>
  <si>
    <t>C</t>
  </si>
  <si>
    <t>D</t>
  </si>
  <si>
    <t>E</t>
  </si>
  <si>
    <t>System Design, Framework and Test Cases</t>
  </si>
  <si>
    <t>Development and Unit Testing</t>
  </si>
  <si>
    <t>System Testing and Stabilization</t>
  </si>
  <si>
    <t>Deployment, UAT and Documentation</t>
  </si>
  <si>
    <t>Others</t>
  </si>
  <si>
    <t>Complexity impact</t>
  </si>
  <si>
    <t>As Dev Effort %</t>
  </si>
  <si>
    <t>Role-wise rates / effort distribution</t>
  </si>
  <si>
    <t>Add</t>
  </si>
  <si>
    <t>Mark as</t>
  </si>
  <si>
    <t>Tasks</t>
  </si>
  <si>
    <t>F</t>
  </si>
  <si>
    <t>Req</t>
  </si>
  <si>
    <t>Design</t>
  </si>
  <si>
    <t>UAT Etc.</t>
  </si>
  <si>
    <t>Dev.</t>
  </si>
  <si>
    <t>Effort:</t>
  </si>
  <si>
    <r>
      <t>PDs / 1 M</t>
    </r>
    <r>
      <rPr>
        <b/>
        <sz val="11"/>
        <color rgb="FFC00000"/>
        <rFont val="Calibri"/>
        <family val="2"/>
        <scheme val="minor"/>
      </rPr>
      <t>*</t>
    </r>
  </si>
  <si>
    <r>
      <t>M</t>
    </r>
    <r>
      <rPr>
        <b/>
        <sz val="11"/>
        <color rgb="FFC00000"/>
        <rFont val="Calibri"/>
        <family val="2"/>
        <scheme val="minor"/>
      </rPr>
      <t>*</t>
    </r>
  </si>
  <si>
    <t>Start Date</t>
  </si>
  <si>
    <t>click here.</t>
  </si>
  <si>
    <t>Months</t>
  </si>
  <si>
    <t>Weeks</t>
  </si>
  <si>
    <t>End Date</t>
  </si>
  <si>
    <t>Special Unit Names</t>
  </si>
  <si>
    <t>As Duration %</t>
  </si>
  <si>
    <t>S1</t>
  </si>
  <si>
    <t>S2</t>
  </si>
  <si>
    <t>T1</t>
  </si>
  <si>
    <t>T2</t>
  </si>
  <si>
    <t>S3</t>
  </si>
  <si>
    <t>W2</t>
  </si>
  <si>
    <t>W1</t>
  </si>
  <si>
    <t>X</t>
  </si>
  <si>
    <t>Section Name</t>
  </si>
  <si>
    <t>M</t>
  </si>
  <si>
    <t>Task Name</t>
  </si>
  <si>
    <t>→</t>
  </si>
  <si>
    <t>Effort estimates are based on high level of analysis and may change on detailed analysis.</t>
  </si>
  <si>
    <t>Pricing &amp; Basic Schedule</t>
  </si>
  <si>
    <t>Start</t>
  </si>
  <si>
    <t>End</t>
  </si>
  <si>
    <t>Role-wise resource count / phase</t>
  </si>
  <si>
    <t>For complete manual schedule details,</t>
  </si>
  <si>
    <r>
      <t xml:space="preserve">←  TOTALS  </t>
    </r>
    <r>
      <rPr>
        <sz val="16"/>
        <color theme="1"/>
        <rFont val="Calibri"/>
        <family val="2"/>
      </rPr>
      <t>→</t>
    </r>
  </si>
  <si>
    <t>Ending at:</t>
  </si>
  <si>
    <t>Automated</t>
  </si>
  <si>
    <t>Manual</t>
  </si>
  <si>
    <t>Phases</t>
  </si>
  <si>
    <t>Resources</t>
  </si>
  <si>
    <t>NOTE:</t>
  </si>
  <si>
    <t>Manually build the execution plan below using given template or otherwise and type in the final end date above.</t>
  </si>
  <si>
    <t>Task Group Name</t>
  </si>
  <si>
    <t>Templates</t>
  </si>
  <si>
    <t>Reduce by:</t>
  </si>
  <si>
    <t>Increase by:</t>
  </si>
  <si>
    <t>Minimum (-)</t>
  </si>
  <si>
    <t>Maximum (+)</t>
  </si>
  <si>
    <t>RFP Details</t>
  </si>
  <si>
    <t>Choices</t>
  </si>
  <si>
    <t>T3</t>
  </si>
  <si>
    <t>Extras</t>
  </si>
  <si>
    <t>Unit Testing</t>
  </si>
  <si>
    <t>Unknowns</t>
  </si>
  <si>
    <t>Extra 1</t>
  </si>
  <si>
    <t>Extra 2</t>
  </si>
  <si>
    <t>Extra 3</t>
  </si>
  <si>
    <t>w Extras</t>
  </si>
  <si>
    <t>Used to get effort for High and Low complexity activities based on given medium complexity effort.</t>
  </si>
  <si>
    <t>Added to calculated effort, when chosen.</t>
  </si>
  <si>
    <t>Buffer types</t>
  </si>
  <si>
    <t>Added to final effort reached after +/- adjustments.</t>
  </si>
  <si>
    <t>% Values</t>
  </si>
  <si>
    <t>Compact</t>
  </si>
  <si>
    <t>Full</t>
  </si>
  <si>
    <t>Copy Image:</t>
  </si>
  <si>
    <t>W0</t>
  </si>
  <si>
    <t>↓</t>
  </si>
  <si>
    <t>↑</t>
  </si>
  <si>
    <t>Choices &amp; Notes</t>
  </si>
  <si>
    <t>←</t>
  </si>
  <si>
    <t>#</t>
  </si>
  <si>
    <t>Functional Breakdown Summary</t>
  </si>
  <si>
    <t>TOTAL_EFFORT</t>
  </si>
  <si>
    <t>TOTAL_COST</t>
  </si>
  <si>
    <t>TOTAL_WEEKS</t>
  </si>
  <si>
    <t>REQ_EFFORT</t>
  </si>
  <si>
    <t>DEV_EFFORT</t>
  </si>
  <si>
    <t>DESIGN_EFFORT</t>
  </si>
  <si>
    <t>QA_EFFORT</t>
  </si>
  <si>
    <t>UAT_EFFORT</t>
  </si>
  <si>
    <t>OTHER_EFFORT</t>
  </si>
  <si>
    <t>START_DATE</t>
  </si>
  <si>
    <t>AUTOMATED_END_DATE</t>
  </si>
  <si>
    <t>MANUAL_END_DATE</t>
  </si>
  <si>
    <t>DURATION</t>
  </si>
  <si>
    <t>MANUAL_DURATION</t>
  </si>
  <si>
    <t>REQ_COST</t>
  </si>
  <si>
    <t>DESIGN_COST</t>
  </si>
  <si>
    <t>DEV_COST</t>
  </si>
  <si>
    <t>QA_COST</t>
  </si>
  <si>
    <t>UAT_COST</t>
  </si>
  <si>
    <t>OTHER_COST</t>
  </si>
  <si>
    <r>
      <t xml:space="preserve">Read </t>
    </r>
    <r>
      <rPr>
        <b/>
        <sz val="11"/>
        <color rgb="FFCC00CC"/>
        <rFont val="Calibri"/>
        <family val="2"/>
        <scheme val="minor"/>
      </rPr>
      <t>Help</t>
    </r>
    <r>
      <rPr>
        <b/>
        <sz val="11"/>
        <color theme="0"/>
        <rFont val="Calibri"/>
        <family val="2"/>
        <scheme val="minor"/>
      </rPr>
      <t xml:space="preserve"> for more details.</t>
    </r>
  </si>
  <si>
    <t>This estimation template is designed and developed to facilicate following:</t>
  </si>
  <si>
    <t>●</t>
  </si>
  <si>
    <t>Get rid of all possibilities of formula errors</t>
  </si>
  <si>
    <t>Keep archiects focused on the process of 'estimation' itself and not on ensuring formula correctness and keeping tasks grouping intact</t>
  </si>
  <si>
    <t>Automating cost calculations</t>
  </si>
  <si>
    <t>Automating basic scheduling with minimum and mostly standard inputs</t>
  </si>
  <si>
    <t>Giving sales an opportuinity to play around with effort to reach desired costing without breaking the technical equilibrium</t>
  </si>
  <si>
    <t>Giving pre-sales a simpler interface to pick estimation details or summary for use in final proposal</t>
  </si>
  <si>
    <t>Giving MMs an easy and semi-automated and integrated worksheet for manual and optimized scheduling</t>
  </si>
  <si>
    <t>Estimation Support Settings</t>
  </si>
  <si>
    <t>Sales</t>
  </si>
  <si>
    <t>Presales</t>
  </si>
  <si>
    <t>AG</t>
  </si>
  <si>
    <t>TA Name</t>
  </si>
  <si>
    <t>A/c Manager Name</t>
  </si>
  <si>
    <t>Presales Member Name</t>
  </si>
  <si>
    <t>(Uses manual duration)</t>
  </si>
  <si>
    <t>(Do not use inside development phase)</t>
  </si>
  <si>
    <t>Note: This does not takes care of optimized parallel execution of tasks. For that manual scheduling will be required, which can be / done on next sheet.</t>
  </si>
  <si>
    <t>Multi-level Auto Numbering</t>
  </si>
  <si>
    <t>It numbers and re-numbers tasks and activities</t>
  </si>
  <si>
    <t>automatically as you insert or remove items.</t>
  </si>
  <si>
    <t>Phase numbers are kept manual as this is generally fixed</t>
  </si>
  <si>
    <t xml:space="preserve">and rarely changes. </t>
  </si>
  <si>
    <t>Across all phases, it does consistent two level grouping</t>
  </si>
  <si>
    <t>of tasks and activities; automatically as you insert or remove</t>
  </si>
  <si>
    <t xml:space="preserve">items. </t>
  </si>
  <si>
    <t>A task group can bring in one level of logical seperation without</t>
  </si>
  <si>
    <t>adding another level of grouping.</t>
  </si>
  <si>
    <t>Task groups don't have numbers by default, but you can</t>
  </si>
  <si>
    <t>do manual numbering, if you need.</t>
  </si>
  <si>
    <t>Controlled Insert/Delete</t>
  </si>
  <si>
    <t>100% Automated Calculations</t>
  </si>
  <si>
    <t>be overwritten accidently or otherwise; as cells are protected.</t>
  </si>
  <si>
    <t xml:space="preserve">All regular summation and calculations are baked in 100% safe formulae, that cannot </t>
  </si>
  <si>
    <t>This also facilitate upto last change reflection in effort, schedule and costing</t>
  </si>
  <si>
    <t>updates.</t>
  </si>
  <si>
    <t>Tasks sum up at phase level</t>
  </si>
  <si>
    <t>Activities sum up at task level</t>
  </si>
  <si>
    <t>If task groups are inserted, tasks below a task group sum up at task group level.</t>
  </si>
  <si>
    <t>The plase where a new task group is inserted, all tasks below that row untill</t>
  </si>
  <si>
    <t>next task group or till the end of that phase, become part of that task group.</t>
  </si>
  <si>
    <t>Given a start date and resource loading for each</t>
  </si>
  <si>
    <t>phase, it creates basic schedule automatically.</t>
  </si>
  <si>
    <t>Since focus of this template is not doing</t>
  </si>
  <si>
    <t>optimized scheduling, it integrates with</t>
  </si>
  <si>
    <t xml:space="preserve">possibility of doing manual scheduling </t>
  </si>
  <si>
    <t>as well.</t>
  </si>
  <si>
    <t>Automated Basic Scheduling</t>
  </si>
  <si>
    <t>Costing Goes Hand-in-Hand</t>
  </si>
  <si>
    <t>Define role wise rates and let it calculate the cost</t>
  </si>
  <si>
    <t>Instantly!</t>
  </si>
  <si>
    <t>as the estimation happens / changes are applied.</t>
  </si>
  <si>
    <t xml:space="preserve">A summary of current cost always shows up </t>
  </si>
  <si>
    <t>on top.</t>
  </si>
  <si>
    <t>Effort distribution per phase is shown</t>
  </si>
  <si>
    <t>graphically for easy comprehension.</t>
  </si>
  <si>
    <t>Graphical Effort Distribution</t>
  </si>
  <si>
    <t>Aggregated Effort Per Task</t>
  </si>
  <si>
    <t>See aggregated effort (including requirement, design, testing, etc., per</t>
  </si>
  <si>
    <t>development task and task group). All automated.</t>
  </si>
  <si>
    <t>Ability to Add Buffer, Unit Testing, etc. Explicitely</t>
  </si>
  <si>
    <t xml:space="preserve">Add explicit overheads per task in a collapsable area - outside the WBS, </t>
  </si>
  <si>
    <t>to make your choices explicit.</t>
  </si>
  <si>
    <t>Sales have the final call!</t>
  </si>
  <si>
    <t xml:space="preserve">Increase / Decrease effort all over WBS without breaking the </t>
  </si>
  <si>
    <t xml:space="preserve">technical equilibrium - using given controls. </t>
  </si>
  <si>
    <t>Optinally marked items which are generally good to have</t>
  </si>
  <si>
    <t>can be excluded if need be.</t>
  </si>
  <si>
    <t>Consistent 2-level Automated Grouping</t>
  </si>
  <si>
    <t>Take it to Final Propsal</t>
  </si>
  <si>
    <t>Informative Edges</t>
  </si>
  <si>
    <t>Left edge shows various colored lines to indicate extras; e.g., if item has</t>
  </si>
  <si>
    <t xml:space="preserve">any error, or any effort markup is added (inside collapsable area). </t>
  </si>
  <si>
    <t>Right edge shows the specific error on the line, if any.</t>
  </si>
  <si>
    <t>Choose between Full or Compact view (all / selective (predefined) ) colums</t>
  </si>
  <si>
    <t>On a single click, take the WBS to final propsal as-is without breaking any formatting (as image).</t>
  </si>
  <si>
    <t>Full Featured Estimation Area</t>
  </si>
  <si>
    <t>Define Unit name, count and complexity mix. Define effort for 1 medium unit. Rest is calculated. Take final judgement over calculated effort by adding/reducing on it.</t>
  </si>
  <si>
    <t>Extras such as Unit Testing, if chosen, also shows up.</t>
  </si>
  <si>
    <t>In-Place Review Area</t>
  </si>
  <si>
    <t>Review comments can be placed right inside the collapsable</t>
  </si>
  <si>
    <t xml:space="preserve">area. </t>
  </si>
  <si>
    <t>A yellow line indicate where all review comments are placed.</t>
  </si>
  <si>
    <t>This is helpful especially when looking with all closed rows.</t>
  </si>
  <si>
    <t>Finally, everything is configurable!</t>
  </si>
  <si>
    <t>Use pre-defined names or define your own, if you still get situations where you want to write formulae in your estimation.</t>
  </si>
  <si>
    <t>Top 15 Features</t>
  </si>
  <si>
    <t>It does not allow to insert a row. How do I add a row?</t>
  </si>
  <si>
    <t>How to delete a row?</t>
  </si>
  <si>
    <t>It only supports two level of groupings, I need three or more levels.</t>
  </si>
  <si>
    <t>For sake of consistency across estimates, it allows only two collapsable levels of grouping. Yet it supports a logical non-collapsable third level called a Task group.</t>
  </si>
  <si>
    <t>A task group can be added above any task using Ctrl+Shift+G. A task group is intelligent to assume all tasks, till the next task group  or end of section, under it.</t>
  </si>
  <si>
    <t>This affects the summation of the task group effort.</t>
  </si>
  <si>
    <t>It does not allow copy/paste of rows. How do I move one row elsewhere?</t>
  </si>
  <si>
    <t>Since sheet is protected for discussed reasons, it does not allow copy/paste of rows.</t>
  </si>
  <si>
    <t>This means, activities can be moved in another task and even in another phase. Task groups can also move up or down and therefore be parent of a different set of tasks.</t>
  </si>
  <si>
    <t>I want to add a new section / phase?</t>
  </si>
  <si>
    <t>This supports only 6 phases. You can rename them as required. However if you really need 7th; you need to use a different template.</t>
  </si>
  <si>
    <t>Last updated:</t>
  </si>
  <si>
    <t>Last updated by:</t>
  </si>
  <si>
    <t>It does not allow adding effort details for a task. Where do I put effort estimates?</t>
  </si>
  <si>
    <t>Effort estimates can be added only to an activity. A task is always a collection of activities. At minimum there will be one activity in one task.</t>
  </si>
  <si>
    <t>What each column mean and what I am supposed to write where?</t>
  </si>
  <si>
    <t>There are following columns and what each column mean:</t>
  </si>
  <si>
    <t>Number:</t>
  </si>
  <si>
    <t>Certain rows do not get numbered automatically. Is this by design?</t>
  </si>
  <si>
    <t>Yes, sections  and Task groups are not numbered automatically for various reasons and should be typed in manually as required.</t>
  </si>
  <si>
    <t>For all other rows, numbers are generated and updated (on move, inserts, deletion) automatically.</t>
  </si>
  <si>
    <t>Tasks:</t>
  </si>
  <si>
    <t>This area is semi-editable and shows the section, task group, task and/or activity number. Numbers of only section and task group rows can be edited.</t>
  </si>
  <si>
    <t>This area is editable and should define section name, task group name, task name or activity name, as the case may be. An activity can optionally have bullets for scope.</t>
  </si>
  <si>
    <t>RFP Mapping:</t>
  </si>
  <si>
    <t>Mapping with requirement document if any can be defined here.</t>
  </si>
  <si>
    <t>Unit:</t>
  </si>
  <si>
    <t>Unit section is to define unit of activity estimation.</t>
  </si>
  <si>
    <t>Name:</t>
  </si>
  <si>
    <t>#:</t>
  </si>
  <si>
    <t>Define a unit name here, e.g., Screen, Test Case, Report, % of X, etc.</t>
  </si>
  <si>
    <t>Define the number that represents the unit. If number is a % value, still define it as number. Add % in forumula, if required elsewhere.</t>
  </si>
  <si>
    <t>x N:</t>
  </si>
  <si>
    <t>Define how many cycles/set of Unit * Number are required. Generally this will be required only in few cases</t>
  </si>
  <si>
    <t>E.g., 3 Staging Releases where 5% of Dev time is required everytime, or 5 Screens to be tested on 7 Browsers</t>
  </si>
  <si>
    <t>Complexity %:</t>
  </si>
  <si>
    <t xml:space="preserve">There are three columns to define the complexity mix of the number that is defined in '#' column. </t>
  </si>
  <si>
    <t>E.g., If 20 Use Cases are defined, it's possible that we are assuming 25% as High, 50% as Medium and remaining 25% as Low</t>
  </si>
  <si>
    <t>Effort (PDs):</t>
  </si>
  <si>
    <t>This area represents calculated and worked-up effort estimate in PDs. This is NON-EDITABLE.</t>
  </si>
  <si>
    <t>Where do I put in effort estimates?</t>
  </si>
  <si>
    <t>Open the columns group using + symbol under "W" column.</t>
  </si>
  <si>
    <t>Following columns are visible now where you can work-out estimates for the activity. The details of each of these columns are:</t>
  </si>
  <si>
    <t>PDs / 1 Unit:</t>
  </si>
  <si>
    <t>This is where you should define how many PDs would it take to complete 1 Medium Complexity Unit of activity.</t>
  </si>
  <si>
    <t>E.g., If Unit was "Use Case", # was "20", Complexity Mix was H: 25%, M: 50%, L: 25%, if we define PDs / 1 Unit - it means the total effort for this acitivity would be:</t>
  </si>
  <si>
    <t>10 X 1 = 10 PDs</t>
  </si>
  <si>
    <t>M: 50% of 20 = 10</t>
  </si>
  <si>
    <t>H: 25% of 20 = 5</t>
  </si>
  <si>
    <t>5 X 1.5 = 7.5 PDs</t>
  </si>
  <si>
    <t>L: 25% of 20 = 5</t>
  </si>
  <si>
    <t>5 X .75 = 3.75 PDs</t>
  </si>
  <si>
    <t>21 PDs</t>
  </si>
  <si>
    <t>Calculated:</t>
  </si>
  <si>
    <t>This shows calculated effort based on given unit and unit-effort details. This is NON-EDITABLE.</t>
  </si>
  <si>
    <t>w Extras:</t>
  </si>
  <si>
    <t>This shows additionally added effort based on choices made for rows. This is NON-EDITABLE.</t>
  </si>
  <si>
    <t>(more on this later in next FAQ)</t>
  </si>
  <si>
    <t>(+/-):</t>
  </si>
  <si>
    <t>Basic calculation based on given unit and size is done here; however for real judgement you can ADD or SUBTRACT any figure here.</t>
  </si>
  <si>
    <t>E.g., -2 in this column will make final effort to be used as 19 PDs instead of 21 PDs.</t>
  </si>
  <si>
    <t>4 in this column will make final effort to be used as 25 PDs instead of 21 PDs.</t>
  </si>
  <si>
    <t>This gives you finer control on estimation - which otherwise you would have (in unprotected / no-formula) sheet</t>
  </si>
  <si>
    <t>I define effort for Medium complexity activity. How does effort for High and Low complexity activities are calculated?</t>
  </si>
  <si>
    <t>This is configurable under "Estimation Support Settings -&gt; Complexity Impact" section.</t>
  </si>
  <si>
    <t>Default values are set to assume 50% more effort for a high complexity activity as compared to medium complexity one; and 25% less effort when it is low complexity acitivity.</t>
  </si>
  <si>
    <t>Generally you would not change it - but this is very much available for any change.</t>
  </si>
  <si>
    <t>What Extras are available to add to estimates?</t>
  </si>
  <si>
    <t>Open the "Choices and Notes" section in extreme left using "&lt;--" or "+" under "F" column.</t>
  </si>
  <si>
    <t>It shows following columns:</t>
  </si>
  <si>
    <t>Add Buffer:</t>
  </si>
  <si>
    <t>Calculated effort is showing less / more effort than calculated one. I have not even added any extras or buffer. Why?</t>
  </si>
  <si>
    <t xml:space="preserve">There is a "Sales Call Scale" on top which lets Sales to increase/reduce effort per activity level all at once. </t>
  </si>
  <si>
    <t>Ensure that selection is set to "No Change". Thereafter there should not be any seemingly incorrect effort.</t>
  </si>
  <si>
    <t>It gives three choices Low, Medium and High. Selecting any one, will add certain % of buffer in the final effort shown.</t>
  </si>
  <si>
    <t>Again, these Low, Medium and High % values are configurable under "Estimation Support Settings --&gt; Buffer Types" section.</t>
  </si>
  <si>
    <t>Extras:</t>
  </si>
  <si>
    <t>This shows choices like Unit Testing, Unknowns, etc. These values (names) and associated % values are configurable under "Estimation Support Settings - Extras" section.</t>
  </si>
  <si>
    <t>This effort is added on +/- adjusted (calculated) effort.</t>
  </si>
  <si>
    <t>This effort is added on top of calculated effort which might have reduced using -N value.</t>
  </si>
  <si>
    <t>Calculated effort will not be impacted. This value is added on final effort (including any Extras effort).</t>
  </si>
  <si>
    <t>There are few more columns in Choices and Notes section. What are these?</t>
  </si>
  <si>
    <t>Yes, there are few more. These are:</t>
  </si>
  <si>
    <t>Mark as Optional:</t>
  </si>
  <si>
    <t>Exclude:</t>
  </si>
  <si>
    <t>Notes:</t>
  </si>
  <si>
    <t>At times we need to include certain tasks which are not part of the given requirements but are advisable to have.</t>
  </si>
  <si>
    <t>It was a problem, because if we add those, estimates used to go high and if we don't add them we were assumed to have not thought of those.</t>
  </si>
  <si>
    <t>Not anymore. Now all such "seemingly-out-of-scope-but-recommended-to-have" type of tasks can be added and marked as optional by choosing "Yes" in this column.</t>
  </si>
  <si>
    <t>This ensures that we do cover everything. At the same time, Sales can make a informative judgements without breaking overall sanity of the estimation / wbs.</t>
  </si>
  <si>
    <t>Sales has a top level "Optionals: Include/Exclude" choice which includes or excludes all optionally marked activities.</t>
  </si>
  <si>
    <t>To exclude a specific optional / non-optional activity, choose 'Yes" for this column and it will be marked as excluded.</t>
  </si>
  <si>
    <t>All excluded rows *do not* get added in total effort, schedule or cost.</t>
  </si>
  <si>
    <t>While iterating over estimate, while reviewing etc. This column comes handy and allows writing any sort of notes for the in-progress version of the document.</t>
  </si>
  <si>
    <t>Yes, it shows following colored lines:</t>
  </si>
  <si>
    <t>Red:</t>
  </si>
  <si>
    <t>Orange:</t>
  </si>
  <si>
    <t>Blue:</t>
  </si>
  <si>
    <t>Magenta:</t>
  </si>
  <si>
    <t>Yellow:</t>
  </si>
  <si>
    <t>Marks that "Extras" is added.</t>
  </si>
  <si>
    <t>Marks that "Buffer" is added.</t>
  </si>
  <si>
    <t>Depicts that either there is some error on this line, or the activity is excluded. Check out the error details on extreme right column.</t>
  </si>
  <si>
    <t>Depicts that activity is marked as optional.</t>
  </si>
  <si>
    <t>Depicts that some notes / review comments exists on this line.</t>
  </si>
  <si>
    <t>I have to calculate some effort based on total development effort. How do I do that?</t>
  </si>
  <si>
    <t>There are special names that can be used in your own formule. All these names are written in "Estimation Support Settings" section.</t>
  </si>
  <si>
    <t>There are some special names as well, e.g., "As Dev Effort %", this can be used in "Unit Name" columm and "#" column can define the "%" value (as number).</t>
  </si>
  <si>
    <t>This will automatically put the effort as #% of Development Effort.</t>
  </si>
  <si>
    <t>For WBS Summary, goto "Functional Breakdown Summary" section and refresh the list. This shows the list of all task groups and tasks with cumulative effort and cost</t>
  </si>
  <si>
    <t>of all phases. This can directly be copied/pasted in final proposal.</t>
  </si>
  <si>
    <t>For whole of WBS, if you would copy/paste as is, you would need to do certain amount of formatting, as there are several intersparsed thin and empty rows in here.</t>
  </si>
  <si>
    <t>To make it simple and ensure formatting does not break, it provides an image copy option. There are two modes available: Full and Compact which picks different</t>
  </si>
  <si>
    <t xml:space="preserve">set of columns. This will copy entire WBS as one single image. In final proposal, you might need to paste it on few pages and crop-show only relevant areas. </t>
  </si>
  <si>
    <t>For proposal, generally the Compact view would be suitable.</t>
  </si>
  <si>
    <t>I want to take the WBS summary in final proposal document. How do I do that?</t>
  </si>
  <si>
    <t>I want to take full WBS in final proposal document. How do I do that?</t>
  </si>
  <si>
    <t>Effort that we do generally have some buffer built into it, either explicitely (in buffer column) or otherwise.</t>
  </si>
  <si>
    <t>To remove the buffer, it is recommended that Sales Call scale should be set to "Minimize". This applies the reduction in all tasks on a predefined % that was set</t>
  </si>
  <si>
    <t>by the person who did the estimation; keeeping the complexity in mind.</t>
  </si>
  <si>
    <t>To increase the effort to maximum possible, set the scale to "Maximize" which increases it to maximum justifiable level.</t>
  </si>
  <si>
    <t>I want to exclude all optionals in order to keep tasks to bare minimum. How do I do that?</t>
  </si>
  <si>
    <t>Have a look at the left area in WBS. Are there any Orange lines? If yes, this means, there are opitonally marked items. Set the "Optionals" choice on top to</t>
  </si>
  <si>
    <t xml:space="preserve">"Exclude" and it will remove the effort for optional tasks. </t>
  </si>
  <si>
    <t>Whenever this is changes, all effort, costing and schedule is updated. Note: Manual schedule will have no impact of this change and will need to be redone.</t>
  </si>
  <si>
    <t>I want to configure automated scheduling for better. How do I do that?</t>
  </si>
  <si>
    <t>I have done manual scheduling - but the project management effort is not updated as per new schedule duration. Why?</t>
  </si>
  <si>
    <r>
      <t xml:space="preserve">Please send me a mail at </t>
    </r>
    <r>
      <rPr>
        <b/>
        <sz val="11"/>
        <color theme="4"/>
        <rFont val="Calibri"/>
        <family val="2"/>
        <scheme val="minor"/>
      </rPr>
      <t>vikas.burman@nagarro.com</t>
    </r>
    <r>
      <rPr>
        <sz val="11"/>
        <color theme="1"/>
        <rFont val="Calibri"/>
        <family val="2"/>
        <scheme val="minor"/>
      </rPr>
      <t xml:space="preserve"> and I will address that.</t>
    </r>
  </si>
  <si>
    <t>I want to update rates for correct cost calculation. Where do I do that?</t>
  </si>
  <si>
    <t>Open "Price and Basic Scheduling" section and look for "Role wise Rates" section where you can update these rates. Updating these rates, updates all costing automatically.</t>
  </si>
  <si>
    <t>It is showing currency as USD only. How do I change currency?</t>
  </si>
  <si>
    <t>"Estimation Support Settings" section has "Currency" dropdown to choose currency.</t>
  </si>
  <si>
    <t>Automated scheduling works based on following three:</t>
  </si>
  <si>
    <r>
      <rPr>
        <b/>
        <sz val="11"/>
        <color theme="1"/>
        <rFont val="Calibri"/>
        <family val="2"/>
        <scheme val="minor"/>
      </rPr>
      <t>Role wise distribution / phase:</t>
    </r>
    <r>
      <rPr>
        <sz val="11"/>
        <color theme="1"/>
        <rFont val="Calibri"/>
        <family val="2"/>
        <scheme val="minor"/>
      </rPr>
      <t xml:space="preserve"> Define a % value for each role. Not all roles will be involved in each phases. This is a generic and average figure.</t>
    </r>
  </si>
  <si>
    <r>
      <rPr>
        <b/>
        <sz val="11"/>
        <color theme="1"/>
        <rFont val="Calibri"/>
        <family val="2"/>
        <scheme val="minor"/>
      </rPr>
      <t xml:space="preserve">Role wise resource count / phase: </t>
    </r>
    <r>
      <rPr>
        <sz val="11"/>
        <color theme="1"/>
        <rFont val="Calibri"/>
        <family val="2"/>
        <scheme val="minor"/>
      </rPr>
      <t>Define number of resources that should be put in each phase for each role. This is again an average value.</t>
    </r>
  </si>
  <si>
    <t>E.g., start designing phase after 75% of requirement phase is done.</t>
  </si>
  <si>
    <r>
      <rPr>
        <b/>
        <sz val="11"/>
        <color theme="1"/>
        <rFont val="Calibri"/>
        <family val="2"/>
        <scheme val="minor"/>
      </rPr>
      <t>Start next phase after %:</t>
    </r>
    <r>
      <rPr>
        <sz val="11"/>
        <color theme="1"/>
        <rFont val="Calibri"/>
        <family val="2"/>
        <scheme val="minor"/>
      </rPr>
      <t xml:space="preserve"> This brings in some parrallism, by defining when to start next phase in relation of previous phase completion %.</t>
    </r>
  </si>
  <si>
    <t>By playing around with these numbers, and optimizing these values, automated scheduling can be configured for better. However please note:</t>
  </si>
  <si>
    <t>Automated scheduling does not do fully-optimized parallel execution / resource loading.</t>
  </si>
  <si>
    <t xml:space="preserve">It should be used to get a tentative idea of end date. </t>
  </si>
  <si>
    <t>Manual scheduling will always give better visibility of end date.</t>
  </si>
  <si>
    <t>Project Management Activity is generally added in Others section with "As Duration %" unit name and "#" as project manager's expected allocation % number.</t>
  </si>
  <si>
    <t>This takes the defined "Start Date" and defined "End Date" on "Schedule" sheet in consideration to get the duration of the project. And uses the defined % of</t>
  </si>
  <si>
    <t xml:space="preserve">calculated net working days between these two dates. </t>
  </si>
  <si>
    <t>So if any of the above is not done, this will not calculate well. Fix the missing piece and it will work.</t>
  </si>
  <si>
    <t>FOR ARCHITECTS</t>
  </si>
  <si>
    <t>FOR PRESALES / MMs</t>
  </si>
  <si>
    <t>FOR SALES</t>
  </si>
  <si>
    <t xml:space="preserve">Yes this can be done, however technical justification beyond defined minimum / maximum % might not be feasible. </t>
  </si>
  <si>
    <t>To increase / decrease, choose "Increase by:" or "Decrease by:" option on "Sales Call" scale and define required % value right next to it.</t>
  </si>
  <si>
    <t xml:space="preserve">It will apply changes all over, including automated schedule. </t>
  </si>
  <si>
    <t>Note: Manual schedule and Project Management effort (if added as Duration %) will remain as is, since that is a manual activity.</t>
  </si>
  <si>
    <t>FOR ALL</t>
  </si>
  <si>
    <t>At times, it shows some colored lines on extreme left - what does these mean?</t>
  </si>
  <si>
    <t>I want to increase / decrease effort by a specified %. Can this be done?</t>
  </si>
  <si>
    <t>I am looking for something else, this is not mentioned here. Where to look for?</t>
  </si>
  <si>
    <t>I want to squeeze the effort to bare minimum. How do I do that?</t>
  </si>
  <si>
    <t>Where do I define the RFP Name, Client Name, etc.?</t>
  </si>
  <si>
    <t>Open "Estimation Support Settings" section and you will see a lot of configuration options where you can define these. It will be updated automatically in a pre-defined</t>
  </si>
  <si>
    <t>format.</t>
  </si>
  <si>
    <t>There are tons of other features; which are very intutive and utilized on their own. Yet, you can have a look at</t>
  </si>
  <si>
    <t>FAQs</t>
  </si>
  <si>
    <t>for specific questions that</t>
  </si>
  <si>
    <t>you may have.</t>
  </si>
  <si>
    <t xml:space="preserve">If you still have more questions, send a mail at: </t>
  </si>
  <si>
    <t>vikas.burman@nagarro.com</t>
  </si>
  <si>
    <t>RFP Mapping</t>
  </si>
  <si>
    <t>Since estimation sheet is password protected and does not allow adding/removing rows anywhere, it provieds simple command buttons to add tasks, activities and groups.</t>
  </si>
  <si>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 xml:space="preserve"> button add a task when not inside/on a section/task; when inside a task or on an activity, it adds an activity</t>
    </r>
  </si>
  <si>
    <r>
      <rPr>
        <b/>
        <sz val="11"/>
        <color theme="1"/>
        <rFont val="Calibri"/>
        <family val="2"/>
        <scheme val="minor"/>
      </rPr>
      <t>Add After</t>
    </r>
    <r>
      <rPr>
        <sz val="11"/>
        <color theme="1"/>
        <rFont val="Calibri"/>
        <family val="2"/>
        <scheme val="minor"/>
      </rPr>
      <t xml:space="preserve"> button do  the same as </t>
    </r>
    <r>
      <rPr>
        <b/>
        <sz val="11"/>
        <color theme="1"/>
        <rFont val="Calibri"/>
        <family val="2"/>
        <scheme val="minor"/>
      </rPr>
      <t>Add Before</t>
    </r>
    <r>
      <rPr>
        <sz val="11"/>
        <color theme="1"/>
        <rFont val="Calibri"/>
        <family val="2"/>
        <scheme val="minor"/>
      </rPr>
      <t>, but insert new item on top of current row</t>
    </r>
  </si>
  <si>
    <r>
      <rPr>
        <b/>
        <sz val="11"/>
        <color theme="1"/>
        <rFont val="Calibri"/>
        <family val="2"/>
        <scheme val="minor"/>
      </rPr>
      <t>Add Group</t>
    </r>
    <r>
      <rPr>
        <sz val="11"/>
        <color theme="1"/>
        <rFont val="Calibri"/>
        <family val="2"/>
        <scheme val="minor"/>
      </rPr>
      <t xml:space="preserve"> adds a task group (can be used to define a module)</t>
    </r>
  </si>
  <si>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button deletes the current row (which could be an activity, task or task group)</t>
    </r>
  </si>
  <si>
    <r>
      <rPr>
        <b/>
        <sz val="11"/>
        <color theme="1"/>
        <rFont val="Calibri"/>
        <family val="2"/>
        <scheme val="minor"/>
      </rPr>
      <t>Move Up/Down</t>
    </r>
    <r>
      <rPr>
        <sz val="11"/>
        <color theme="1"/>
        <rFont val="Calibri"/>
        <family val="2"/>
        <scheme val="minor"/>
      </rPr>
      <t xml:space="preserve"> buttons move current row up or down. Rows can cross phases as well.</t>
    </r>
  </si>
  <si>
    <t>Yes, the sheets are protected to ensure sanity of formulae. It allows adding Tasks and Activities using provided command buttons. Use Add Before, Add After or Add Group</t>
  </si>
  <si>
    <t>to add task, activities or task groups.</t>
  </si>
  <si>
    <t>Use provided Remove button to remove currently selected row.</t>
  </si>
  <si>
    <t>But it gives an easy way for moving tasks, activities and even task groups. Use Move Up or Move Down command buttons to move rows up or down.</t>
  </si>
  <si>
    <t>Format:</t>
  </si>
  <si>
    <t>Task activity
&gt;&gt; Scope Item 1 
&gt;&gt; Scope Item 2
&gt;&gt; Scope Item 3</t>
  </si>
  <si>
    <t>&gt;&gt; Out of scope activity 1</t>
  </si>
  <si>
    <t>Out of scope / Assumptions</t>
  </si>
  <si>
    <t>&gt;&gt; Assumption 1
&gt;&gt; Assumption 2</t>
  </si>
  <si>
    <t>Out of scope / Assumptions:</t>
  </si>
  <si>
    <t>This column lets you define any out of scope activities related to specific task, and relevant assumptions related to specific activity.</t>
  </si>
  <si>
    <t>Development environment and team ramp-up</t>
  </si>
  <si>
    <t>Shared/core tasks</t>
  </si>
  <si>
    <t>Data Migration</t>
  </si>
  <si>
    <t>Data Migration ETL Process</t>
  </si>
  <si>
    <t>Data Migration Execution</t>
  </si>
  <si>
    <t>Default</t>
  </si>
  <si>
    <t xml:space="preserve">Functional breakdown summary shows complete list of development tasks and modules and adds % based effort from all other phases into each task. This gets the complete costing and effort per development task. </t>
  </si>
  <si>
    <t>Generate</t>
  </si>
  <si>
    <t>Start Next  
After %</t>
  </si>
  <si>
    <t>Inbuilt Names (to use in Formula)</t>
  </si>
  <si>
    <t>Current system understanding</t>
  </si>
  <si>
    <t>Requirement analysis</t>
  </si>
  <si>
    <t>Analysis for new business requirements</t>
  </si>
  <si>
    <t>Business process re-engineering
&gt;&gt; Analysis to optimize existing business processes and workflows.</t>
  </si>
  <si>
    <t>SRS: Software Requirement Specification
&gt;&gt; Preparation of SRS document
&gt;&gt; Use Cases/Stories including business rules, validations, CRAD (change, read and delete) by field and business functions.
&gt;&gt; Business process diagrams
&gt;&gt; Wireframes of UI and reports
&gt;&gt; Functional coverage document</t>
  </si>
  <si>
    <t>Usability Analysis
&gt;&gt; Analysis for information flow architecture and usability considerations</t>
  </si>
  <si>
    <t>Review and Sign-off
&gt;&gt; Client review iterations and sign-off on SRS and Mock-ups</t>
  </si>
  <si>
    <t>POCs</t>
  </si>
  <si>
    <t>Application framework construction</t>
  </si>
  <si>
    <t>Functional test cases preparation and review</t>
  </si>
  <si>
    <t>Analysis of existing application(s) design</t>
  </si>
  <si>
    <t>Analysis of existing database(s)</t>
  </si>
  <si>
    <t xml:space="preserve">High Level Analysis and design document preparation
</t>
  </si>
  <si>
    <t xml:space="preserve">Low level analysis and design document preparation
</t>
  </si>
  <si>
    <t>Review and Sign-off
&gt;&gt; Client review iterations and sign-off on design documents</t>
  </si>
  <si>
    <t>Design Analysis and Documentation</t>
  </si>
  <si>
    <t>Integration adaptor framework</t>
  </si>
  <si>
    <t>Testing strategy and planning</t>
  </si>
  <si>
    <t>Test cases preparation (Manual)
&gt;&gt; For system and integration testing</t>
  </si>
  <si>
    <t>Test cases preparation (Automated)
&gt;&gt; Automated test scripts</t>
  </si>
  <si>
    <t>Review and Sign-off
&gt;&gt; Client review iterations and sign-off on test cases</t>
  </si>
  <si>
    <t>&gt;&gt; Valid only in case of mannual testing
&gt;&gt; Mutually exclusive with 5.3</t>
  </si>
  <si>
    <t>&gt;&gt; Valid only in case of automated testing
&gt;&gt; Mutually exclusive with 5.2</t>
  </si>
  <si>
    <t>Test Cases</t>
  </si>
  <si>
    <t>SRS knowledge transfer to team members</t>
  </si>
  <si>
    <t>Design knowledge transfer to team members</t>
  </si>
  <si>
    <t>Application framework knowledge transfer to team members</t>
  </si>
  <si>
    <t>Development environment setup</t>
  </si>
  <si>
    <t>Screen: Master Page
&gt;&gt; Main menu, navigation logic and menu authorization logic</t>
  </si>
  <si>
    <t>Screen: Login (authentication process)</t>
  </si>
  <si>
    <t>Functionality: Authorization engine</t>
  </si>
  <si>
    <t>Functionality: Notification engine</t>
  </si>
  <si>
    <t>Functionality: Global search box</t>
  </si>
  <si>
    <t>Screen: &lt;screen name&gt;
&gt;&gt; CRUD, List, Search</t>
  </si>
  <si>
    <t>Task: &lt;task name&gt;
&gt;&gt; Activity</t>
  </si>
  <si>
    <t>&gt;&gt; From older to new SQL Server DB
&gt;&gt; Master Script</t>
  </si>
  <si>
    <t>&gt;&gt; From older to new database
&gt;&gt; ETL Process and data de-duplication</t>
  </si>
  <si>
    <t>Functional test cases execution</t>
  </si>
  <si>
    <t>Testing environment setup</t>
  </si>
  <si>
    <t>Test case execution
&gt;&gt; Testing, logs and reports</t>
  </si>
  <si>
    <t>Performance testing</t>
  </si>
  <si>
    <t>Performance testing environment setup</t>
  </si>
  <si>
    <t>Scripts preparation</t>
  </si>
  <si>
    <t>Scripts execution</t>
  </si>
  <si>
    <t>Reports preparation</t>
  </si>
  <si>
    <t>Environments</t>
  </si>
  <si>
    <t>Other Testing</t>
  </si>
  <si>
    <t>Multi-lingual testing</t>
  </si>
  <si>
    <t>Data migration testing</t>
  </si>
  <si>
    <t>Multi-browser testing</t>
  </si>
  <si>
    <t>Multi-device testing</t>
  </si>
  <si>
    <t>System Stabilization</t>
  </si>
  <si>
    <t>Performance tuning</t>
  </si>
  <si>
    <t>Bug fixing</t>
  </si>
  <si>
    <t>Staging releases (partial)</t>
  </si>
  <si>
    <t>Interim demos</t>
  </si>
  <si>
    <t>Interim staging releases
&gt;&gt; Preparation of release notes, installer, builds, etc.</t>
  </si>
  <si>
    <t>UAT Release (Full)</t>
  </si>
  <si>
    <t>UAT release
&gt;&gt; Preparation of release notes, installer, builds, etc.
&gt;&gt; UNIT: Total No. of Resources x N UAT cycle</t>
  </si>
  <si>
    <t>Releases</t>
  </si>
  <si>
    <t>Demos</t>
  </si>
  <si>
    <t>Production Release (Full)</t>
  </si>
  <si>
    <t>Final production release
&gt;&gt; Preparation of release notes, installer, builds, etc.</t>
  </si>
  <si>
    <t>Documentation and training</t>
  </si>
  <si>
    <t>Deployment document</t>
  </si>
  <si>
    <t>Training Plan and artifacts</t>
  </si>
  <si>
    <t>User manual</t>
  </si>
  <si>
    <t>Train the trainer sessions</t>
  </si>
  <si>
    <t>&gt;&gt; Valid for re-engineering task only
&gt;&gt; Technical understanding of current overall system and architecture.</t>
  </si>
  <si>
    <t>&gt;&gt; Valid for re-engineering task only</t>
  </si>
  <si>
    <t>Total FR's</t>
  </si>
  <si>
    <t>Name : Total Use Cases
# : Total FR's
xN : Use Case Per FR</t>
  </si>
  <si>
    <t>Name: Total Screens
#: Key Screens</t>
  </si>
  <si>
    <t>Resources
Weeks</t>
  </si>
  <si>
    <t>2 Resources for 4 weeks of 5 days each.</t>
  </si>
  <si>
    <t>1 Resource for 2 weeks of 5 days each.</t>
  </si>
  <si>
    <t>PM Effort</t>
  </si>
  <si>
    <t>Project management effort</t>
  </si>
  <si>
    <t>Percentage</t>
  </si>
  <si>
    <t>AG Estimation Template -  Version</t>
  </si>
  <si>
    <t>Mohit Bhardwaj</t>
  </si>
  <si>
    <t>Create User Profiles, User Journeys</t>
  </si>
  <si>
    <t xml:space="preserve">Business process understanding and verification
&gt;&gt; </t>
  </si>
  <si>
    <t>Audit</t>
  </si>
  <si>
    <t>Requirement Documentation and Review</t>
  </si>
  <si>
    <t>Information Architecture</t>
  </si>
  <si>
    <t>Prototyping Visual designs</t>
  </si>
  <si>
    <t xml:space="preserve">Understand Stakeholder Requirements, Data Analysis
&gt;&gt; Stakeholders Interviews (Business, Technology, Design)
&gt;&gt; Document interview findings, data analysis
&gt;&gt; Client Presentation (Stakeholder Interviews, Analysis)
</t>
  </si>
  <si>
    <t>Project Plan and Kick off
&gt;&gt; Team Introductions, Revise Project Schedule, Set Expectations</t>
  </si>
  <si>
    <t>Client Presentation, review and Sign-off
&gt;&gt; Client review iterations and sign-off user profiles, personas &amp; journeys</t>
  </si>
  <si>
    <t>Iterations</t>
  </si>
  <si>
    <t>Expert Review</t>
  </si>
  <si>
    <t xml:space="preserve">Client Presentation, review and Sign-off
&gt;&gt; Review &amp; Analysis </t>
  </si>
  <si>
    <t>Create Site Map &amp; Content Inventory</t>
  </si>
  <si>
    <t>R2: Detailed Wireframes + Interaction Tables (15-20)</t>
  </si>
  <si>
    <t>Review and Sign-off
&gt;&gt; Client review iterations and sign-off on Final Wireframes</t>
  </si>
  <si>
    <t>Create Preliminary Visual Design Compositions (3-4 templates)</t>
  </si>
  <si>
    <t>Create Click through mockups</t>
  </si>
  <si>
    <t>Final Revisions</t>
  </si>
  <si>
    <t>This effort should be calculated by summing up all tasks/groups other than System Stabilization.</t>
  </si>
  <si>
    <t>Team Ramp up</t>
  </si>
  <si>
    <t>Requirement Analysis and Planning</t>
  </si>
  <si>
    <t>Requirement Study and Analysis</t>
  </si>
  <si>
    <t>Test Plan document
&gt;&gt; (Creation of test plan)</t>
  </si>
  <si>
    <t>Total Use Cases</t>
  </si>
  <si>
    <t>Test Preparation</t>
  </si>
  <si>
    <t>Name: Total Test Cases
# : Total Use case's
xN : Test case Per Use case</t>
  </si>
  <si>
    <t>Percentage of Test Cases</t>
  </si>
  <si>
    <t>How much percentage of test cases you are intended to execute</t>
  </si>
  <si>
    <t>15% test cases considered for Performance testing</t>
  </si>
  <si>
    <t>Languages
Screens</t>
  </si>
  <si>
    <t>Browsers
Screens</t>
  </si>
  <si>
    <t>Devices
Screens</t>
  </si>
  <si>
    <t>2.0.4</t>
  </si>
  <si>
    <t xml:space="preserve">Accessibility Testing </t>
  </si>
  <si>
    <t>Usability Testing</t>
  </si>
  <si>
    <t>Screens</t>
  </si>
  <si>
    <t>% of the Use cases</t>
  </si>
  <si>
    <t>Considered 2% of overall use cases.</t>
  </si>
  <si>
    <t xml:space="preserve">Analysis of existing system </t>
  </si>
  <si>
    <t>3 member and 3 cycle required</t>
  </si>
  <si>
    <t>4 member and 5 cycle required</t>
  </si>
  <si>
    <t>13 member required, 10 from developing company and 3 from client</t>
  </si>
  <si>
    <t>4 member from developing company required</t>
  </si>
  <si>
    <t>3 member and 2 cycle required</t>
  </si>
  <si>
    <t>Prepare Guide and questionaire and Interview Users 
&gt;&gt; 10-12) Users</t>
  </si>
  <si>
    <t>Create Profiles, Personas and  User Journeys</t>
  </si>
  <si>
    <t>Execute questionaire</t>
  </si>
  <si>
    <t xml:space="preserve">Competitor Analysis
&gt;&gt; Identify competitor
&gt;&gt; Gather information about product
&gt;&gt; Create comparison matrix </t>
  </si>
  <si>
    <t>6 member and 2 cycle required</t>
  </si>
  <si>
    <t xml:space="preserve">4 member and 2 cycle required </t>
  </si>
  <si>
    <t xml:space="preserve">2 member and 3 cycle required </t>
  </si>
  <si>
    <t>2 member and 3 cycle required</t>
  </si>
  <si>
    <t>2 member and 3 cycle</t>
  </si>
  <si>
    <t>POC: 
&gt;&gt; Database sharding
&gt;&gt; AKS scaling
&gt;&gt; Hardware scaling</t>
  </si>
  <si>
    <t>Database design and analysis document preparation
&gt;&gt; class relationship
&gt;&gt; relationship constraints
&gt;&gt; fields identifications etc</t>
  </si>
  <si>
    <t xml:space="preserve">DAR 
</t>
  </si>
  <si>
    <t>Multi-layered architecture:
&gt;&gt; DAL, ORM, BLL
&gt;&gt; 
&gt;&gt; Communication design across layers through interfaces and DTOs</t>
  </si>
  <si>
    <t>X-cutting layers
&gt;&gt; Logging, Exception handling, caching, notification, etc.
&gt;&gt; Integration with Kfka server
&gt;&gt; write job to mongo db as consumer</t>
  </si>
  <si>
    <t>Security
&gt;&gt; Authentication, authorization framework
&gt;&gt; token generation
&gt;&gt; filters
&gt;&gt; profiling
&gt;&gt; revoking
&gt;&gt; token expiration configuration</t>
  </si>
  <si>
    <t>UI Navigation framework
&gt;&gt; Nodejs and npm installation
&gt;&gt; Angular cli
&gt;&gt; Shared modules
&gt;&gt; configurations
&gt;&gt; mocking framework etc</t>
  </si>
  <si>
    <t>3 micro app</t>
  </si>
  <si>
    <t>Team member X no of cycle</t>
  </si>
  <si>
    <t xml:space="preserve">Based on Total Use Cases
</t>
  </si>
  <si>
    <t>No of preseation</t>
  </si>
  <si>
    <t>3 micro applications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</si>
</sst>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(* #,##0_);_(* \(#,##0\);_(* &quot;-&quot;??_);_(@_)"/>
    <numFmt numFmtId="166" formatCode="0.0"/>
    <numFmt numFmtId="167" formatCode="[$-409]d\-mmm;@"/>
  </numFmts>
  <fonts count="8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8"/>
      <color rgb="FFC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6"/>
      <color theme="9" tint="-0.499984740745262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9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i/>
      <sz val="12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8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9"/>
      <name val="Calibri"/>
      <family val="2"/>
      <scheme val="minor"/>
    </font>
    <font>
      <b/>
      <sz val="12"/>
      <color theme="8" tint="-0.249977111117893"/>
      <name val="Calibri"/>
      <family val="2"/>
    </font>
    <font>
      <sz val="8"/>
      <color theme="0" tint="-0.14999847407452621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8" tint="-0.499984740745262"/>
      <name val="Calibri"/>
      <family val="2"/>
      <scheme val="minor"/>
    </font>
    <font>
      <b/>
      <sz val="12"/>
      <color theme="8" tint="-0.499984740745262"/>
      <name val="Calibri"/>
      <family val="2"/>
      <scheme val="minor"/>
    </font>
    <font>
      <sz val="11"/>
      <color rgb="FFC00000"/>
      <name val="Calibri"/>
      <family val="2"/>
    </font>
    <font>
      <sz val="10"/>
      <color rgb="FFC00000"/>
      <name val="Calibri"/>
      <family val="2"/>
    </font>
    <font>
      <sz val="11"/>
      <color rgb="FFC0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i/>
      <sz val="12"/>
      <color theme="7" tint="0.79998168889431442"/>
      <name val="Calibri"/>
      <family val="2"/>
      <scheme val="minor"/>
    </font>
    <font>
      <u/>
      <sz val="14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theme="8" tint="-0.499984740745262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4"/>
      <color theme="4" tint="0.59999389629810485"/>
      <name val="Calibri"/>
      <family val="2"/>
      <scheme val="minor"/>
    </font>
    <font>
      <b/>
      <sz val="12"/>
      <color rgb="FFFF00FF"/>
      <name val="Calibri"/>
      <family val="2"/>
    </font>
    <font>
      <b/>
      <sz val="12"/>
      <color rgb="FFFF00FF"/>
      <name val="Calibri"/>
      <family val="2"/>
      <scheme val="minor"/>
    </font>
    <font>
      <b/>
      <sz val="12"/>
      <color theme="10"/>
      <name val="Calibri"/>
      <family val="2"/>
      <scheme val="minor"/>
    </font>
    <font>
      <b/>
      <sz val="11"/>
      <color rgb="FFCC00CC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i/>
      <sz val="10"/>
      <color theme="8" tint="-0.24997711111789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u/>
      <sz val="18"/>
      <color rgb="FF00B0F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6"/>
      <color theme="5"/>
      <name val="Calibri"/>
      <family val="2"/>
      <scheme val="minor"/>
    </font>
    <font>
      <sz val="16"/>
      <color theme="5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u/>
      <sz val="14"/>
      <color rgb="FFFF00FF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sz val="8"/>
      <color rgb="FF0070C0"/>
      <name val="Calibri"/>
      <family val="2"/>
      <scheme val="minor"/>
    </font>
    <font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2" tint="-0.25098422193060094"/>
        </stop>
        <stop position="1">
          <color theme="2" tint="-9.8025452436902985E-2"/>
        </stop>
      </gradientFill>
    </fill>
    <fill>
      <gradientFill degree="270">
        <stop position="0">
          <color theme="2" tint="-0.25098422193060094"/>
        </stop>
        <stop position="1">
          <color theme="2" tint="-9.8025452436902985E-2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degree="270">
        <stop position="0">
          <color theme="7" tint="0.80001220740379042"/>
        </stop>
        <stop position="1">
          <color theme="7" tint="0.59999389629810485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345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8" fillId="2" borderId="0" xfId="0" applyFont="1" applyFill="1" applyAlignment="1" applyProtection="1">
      <alignment vertical="center" wrapText="1"/>
      <protection locked="0"/>
    </xf>
    <xf numFmtId="0" fontId="2" fillId="3" borderId="0" xfId="0" applyFont="1" applyFill="1" applyAlignment="1" applyProtection="1">
      <alignment vertical="top" wrapText="1"/>
    </xf>
    <xf numFmtId="0" fontId="2" fillId="3" borderId="1" xfId="0" applyFont="1" applyFill="1" applyBorder="1" applyAlignment="1" applyProtection="1">
      <alignment horizontal="center" vertical="top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0" xfId="0" applyFont="1" applyFill="1" applyAlignment="1" applyProtection="1">
      <alignment horizontal="center" vertical="top"/>
    </xf>
    <xf numFmtId="0" fontId="0" fillId="6" borderId="0" xfId="0" applyFill="1" applyBorder="1" applyAlignment="1" applyProtection="1">
      <alignment vertical="top"/>
    </xf>
    <xf numFmtId="0" fontId="0" fillId="6" borderId="0" xfId="0" applyFill="1" applyAlignment="1" applyProtection="1">
      <alignment vertical="top"/>
    </xf>
    <xf numFmtId="0" fontId="0" fillId="6" borderId="0" xfId="0" applyFill="1" applyAlignment="1" applyProtection="1">
      <alignment vertical="top" wrapText="1"/>
    </xf>
    <xf numFmtId="0" fontId="3" fillId="6" borderId="0" xfId="0" applyFont="1" applyFill="1" applyAlignment="1" applyProtection="1">
      <alignment vertical="top"/>
    </xf>
    <xf numFmtId="0" fontId="0" fillId="6" borderId="0" xfId="0" applyFill="1" applyBorder="1" applyAlignment="1" applyProtection="1">
      <alignment vertical="center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vertical="center" wrapText="1"/>
    </xf>
    <xf numFmtId="0" fontId="0" fillId="6" borderId="0" xfId="0" applyFill="1" applyAlignment="1" applyProtection="1">
      <alignment vertical="center"/>
      <protection locked="0"/>
    </xf>
    <xf numFmtId="2" fontId="0" fillId="6" borderId="0" xfId="0" applyNumberFormat="1" applyFill="1" applyBorder="1" applyAlignment="1" applyProtection="1">
      <alignment vertical="top"/>
    </xf>
    <xf numFmtId="0" fontId="0" fillId="6" borderId="0" xfId="0" applyFill="1" applyAlignment="1" applyProtection="1">
      <alignment vertical="top"/>
      <protection locked="0"/>
    </xf>
    <xf numFmtId="1" fontId="8" fillId="2" borderId="0" xfId="0" applyNumberFormat="1" applyFont="1" applyFill="1" applyAlignment="1" applyProtection="1">
      <alignment vertical="center"/>
    </xf>
    <xf numFmtId="1" fontId="4" fillId="6" borderId="0" xfId="0" applyNumberFormat="1" applyFont="1" applyFill="1" applyBorder="1" applyAlignment="1" applyProtection="1">
      <alignment vertical="top"/>
    </xf>
    <xf numFmtId="0" fontId="0" fillId="6" borderId="4" xfId="0" applyFill="1" applyBorder="1" applyAlignment="1" applyProtection="1">
      <alignment vertical="top"/>
      <protection locked="0"/>
    </xf>
    <xf numFmtId="0" fontId="0" fillId="6" borderId="4" xfId="0" applyFill="1" applyBorder="1" applyAlignment="1" applyProtection="1">
      <alignment vertical="top" wrapText="1"/>
      <protection locked="0"/>
    </xf>
    <xf numFmtId="9" fontId="0" fillId="6" borderId="4" xfId="0" applyNumberFormat="1" applyFill="1" applyBorder="1" applyAlignment="1" applyProtection="1">
      <alignment vertical="top"/>
      <protection locked="0"/>
    </xf>
    <xf numFmtId="2" fontId="0" fillId="6" borderId="4" xfId="0" applyNumberFormat="1" applyFill="1" applyBorder="1" applyAlignment="1" applyProtection="1">
      <alignment vertical="top"/>
      <protection locked="0"/>
    </xf>
    <xf numFmtId="0" fontId="11" fillId="6" borderId="0" xfId="0" applyFont="1" applyFill="1" applyAlignment="1" applyProtection="1">
      <alignment vertical="top" wrapText="1"/>
    </xf>
    <xf numFmtId="0" fontId="0" fillId="6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top"/>
    </xf>
    <xf numFmtId="0" fontId="9" fillId="4" borderId="0" xfId="0" applyFont="1" applyFill="1" applyAlignment="1" applyProtection="1">
      <alignment vertical="top"/>
    </xf>
    <xf numFmtId="2" fontId="0" fillId="4" borderId="0" xfId="0" applyNumberFormat="1" applyFill="1" applyAlignment="1" applyProtection="1">
      <alignment vertical="top"/>
    </xf>
    <xf numFmtId="0" fontId="0" fillId="4" borderId="0" xfId="0" applyFill="1" applyAlignment="1" applyProtection="1">
      <alignment vertical="top" wrapText="1"/>
    </xf>
    <xf numFmtId="0" fontId="0" fillId="2" borderId="0" xfId="0" applyFill="1" applyAlignment="1" applyProtection="1">
      <alignment vertical="center"/>
    </xf>
    <xf numFmtId="0" fontId="8" fillId="2" borderId="0" xfId="0" applyFont="1" applyFill="1" applyAlignment="1" applyProtection="1">
      <alignment vertical="center"/>
    </xf>
    <xf numFmtId="2" fontId="7" fillId="2" borderId="0" xfId="0" applyNumberFormat="1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/>
    </xf>
    <xf numFmtId="0" fontId="7" fillId="2" borderId="0" xfId="0" applyFont="1" applyFill="1" applyAlignment="1" applyProtection="1">
      <alignment vertical="center" wrapText="1"/>
    </xf>
    <xf numFmtId="0" fontId="0" fillId="6" borderId="4" xfId="0" applyFill="1" applyBorder="1" applyAlignment="1" applyProtection="1">
      <alignment vertical="top" wrapText="1"/>
    </xf>
    <xf numFmtId="0" fontId="0" fillId="6" borderId="8" xfId="0" applyFill="1" applyBorder="1" applyAlignment="1" applyProtection="1">
      <alignment vertical="top" wrapText="1"/>
      <protection locked="0"/>
    </xf>
    <xf numFmtId="0" fontId="0" fillId="8" borderId="0" xfId="0" applyFill="1" applyAlignment="1" applyProtection="1">
      <alignment vertical="top"/>
    </xf>
    <xf numFmtId="0" fontId="0" fillId="8" borderId="0" xfId="0" applyFill="1" applyAlignment="1" applyProtection="1">
      <alignment vertical="top" wrapText="1"/>
    </xf>
    <xf numFmtId="0" fontId="2" fillId="8" borderId="0" xfId="0" applyFont="1" applyFill="1" applyBorder="1" applyAlignment="1" applyProtection="1">
      <alignment vertical="top"/>
    </xf>
    <xf numFmtId="9" fontId="14" fillId="8" borderId="2" xfId="0" applyNumberFormat="1" applyFont="1" applyFill="1" applyBorder="1" applyAlignment="1" applyProtection="1">
      <alignment vertical="top"/>
    </xf>
    <xf numFmtId="0" fontId="0" fillId="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horizontal="right" vertical="top"/>
      <protection locked="0"/>
    </xf>
    <xf numFmtId="0" fontId="0" fillId="5" borderId="10" xfId="0" applyFill="1" applyBorder="1" applyAlignment="1" applyProtection="1">
      <alignment horizontal="right" vertical="top"/>
      <protection locked="0"/>
    </xf>
    <xf numFmtId="9" fontId="0" fillId="5" borderId="10" xfId="0" applyNumberFormat="1" applyFill="1" applyBorder="1" applyAlignment="1" applyProtection="1">
      <alignment horizontal="left" vertical="top"/>
      <protection locked="0"/>
    </xf>
    <xf numFmtId="0" fontId="0" fillId="5" borderId="10" xfId="0" applyFill="1" applyBorder="1" applyAlignment="1" applyProtection="1">
      <alignment horizontal="left" vertical="top"/>
      <protection locked="0"/>
    </xf>
    <xf numFmtId="0" fontId="2" fillId="8" borderId="0" xfId="0" applyFont="1" applyFill="1" applyAlignment="1" applyProtection="1">
      <alignment horizontal="center" vertical="top"/>
    </xf>
    <xf numFmtId="0" fontId="2" fillId="8" borderId="17" xfId="0" applyFont="1" applyFill="1" applyBorder="1" applyAlignment="1" applyProtection="1">
      <alignment horizontal="center" vertical="top"/>
    </xf>
    <xf numFmtId="0" fontId="0" fillId="8" borderId="1" xfId="0" applyFill="1" applyBorder="1" applyAlignment="1" applyProtection="1">
      <alignment vertical="top"/>
    </xf>
    <xf numFmtId="0" fontId="2" fillId="3" borderId="17" xfId="0" applyFont="1" applyFill="1" applyBorder="1" applyAlignment="1" applyProtection="1">
      <alignment horizontal="center" vertical="top"/>
    </xf>
    <xf numFmtId="0" fontId="2" fillId="3" borderId="19" xfId="0" applyFont="1" applyFill="1" applyBorder="1" applyAlignment="1" applyProtection="1">
      <alignment horizontal="center" vertical="top"/>
    </xf>
    <xf numFmtId="166" fontId="0" fillId="5" borderId="10" xfId="0" applyNumberFormat="1" applyFill="1" applyBorder="1" applyAlignment="1" applyProtection="1">
      <alignment horizontal="center" vertical="top"/>
      <protection locked="0"/>
    </xf>
    <xf numFmtId="166" fontId="0" fillId="5" borderId="10" xfId="0" applyNumberFormat="1" applyFill="1" applyBorder="1" applyAlignment="1" applyProtection="1">
      <alignment horizontal="left" vertical="top"/>
      <protection locked="0"/>
    </xf>
    <xf numFmtId="0" fontId="6" fillId="10" borderId="0" xfId="0" applyFont="1" applyFill="1" applyBorder="1" applyAlignment="1" applyProtection="1">
      <alignment vertical="center"/>
      <protection locked="0"/>
    </xf>
    <xf numFmtId="0" fontId="5" fillId="10" borderId="0" xfId="0" applyFont="1" applyFill="1" applyBorder="1" applyAlignment="1" applyProtection="1">
      <alignment vertical="center" wrapText="1"/>
      <protection locked="0"/>
    </xf>
    <xf numFmtId="0" fontId="5" fillId="10" borderId="0" xfId="0" applyFont="1" applyFill="1" applyBorder="1" applyAlignment="1" applyProtection="1">
      <alignment vertical="center" wrapText="1"/>
    </xf>
    <xf numFmtId="0" fontId="5" fillId="10" borderId="0" xfId="0" applyFont="1" applyFill="1" applyBorder="1" applyAlignment="1" applyProtection="1">
      <alignment vertical="center"/>
    </xf>
    <xf numFmtId="0" fontId="0" fillId="4" borderId="0" xfId="0" applyFill="1" applyBorder="1" applyAlignment="1" applyProtection="1">
      <alignment vertical="top"/>
    </xf>
    <xf numFmtId="0" fontId="0" fillId="6" borderId="0" xfId="0" applyFill="1" applyBorder="1" applyAlignment="1" applyProtection="1">
      <alignment vertical="top" wrapText="1"/>
    </xf>
    <xf numFmtId="0" fontId="0" fillId="10" borderId="0" xfId="0" applyFill="1" applyBorder="1" applyAlignment="1" applyProtection="1">
      <alignment vertical="top"/>
    </xf>
    <xf numFmtId="0" fontId="0" fillId="10" borderId="0" xfId="0" applyFill="1" applyBorder="1" applyAlignment="1" applyProtection="1">
      <alignment vertical="top" wrapText="1"/>
    </xf>
    <xf numFmtId="0" fontId="0" fillId="4" borderId="0" xfId="0" applyFill="1" applyAlignment="1" applyProtection="1">
      <alignment vertical="top"/>
      <protection locked="0"/>
    </xf>
    <xf numFmtId="0" fontId="0" fillId="4" borderId="0" xfId="0" applyFill="1" applyAlignment="1" applyProtection="1">
      <alignment vertical="top" wrapText="1"/>
      <protection locked="0"/>
    </xf>
    <xf numFmtId="1" fontId="0" fillId="4" borderId="13" xfId="0" applyNumberFormat="1" applyFill="1" applyBorder="1" applyAlignment="1" applyProtection="1">
      <alignment vertical="top"/>
    </xf>
    <xf numFmtId="1" fontId="18" fillId="4" borderId="0" xfId="0" applyNumberFormat="1" applyFont="1" applyFill="1" applyAlignment="1" applyProtection="1">
      <alignment vertical="top"/>
    </xf>
    <xf numFmtId="0" fontId="9" fillId="4" borderId="0" xfId="0" applyFont="1" applyFill="1" applyAlignment="1" applyProtection="1">
      <alignment vertical="top"/>
      <protection locked="0"/>
    </xf>
    <xf numFmtId="0" fontId="0" fillId="4" borderId="0" xfId="0" applyFont="1" applyFill="1" applyAlignment="1" applyProtection="1">
      <alignment vertical="top"/>
      <protection locked="0"/>
    </xf>
    <xf numFmtId="9" fontId="14" fillId="8" borderId="0" xfId="0" applyNumberFormat="1" applyFont="1" applyFill="1" applyBorder="1" applyAlignment="1" applyProtection="1">
      <alignment vertical="top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right" vertical="center"/>
    </xf>
    <xf numFmtId="167" fontId="27" fillId="2" borderId="20" xfId="0" applyNumberFormat="1" applyFont="1" applyFill="1" applyBorder="1" applyAlignment="1">
      <alignment horizontal="center" textRotation="90"/>
    </xf>
    <xf numFmtId="167" fontId="27" fillId="2" borderId="3" xfId="0" applyNumberFormat="1" applyFont="1" applyFill="1" applyBorder="1" applyAlignment="1">
      <alignment horizontal="center" textRotation="90"/>
    </xf>
    <xf numFmtId="167" fontId="27" fillId="2" borderId="21" xfId="0" applyNumberFormat="1" applyFont="1" applyFill="1" applyBorder="1" applyAlignment="1">
      <alignment horizontal="center" textRotation="90"/>
    </xf>
    <xf numFmtId="0" fontId="0" fillId="4" borderId="0" xfId="0" applyFill="1" applyAlignment="1" applyProtection="1">
      <alignment horizontal="right" vertical="top"/>
    </xf>
    <xf numFmtId="0" fontId="20" fillId="4" borderId="0" xfId="3" applyFill="1" applyAlignment="1" applyProtection="1">
      <alignment vertical="top" wrapText="1"/>
    </xf>
    <xf numFmtId="0" fontId="0" fillId="3" borderId="0" xfId="0" applyFont="1" applyFill="1" applyAlignment="1" applyProtection="1">
      <alignment vertical="top" wrapText="1"/>
    </xf>
    <xf numFmtId="0" fontId="15" fillId="7" borderId="0" xfId="0" applyFont="1" applyFill="1" applyBorder="1" applyAlignment="1" applyProtection="1">
      <alignment horizontal="center" vertical="top"/>
    </xf>
    <xf numFmtId="0" fontId="15" fillId="7" borderId="0" xfId="0" applyFont="1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 vertical="top"/>
    </xf>
    <xf numFmtId="0" fontId="27" fillId="7" borderId="0" xfId="0" applyFont="1" applyFill="1" applyAlignment="1" applyProtection="1">
      <alignment horizontal="center" vertical="center"/>
    </xf>
    <xf numFmtId="0" fontId="27" fillId="7" borderId="0" xfId="0" applyFont="1" applyFill="1" applyBorder="1" applyAlignment="1" applyProtection="1">
      <alignment horizontal="center" vertical="center"/>
    </xf>
    <xf numFmtId="0" fontId="28" fillId="7" borderId="0" xfId="0" applyFont="1" applyFill="1" applyBorder="1" applyAlignment="1" applyProtection="1">
      <alignment horizontal="center" vertical="center"/>
    </xf>
    <xf numFmtId="0" fontId="29" fillId="7" borderId="0" xfId="0" applyFont="1" applyFill="1" applyAlignment="1" applyProtection="1">
      <alignment horizontal="center" vertical="center"/>
    </xf>
    <xf numFmtId="0" fontId="29" fillId="7" borderId="0" xfId="0" applyFont="1" applyFill="1" applyBorder="1" applyAlignment="1" applyProtection="1">
      <alignment horizontal="center" vertical="top"/>
    </xf>
    <xf numFmtId="0" fontId="28" fillId="7" borderId="0" xfId="0" applyFont="1" applyFill="1" applyBorder="1" applyAlignment="1" applyProtection="1">
      <alignment horizontal="center" vertical="top"/>
    </xf>
    <xf numFmtId="0" fontId="8" fillId="13" borderId="0" xfId="0" applyFont="1" applyFill="1" applyAlignment="1" applyProtection="1">
      <alignment vertical="center" wrapText="1"/>
      <protection locked="0"/>
    </xf>
    <xf numFmtId="0" fontId="8" fillId="13" borderId="0" xfId="0" applyFont="1" applyFill="1" applyAlignment="1" applyProtection="1">
      <alignment vertical="center"/>
    </xf>
    <xf numFmtId="2" fontId="7" fillId="13" borderId="0" xfId="0" applyNumberFormat="1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/>
    </xf>
    <xf numFmtId="0" fontId="7" fillId="13" borderId="0" xfId="0" applyFont="1" applyFill="1" applyAlignment="1" applyProtection="1">
      <alignment vertical="center" wrapText="1"/>
    </xf>
    <xf numFmtId="1" fontId="30" fillId="13" borderId="0" xfId="0" applyNumberFormat="1" applyFont="1" applyFill="1" applyAlignment="1" applyProtection="1">
      <alignment vertical="center"/>
      <protection locked="0"/>
    </xf>
    <xf numFmtId="0" fontId="31" fillId="11" borderId="0" xfId="0" applyFont="1" applyFill="1" applyBorder="1" applyAlignment="1" applyProtection="1">
      <alignment horizontal="center" vertical="top" textRotation="90"/>
    </xf>
    <xf numFmtId="0" fontId="31" fillId="11" borderId="0" xfId="0" applyFont="1" applyFill="1" applyAlignment="1" applyProtection="1">
      <alignment horizontal="center" vertical="top" textRotation="90"/>
    </xf>
    <xf numFmtId="0" fontId="0" fillId="14" borderId="0" xfId="0" applyFill="1" applyAlignment="1" applyProtection="1">
      <alignment vertical="top"/>
    </xf>
    <xf numFmtId="0" fontId="12" fillId="14" borderId="0" xfId="0" applyFont="1" applyFill="1" applyAlignment="1" applyProtection="1">
      <alignment vertical="top"/>
    </xf>
    <xf numFmtId="0" fontId="24" fillId="14" borderId="0" xfId="0" applyFont="1" applyFill="1" applyBorder="1" applyAlignment="1" applyProtection="1">
      <alignment vertical="center"/>
    </xf>
    <xf numFmtId="165" fontId="23" fillId="14" borderId="0" xfId="1" applyNumberFormat="1" applyFont="1" applyFill="1" applyAlignment="1" applyProtection="1">
      <alignment horizontal="left" vertical="center"/>
    </xf>
    <xf numFmtId="0" fontId="0" fillId="16" borderId="0" xfId="0" applyFill="1"/>
    <xf numFmtId="0" fontId="0" fillId="4" borderId="0" xfId="0" applyFill="1" applyBorder="1" applyAlignment="1" applyProtection="1">
      <alignment vertical="top" wrapText="1"/>
      <protection locked="0"/>
    </xf>
    <xf numFmtId="166" fontId="0" fillId="5" borderId="10" xfId="0" applyNumberFormat="1" applyFill="1" applyBorder="1" applyAlignment="1" applyProtection="1">
      <alignment horizontal="right" vertical="top"/>
      <protection locked="0"/>
    </xf>
    <xf numFmtId="0" fontId="22" fillId="4" borderId="0" xfId="0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 wrapText="1"/>
    </xf>
    <xf numFmtId="166" fontId="0" fillId="4" borderId="13" xfId="0" applyNumberFormat="1" applyFill="1" applyBorder="1" applyAlignment="1" applyProtection="1">
      <alignment vertical="top"/>
    </xf>
    <xf numFmtId="9" fontId="0" fillId="14" borderId="10" xfId="0" applyNumberFormat="1" applyFill="1" applyBorder="1" applyAlignment="1" applyProtection="1">
      <alignment horizontal="right" vertical="top"/>
      <protection locked="0"/>
    </xf>
    <xf numFmtId="166" fontId="0" fillId="14" borderId="10" xfId="0" applyNumberFormat="1" applyFill="1" applyBorder="1" applyAlignment="1" applyProtection="1">
      <alignment horizontal="right" vertical="top"/>
      <protection locked="0"/>
    </xf>
    <xf numFmtId="0" fontId="2" fillId="4" borderId="15" xfId="0" applyFont="1" applyFill="1" applyBorder="1" applyAlignment="1" applyProtection="1">
      <alignment horizontal="right" vertical="top" wrapText="1"/>
    </xf>
    <xf numFmtId="0" fontId="2" fillId="4" borderId="22" xfId="0" applyFont="1" applyFill="1" applyBorder="1" applyAlignment="1" applyProtection="1">
      <alignment horizontal="right" vertical="top"/>
    </xf>
    <xf numFmtId="15" fontId="0" fillId="4" borderId="10" xfId="0" applyNumberFormat="1" applyFill="1" applyBorder="1" applyAlignment="1" applyProtection="1">
      <alignment vertical="top" wrapText="1"/>
    </xf>
    <xf numFmtId="15" fontId="0" fillId="4" borderId="13" xfId="0" applyNumberFormat="1" applyFill="1" applyBorder="1" applyAlignment="1" applyProtection="1">
      <alignment vertical="top" wrapText="1"/>
    </xf>
    <xf numFmtId="15" fontId="0" fillId="4" borderId="18" xfId="0" applyNumberFormat="1" applyFill="1" applyBorder="1" applyAlignment="1" applyProtection="1">
      <alignment vertical="top" wrapText="1"/>
    </xf>
    <xf numFmtId="15" fontId="2" fillId="5" borderId="13" xfId="0" applyNumberFormat="1" applyFont="1" applyFill="1" applyBorder="1" applyAlignment="1" applyProtection="1">
      <alignment vertical="top" wrapText="1"/>
      <protection locked="0"/>
    </xf>
    <xf numFmtId="0" fontId="18" fillId="4" borderId="0" xfId="0" applyFont="1" applyFill="1" applyBorder="1" applyAlignment="1" applyProtection="1">
      <alignment horizontal="right" vertical="top"/>
    </xf>
    <xf numFmtId="0" fontId="18" fillId="4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top"/>
    </xf>
    <xf numFmtId="0" fontId="36" fillId="19" borderId="0" xfId="0" applyFont="1" applyFill="1" applyBorder="1" applyAlignment="1" applyProtection="1">
      <alignment vertical="top"/>
    </xf>
    <xf numFmtId="0" fontId="36" fillId="19" borderId="0" xfId="0" applyFont="1" applyFill="1" applyBorder="1" applyAlignment="1" applyProtection="1">
      <alignment horizontal="right" vertical="center"/>
    </xf>
    <xf numFmtId="15" fontId="2" fillId="4" borderId="12" xfId="0" applyNumberFormat="1" applyFont="1" applyFill="1" applyBorder="1" applyAlignment="1" applyProtection="1">
      <alignment vertical="top" wrapText="1"/>
    </xf>
    <xf numFmtId="166" fontId="0" fillId="5" borderId="12" xfId="0" applyNumberFormat="1" applyFill="1" applyBorder="1" applyAlignment="1" applyProtection="1">
      <alignment horizontal="right" vertical="top"/>
      <protection locked="0"/>
    </xf>
    <xf numFmtId="166" fontId="0" fillId="14" borderId="12" xfId="0" applyNumberFormat="1" applyFill="1" applyBorder="1" applyAlignment="1" applyProtection="1">
      <alignment horizontal="right" vertical="top"/>
      <protection locked="0"/>
    </xf>
    <xf numFmtId="166" fontId="0" fillId="5" borderId="12" xfId="0" applyNumberFormat="1" applyFill="1" applyBorder="1" applyAlignment="1" applyProtection="1">
      <alignment horizontal="left" vertical="top"/>
      <protection locked="0"/>
    </xf>
    <xf numFmtId="0" fontId="17" fillId="19" borderId="0" xfId="0" applyFont="1" applyFill="1" applyBorder="1" applyAlignment="1" applyProtection="1">
      <alignment vertical="top"/>
    </xf>
    <xf numFmtId="0" fontId="37" fillId="19" borderId="0" xfId="0" applyFont="1" applyFill="1" applyBorder="1" applyAlignment="1" applyProtection="1">
      <alignment vertical="top"/>
    </xf>
    <xf numFmtId="1" fontId="38" fillId="19" borderId="0" xfId="0" applyNumberFormat="1" applyFont="1" applyFill="1" applyBorder="1" applyAlignment="1" applyProtection="1">
      <alignment vertical="top"/>
    </xf>
    <xf numFmtId="0" fontId="0" fillId="2" borderId="0" xfId="0" applyFill="1" applyAlignment="1">
      <alignment horizontal="right"/>
    </xf>
    <xf numFmtId="0" fontId="0" fillId="11" borderId="0" xfId="0" applyFill="1"/>
    <xf numFmtId="0" fontId="2" fillId="11" borderId="0" xfId="0" applyFont="1" applyFill="1" applyBorder="1" applyAlignment="1">
      <alignment horizontal="right"/>
    </xf>
    <xf numFmtId="166" fontId="0" fillId="0" borderId="0" xfId="0" applyNumberFormat="1"/>
    <xf numFmtId="0" fontId="0" fillId="20" borderId="0" xfId="0" applyFill="1"/>
    <xf numFmtId="0" fontId="0" fillId="18" borderId="0" xfId="0" applyFill="1"/>
    <xf numFmtId="0" fontId="0" fillId="21" borderId="0" xfId="0" applyFill="1"/>
    <xf numFmtId="0" fontId="0" fillId="17" borderId="0" xfId="0" applyFill="1"/>
    <xf numFmtId="0" fontId="0" fillId="22" borderId="0" xfId="0" applyFill="1"/>
    <xf numFmtId="0" fontId="40" fillId="0" borderId="0" xfId="0" applyFont="1" applyAlignment="1">
      <alignment vertical="top" wrapText="1"/>
    </xf>
    <xf numFmtId="0" fontId="41" fillId="0" borderId="0" xfId="0" applyFont="1" applyAlignment="1">
      <alignment horizontal="right"/>
    </xf>
    <xf numFmtId="0" fontId="39" fillId="0" borderId="0" xfId="0" applyFont="1" applyAlignment="1">
      <alignment vertical="top"/>
    </xf>
    <xf numFmtId="1" fontId="0" fillId="6" borderId="4" xfId="0" applyNumberFormat="1" applyFill="1" applyBorder="1" applyAlignment="1" applyProtection="1">
      <alignment vertical="top"/>
      <protection locked="0"/>
    </xf>
    <xf numFmtId="0" fontId="17" fillId="8" borderId="0" xfId="0" applyFont="1" applyFill="1" applyAlignment="1" applyProtection="1">
      <alignment vertical="top"/>
    </xf>
    <xf numFmtId="0" fontId="0" fillId="4" borderId="0" xfId="0" applyFill="1" applyAlignment="1" applyProtection="1">
      <alignment horizontal="right" vertical="top" wrapText="1"/>
    </xf>
    <xf numFmtId="0" fontId="0" fillId="5" borderId="0" xfId="0" applyFill="1" applyAlignment="1" applyProtection="1">
      <alignment horizontal="right" vertical="top" wrapText="1"/>
      <protection locked="0"/>
    </xf>
    <xf numFmtId="0" fontId="43" fillId="4" borderId="0" xfId="0" applyFont="1" applyFill="1" applyAlignment="1" applyProtection="1">
      <alignment vertical="top"/>
    </xf>
    <xf numFmtId="0" fontId="42" fillId="4" borderId="0" xfId="0" applyFont="1" applyFill="1" applyAlignment="1" applyProtection="1">
      <alignment horizontal="right" vertical="top" wrapText="1"/>
    </xf>
    <xf numFmtId="165" fontId="45" fillId="14" borderId="0" xfId="1" applyNumberFormat="1" applyFont="1" applyFill="1" applyAlignment="1" applyProtection="1">
      <alignment horizontal="left" vertical="center"/>
    </xf>
    <xf numFmtId="1" fontId="0" fillId="6" borderId="4" xfId="2" applyNumberFormat="1" applyFont="1" applyFill="1" applyBorder="1" applyAlignment="1" applyProtection="1">
      <alignment vertical="top"/>
      <protection locked="0"/>
    </xf>
    <xf numFmtId="0" fontId="33" fillId="9" borderId="0" xfId="0" applyFont="1" applyFill="1" applyAlignment="1" applyProtection="1">
      <alignment horizontal="right" vertical="center"/>
    </xf>
    <xf numFmtId="0" fontId="33" fillId="9" borderId="0" xfId="0" applyFont="1" applyFill="1" applyAlignment="1" applyProtection="1">
      <alignment vertical="center"/>
    </xf>
    <xf numFmtId="0" fontId="0" fillId="23" borderId="0" xfId="0" applyFill="1" applyAlignment="1" applyProtection="1">
      <alignment vertical="top"/>
    </xf>
    <xf numFmtId="0" fontId="12" fillId="23" borderId="0" xfId="0" applyFont="1" applyFill="1" applyAlignment="1" applyProtection="1">
      <alignment vertical="top"/>
    </xf>
    <xf numFmtId="0" fontId="13" fillId="15" borderId="0" xfId="0" applyFont="1" applyFill="1" applyAlignment="1" applyProtection="1">
      <alignment vertical="center"/>
    </xf>
    <xf numFmtId="0" fontId="50" fillId="14" borderId="4" xfId="0" applyFont="1" applyFill="1" applyBorder="1" applyAlignment="1" applyProtection="1">
      <alignment horizontal="right" vertical="center"/>
    </xf>
    <xf numFmtId="9" fontId="0" fillId="5" borderId="0" xfId="2" applyFont="1" applyFill="1" applyAlignment="1" applyProtection="1">
      <alignment vertical="center"/>
      <protection locked="0"/>
    </xf>
    <xf numFmtId="9" fontId="0" fillId="5" borderId="16" xfId="2" applyFont="1" applyFill="1" applyBorder="1" applyAlignment="1" applyProtection="1">
      <alignment vertical="center"/>
      <protection locked="0"/>
    </xf>
    <xf numFmtId="0" fontId="33" fillId="9" borderId="0" xfId="3" applyFont="1" applyFill="1" applyAlignment="1" applyProtection="1">
      <alignment horizontal="right" vertical="top"/>
    </xf>
    <xf numFmtId="0" fontId="33" fillId="9" borderId="0" xfId="0" applyFont="1" applyFill="1" applyAlignment="1" applyProtection="1">
      <alignment horizontal="left" vertical="top" indent="1"/>
    </xf>
    <xf numFmtId="0" fontId="0" fillId="5" borderId="0" xfId="0" applyFill="1" applyProtection="1">
      <protection locked="0"/>
    </xf>
    <xf numFmtId="0" fontId="0" fillId="5" borderId="0" xfId="0" applyFont="1" applyFill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Border="1" applyAlignment="1">
      <alignment horizontal="right"/>
    </xf>
    <xf numFmtId="0" fontId="0" fillId="4" borderId="0" xfId="0" applyFont="1" applyFill="1" applyBorder="1" applyAlignment="1">
      <alignment horizontal="right"/>
    </xf>
    <xf numFmtId="0" fontId="21" fillId="4" borderId="0" xfId="0" applyFont="1" applyFill="1" applyAlignment="1" applyProtection="1">
      <alignment horizontal="left" vertical="top"/>
    </xf>
    <xf numFmtId="0" fontId="42" fillId="4" borderId="0" xfId="0" applyFont="1" applyFill="1" applyAlignment="1" applyProtection="1">
      <alignment horizontal="right" vertical="top"/>
    </xf>
    <xf numFmtId="0" fontId="42" fillId="4" borderId="0" xfId="0" applyFont="1" applyFill="1" applyAlignment="1" applyProtection="1">
      <alignment horizontal="left" vertical="top"/>
    </xf>
    <xf numFmtId="9" fontId="0" fillId="2" borderId="14" xfId="2" applyFont="1" applyFill="1" applyBorder="1" applyAlignment="1" applyProtection="1">
      <alignment horizontal="left"/>
    </xf>
    <xf numFmtId="9" fontId="0" fillId="5" borderId="0" xfId="0" applyNumberFormat="1" applyFill="1" applyBorder="1" applyProtection="1">
      <protection locked="0"/>
    </xf>
    <xf numFmtId="0" fontId="51" fillId="4" borderId="0" xfId="0" applyFont="1" applyFill="1" applyBorder="1" applyAlignment="1">
      <alignment horizontal="right"/>
    </xf>
    <xf numFmtId="0" fontId="0" fillId="9" borderId="1" xfId="0" applyFill="1" applyBorder="1" applyAlignment="1" applyProtection="1">
      <alignment vertical="top"/>
    </xf>
    <xf numFmtId="164" fontId="8" fillId="2" borderId="0" xfId="1" applyFont="1" applyFill="1" applyAlignment="1" applyProtection="1">
      <alignment vertical="center"/>
    </xf>
    <xf numFmtId="164" fontId="0" fillId="6" borderId="4" xfId="1" applyFont="1" applyFill="1" applyBorder="1" applyAlignment="1" applyProtection="1">
      <alignment vertical="top"/>
      <protection locked="0"/>
    </xf>
    <xf numFmtId="164" fontId="0" fillId="12" borderId="4" xfId="1" applyFont="1" applyFill="1" applyBorder="1" applyAlignment="1" applyProtection="1">
      <alignment vertical="top"/>
    </xf>
    <xf numFmtId="2" fontId="0" fillId="2" borderId="4" xfId="0" applyNumberFormat="1" applyFill="1" applyBorder="1" applyAlignment="1" applyProtection="1">
      <alignment vertical="top"/>
    </xf>
    <xf numFmtId="0" fontId="54" fillId="0" borderId="0" xfId="0" applyFont="1" applyAlignment="1">
      <alignment vertical="top"/>
    </xf>
    <xf numFmtId="0" fontId="0" fillId="0" borderId="0" xfId="0" applyAlignment="1">
      <alignment vertical="top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vertical="center" wrapText="1"/>
    </xf>
    <xf numFmtId="1" fontId="55" fillId="2" borderId="0" xfId="0" applyNumberFormat="1" applyFont="1" applyFill="1" applyAlignment="1" applyProtection="1">
      <alignment vertical="center"/>
    </xf>
    <xf numFmtId="0" fontId="55" fillId="2" borderId="0" xfId="0" applyFont="1" applyFill="1" applyAlignment="1" applyProtection="1">
      <alignment horizontal="left"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49" fillId="14" borderId="4" xfId="0" applyFont="1" applyFill="1" applyBorder="1" applyAlignment="1" applyProtection="1">
      <alignment vertical="center"/>
      <protection locked="0"/>
    </xf>
    <xf numFmtId="0" fontId="49" fillId="14" borderId="15" xfId="0" applyFont="1" applyFill="1" applyBorder="1" applyAlignment="1" applyProtection="1">
      <alignment vertical="center"/>
    </xf>
    <xf numFmtId="165" fontId="56" fillId="4" borderId="0" xfId="1" applyNumberFormat="1" applyFont="1" applyFill="1" applyBorder="1" applyAlignment="1" applyProtection="1">
      <alignment vertical="center"/>
    </xf>
    <xf numFmtId="0" fontId="2" fillId="3" borderId="0" xfId="0" applyFont="1" applyFill="1" applyBorder="1" applyAlignment="1" applyProtection="1">
      <alignment horizontal="center" vertical="top"/>
    </xf>
    <xf numFmtId="0" fontId="2" fillId="8" borderId="0" xfId="0" applyFont="1" applyFill="1" applyBorder="1" applyAlignment="1" applyProtection="1">
      <alignment horizontal="center" vertical="top"/>
    </xf>
    <xf numFmtId="0" fontId="2" fillId="8" borderId="19" xfId="0" applyFont="1" applyFill="1" applyBorder="1" applyAlignment="1" applyProtection="1">
      <alignment horizontal="center" vertical="top"/>
    </xf>
    <xf numFmtId="0" fontId="0" fillId="13" borderId="0" xfId="0" applyFill="1" applyAlignment="1" applyProtection="1">
      <alignment vertical="center"/>
    </xf>
    <xf numFmtId="0" fontId="44" fillId="4" borderId="0" xfId="0" applyFont="1" applyFill="1" applyAlignment="1" applyProtection="1">
      <alignment wrapText="1"/>
    </xf>
    <xf numFmtId="0" fontId="0" fillId="5" borderId="0" xfId="0" applyFill="1" applyAlignment="1" applyProtection="1">
      <alignment vertical="top"/>
      <protection locked="0"/>
    </xf>
    <xf numFmtId="0" fontId="0" fillId="5" borderId="0" xfId="0" applyFill="1" applyBorder="1" applyProtection="1">
      <protection locked="0"/>
    </xf>
    <xf numFmtId="0" fontId="0" fillId="5" borderId="0" xfId="0" applyFill="1" applyBorder="1" applyAlignment="1" applyProtection="1">
      <alignment vertical="top"/>
      <protection locked="0"/>
    </xf>
    <xf numFmtId="0" fontId="2" fillId="3" borderId="0" xfId="0" applyFont="1" applyFill="1" applyAlignment="1" applyProtection="1">
      <alignment vertical="top" wrapText="1"/>
      <protection locked="0"/>
    </xf>
    <xf numFmtId="0" fontId="2" fillId="8" borderId="0" xfId="0" applyFont="1" applyFill="1" applyBorder="1" applyAlignment="1" applyProtection="1">
      <alignment horizontal="center" vertical="top" wrapText="1"/>
    </xf>
    <xf numFmtId="0" fontId="2" fillId="3" borderId="0" xfId="0" applyFont="1" applyFill="1" applyBorder="1" applyAlignment="1" applyProtection="1">
      <alignment horizontal="center" vertical="top" wrapText="1"/>
    </xf>
    <xf numFmtId="0" fontId="50" fillId="14" borderId="9" xfId="0" applyFont="1" applyFill="1" applyBorder="1" applyAlignment="1" applyProtection="1">
      <alignment horizontal="right" vertical="center"/>
    </xf>
    <xf numFmtId="0" fontId="49" fillId="14" borderId="9" xfId="0" applyFont="1" applyFill="1" applyBorder="1" applyAlignment="1" applyProtection="1">
      <alignment vertical="center"/>
      <protection locked="0"/>
    </xf>
    <xf numFmtId="9" fontId="47" fillId="14" borderId="18" xfId="0" applyNumberFormat="1" applyFont="1" applyFill="1" applyBorder="1" applyAlignment="1" applyProtection="1">
      <alignment horizontal="center" vertical="center"/>
      <protection locked="0"/>
    </xf>
    <xf numFmtId="0" fontId="13" fillId="15" borderId="0" xfId="0" applyFont="1" applyFill="1" applyBorder="1" applyAlignment="1" applyProtection="1">
      <alignment vertical="center"/>
    </xf>
    <xf numFmtId="0" fontId="48" fillId="14" borderId="0" xfId="0" applyFont="1" applyFill="1" applyBorder="1" applyAlignment="1" applyProtection="1">
      <alignment horizontal="right" vertical="center"/>
    </xf>
    <xf numFmtId="0" fontId="0" fillId="14" borderId="4" xfId="0" applyFill="1" applyBorder="1" applyAlignment="1" applyProtection="1">
      <alignment vertical="top"/>
    </xf>
    <xf numFmtId="0" fontId="25" fillId="14" borderId="4" xfId="0" applyFont="1" applyFill="1" applyBorder="1" applyAlignment="1" applyProtection="1">
      <alignment vertical="center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15" fillId="4" borderId="0" xfId="0" applyFont="1" applyFill="1" applyBorder="1" applyAlignment="1" applyProtection="1">
      <alignment horizontal="center" vertical="top"/>
    </xf>
    <xf numFmtId="0" fontId="2" fillId="24" borderId="0" xfId="0" applyFont="1" applyFill="1" applyAlignment="1" applyProtection="1">
      <alignment vertical="top" wrapText="1"/>
    </xf>
    <xf numFmtId="0" fontId="0" fillId="24" borderId="0" xfId="0" applyFill="1" applyAlignment="1" applyProtection="1">
      <alignment vertical="top" wrapText="1"/>
    </xf>
    <xf numFmtId="165" fontId="2" fillId="24" borderId="0" xfId="1" applyNumberFormat="1" applyFont="1" applyFill="1" applyAlignment="1" applyProtection="1">
      <alignment vertical="top"/>
    </xf>
    <xf numFmtId="0" fontId="2" fillId="24" borderId="0" xfId="0" applyFont="1" applyFill="1" applyAlignment="1" applyProtection="1">
      <alignment horizontal="right" vertical="top"/>
    </xf>
    <xf numFmtId="0" fontId="2" fillId="24" borderId="0" xfId="0" applyFont="1" applyFill="1" applyAlignment="1" applyProtection="1">
      <alignment horizontal="right" vertical="top" wrapText="1"/>
    </xf>
    <xf numFmtId="0" fontId="60" fillId="9" borderId="0" xfId="3" applyFont="1" applyFill="1" applyAlignment="1" applyProtection="1">
      <alignment horizontal="center" vertical="top"/>
    </xf>
    <xf numFmtId="0" fontId="61" fillId="0" borderId="0" xfId="0" applyFont="1" applyAlignment="1">
      <alignment horizontal="right" vertical="top"/>
    </xf>
    <xf numFmtId="0" fontId="32" fillId="14" borderId="0" xfId="0" applyFont="1" applyFill="1" applyAlignment="1" applyProtection="1">
      <alignment horizontal="right" vertical="center"/>
    </xf>
    <xf numFmtId="0" fontId="25" fillId="14" borderId="0" xfId="0" applyFont="1" applyFill="1" applyAlignment="1" applyProtection="1">
      <alignment horizontal="right" vertical="center"/>
    </xf>
    <xf numFmtId="0" fontId="62" fillId="25" borderId="0" xfId="0" applyFont="1" applyFill="1" applyAlignment="1" applyProtection="1">
      <alignment vertical="center"/>
      <protection locked="0"/>
    </xf>
    <xf numFmtId="0" fontId="21" fillId="25" borderId="0" xfId="0" applyFont="1" applyFill="1" applyAlignment="1" applyProtection="1">
      <alignment vertical="top"/>
      <protection locked="0"/>
    </xf>
    <xf numFmtId="0" fontId="0" fillId="25" borderId="0" xfId="0" applyFill="1" applyAlignment="1" applyProtection="1">
      <alignment vertical="top"/>
      <protection locked="0"/>
    </xf>
    <xf numFmtId="0" fontId="5" fillId="10" borderId="16" xfId="0" applyFont="1" applyFill="1" applyBorder="1" applyAlignment="1" applyProtection="1">
      <alignment vertical="center" wrapText="1"/>
      <protection locked="0"/>
    </xf>
    <xf numFmtId="0" fontId="0" fillId="0" borderId="0" xfId="0" applyAlignment="1">
      <alignment horizontal="right" vertical="top"/>
    </xf>
    <xf numFmtId="0" fontId="66" fillId="0" borderId="0" xfId="0" applyFont="1" applyAlignment="1">
      <alignment horizontal="right" vertical="center"/>
    </xf>
    <xf numFmtId="0" fontId="2" fillId="14" borderId="0" xfId="0" applyFont="1" applyFill="1" applyAlignment="1" applyProtection="1">
      <alignment horizontal="right" vertical="top"/>
    </xf>
    <xf numFmtId="0" fontId="0" fillId="8" borderId="0" xfId="0" applyFill="1" applyAlignment="1" applyProtection="1">
      <alignment horizontal="right" vertical="center"/>
    </xf>
    <xf numFmtId="0" fontId="2" fillId="0" borderId="0" xfId="0" applyFont="1" applyAlignment="1">
      <alignment horizontal="right"/>
    </xf>
    <xf numFmtId="9" fontId="14" fillId="8" borderId="17" xfId="0" applyNumberFormat="1" applyFont="1" applyFill="1" applyBorder="1" applyAlignment="1" applyProtection="1">
      <alignment vertical="top"/>
    </xf>
    <xf numFmtId="0" fontId="0" fillId="4" borderId="0" xfId="0" applyFill="1" applyBorder="1" applyAlignment="1" applyProtection="1">
      <alignment vertical="top"/>
      <protection locked="0"/>
    </xf>
    <xf numFmtId="166" fontId="0" fillId="5" borderId="10" xfId="2" applyNumberFormat="1" applyFont="1" applyFill="1" applyBorder="1" applyAlignment="1" applyProtection="1">
      <alignment horizontal="right" vertical="top"/>
      <protection locked="0"/>
    </xf>
    <xf numFmtId="166" fontId="0" fillId="14" borderId="10" xfId="2" applyNumberFormat="1" applyFont="1" applyFill="1" applyBorder="1" applyAlignment="1" applyProtection="1">
      <alignment horizontal="right" vertical="top"/>
      <protection locked="0"/>
    </xf>
    <xf numFmtId="166" fontId="0" fillId="5" borderId="12" xfId="2" applyNumberFormat="1" applyFont="1" applyFill="1" applyBorder="1" applyAlignment="1" applyProtection="1">
      <alignment horizontal="right" vertical="top"/>
      <protection locked="0"/>
    </xf>
    <xf numFmtId="0" fontId="69" fillId="0" borderId="0" xfId="0" applyFont="1"/>
    <xf numFmtId="0" fontId="70" fillId="0" borderId="0" xfId="0" applyFont="1"/>
    <xf numFmtId="0" fontId="71" fillId="0" borderId="0" xfId="0" applyFont="1"/>
    <xf numFmtId="0" fontId="72" fillId="0" borderId="0" xfId="0" applyFont="1"/>
    <xf numFmtId="0" fontId="74" fillId="0" borderId="0" xfId="0" applyFont="1"/>
    <xf numFmtId="0" fontId="43" fillId="0" borderId="0" xfId="0" applyFont="1"/>
    <xf numFmtId="0" fontId="0" fillId="0" borderId="0" xfId="0" applyFont="1"/>
    <xf numFmtId="0" fontId="75" fillId="0" borderId="0" xfId="0" applyFont="1"/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67" fillId="0" borderId="0" xfId="0" applyFont="1" applyAlignment="1">
      <alignment horizontal="center" vertical="top"/>
    </xf>
    <xf numFmtId="0" fontId="27" fillId="0" borderId="0" xfId="0" applyFont="1" applyAlignment="1">
      <alignment vertical="top"/>
    </xf>
    <xf numFmtId="0" fontId="20" fillId="0" borderId="0" xfId="3" applyAlignment="1">
      <alignment vertical="top"/>
    </xf>
    <xf numFmtId="0" fontId="68" fillId="0" borderId="0" xfId="0" applyFont="1" applyAlignment="1">
      <alignment vertical="top"/>
    </xf>
    <xf numFmtId="0" fontId="76" fillId="2" borderId="0" xfId="0" applyFont="1" applyFill="1" applyAlignment="1" applyProtection="1">
      <alignment vertical="center" wrapText="1"/>
      <protection locked="0"/>
    </xf>
    <xf numFmtId="0" fontId="0" fillId="4" borderId="0" xfId="0" applyFont="1" applyFill="1" applyAlignment="1" applyProtection="1">
      <alignment vertical="top"/>
    </xf>
    <xf numFmtId="0" fontId="2" fillId="4" borderId="0" xfId="0" applyFont="1" applyFill="1" applyAlignment="1" applyProtection="1">
      <alignment horizontal="right" vertical="top"/>
    </xf>
    <xf numFmtId="0" fontId="8" fillId="13" borderId="0" xfId="0" applyFont="1" applyFill="1" applyAlignment="1" applyProtection="1">
      <alignment vertical="center" wrapText="1"/>
    </xf>
    <xf numFmtId="0" fontId="33" fillId="9" borderId="0" xfId="0" applyFont="1" applyFill="1" applyAlignment="1" applyProtection="1">
      <alignment vertical="top"/>
    </xf>
    <xf numFmtId="0" fontId="25" fillId="14" borderId="15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/>
    </xf>
    <xf numFmtId="0" fontId="25" fillId="14" borderId="14" xfId="0" applyFont="1" applyFill="1" applyBorder="1" applyAlignment="1" applyProtection="1">
      <alignment vertical="center"/>
    </xf>
    <xf numFmtId="0" fontId="0" fillId="14" borderId="0" xfId="0" applyFill="1" applyBorder="1" applyAlignment="1" applyProtection="1">
      <alignment vertical="top" wrapText="1"/>
    </xf>
    <xf numFmtId="0" fontId="10" fillId="14" borderId="0" xfId="0" applyFont="1" applyFill="1" applyBorder="1" applyAlignment="1" applyProtection="1">
      <alignment horizontal="right"/>
    </xf>
    <xf numFmtId="0" fontId="2" fillId="8" borderId="2" xfId="0" applyFont="1" applyFill="1" applyBorder="1" applyAlignment="1" applyProtection="1">
      <alignment vertical="top"/>
    </xf>
    <xf numFmtId="0" fontId="33" fillId="9" borderId="0" xfId="0" applyFont="1" applyFill="1" applyAlignment="1" applyProtection="1">
      <alignment horizontal="right" vertical="top"/>
    </xf>
    <xf numFmtId="9" fontId="14" fillId="8" borderId="1" xfId="0" applyNumberFormat="1" applyFont="1" applyFill="1" applyBorder="1" applyAlignment="1" applyProtection="1">
      <alignment horizontal="center" vertical="center"/>
    </xf>
    <xf numFmtId="0" fontId="59" fillId="4" borderId="0" xfId="3" applyFont="1" applyFill="1" applyAlignment="1" applyProtection="1">
      <alignment horizontal="left" vertical="center"/>
    </xf>
    <xf numFmtId="0" fontId="25" fillId="14" borderId="9" xfId="0" applyFont="1" applyFill="1" applyBorder="1" applyAlignment="1" applyProtection="1">
      <alignment vertical="center"/>
    </xf>
    <xf numFmtId="0" fontId="64" fillId="4" borderId="0" xfId="0" applyFont="1" applyFill="1" applyBorder="1" applyAlignment="1" applyProtection="1">
      <alignment vertical="top"/>
    </xf>
    <xf numFmtId="166" fontId="0" fillId="5" borderId="22" xfId="0" applyNumberFormat="1" applyFill="1" applyBorder="1" applyAlignment="1" applyProtection="1">
      <alignment horizontal="left" vertical="top"/>
      <protection locked="0"/>
    </xf>
    <xf numFmtId="0" fontId="0" fillId="4" borderId="16" xfId="0" applyFill="1" applyBorder="1" applyAlignment="1" applyProtection="1">
      <alignment vertical="top"/>
      <protection locked="0"/>
    </xf>
    <xf numFmtId="0" fontId="0" fillId="19" borderId="0" xfId="0" applyFill="1" applyAlignment="1" applyProtection="1">
      <alignment vertical="top"/>
    </xf>
    <xf numFmtId="9" fontId="0" fillId="5" borderId="10" xfId="0" applyNumberFormat="1" applyFill="1" applyBorder="1" applyAlignment="1" applyProtection="1">
      <alignment vertical="top"/>
      <protection locked="0"/>
    </xf>
    <xf numFmtId="9" fontId="0" fillId="5" borderId="13" xfId="0" applyNumberFormat="1" applyFill="1" applyBorder="1" applyAlignment="1" applyProtection="1">
      <alignment vertical="top"/>
      <protection locked="0"/>
    </xf>
    <xf numFmtId="165" fontId="5" fillId="19" borderId="9" xfId="1" applyNumberFormat="1" applyFont="1" applyFill="1" applyBorder="1" applyAlignment="1" applyProtection="1">
      <alignment vertical="top"/>
    </xf>
    <xf numFmtId="1" fontId="5" fillId="19" borderId="9" xfId="0" applyNumberFormat="1" applyFont="1" applyFill="1" applyBorder="1" applyAlignment="1" applyProtection="1">
      <alignment vertical="top"/>
    </xf>
    <xf numFmtId="0" fontId="43" fillId="4" borderId="0" xfId="0" applyFont="1" applyFill="1" applyAlignment="1" applyProtection="1">
      <alignment horizontal="right" vertical="top"/>
    </xf>
    <xf numFmtId="0" fontId="11" fillId="14" borderId="0" xfId="0" applyFont="1" applyFill="1" applyBorder="1" applyAlignment="1" applyProtection="1">
      <alignment horizontal="right" vertical="center"/>
    </xf>
    <xf numFmtId="0" fontId="79" fillId="14" borderId="4" xfId="0" applyFont="1" applyFill="1" applyBorder="1" applyAlignment="1" applyProtection="1">
      <alignment horizontal="right" vertical="center"/>
    </xf>
    <xf numFmtId="0" fontId="78" fillId="14" borderId="0" xfId="0" applyFont="1" applyFill="1" applyAlignment="1" applyProtection="1">
      <alignment vertical="center"/>
    </xf>
    <xf numFmtId="0" fontId="2" fillId="26" borderId="0" xfId="0" applyFont="1" applyFill="1" applyAlignment="1" applyProtection="1">
      <alignment vertical="top"/>
    </xf>
    <xf numFmtId="0" fontId="2" fillId="26" borderId="0" xfId="0" applyFont="1" applyFill="1" applyAlignment="1" applyProtection="1">
      <alignment vertical="top" wrapText="1"/>
    </xf>
    <xf numFmtId="9" fontId="0" fillId="5" borderId="10" xfId="2" applyFont="1" applyFill="1" applyBorder="1" applyAlignment="1" applyProtection="1">
      <alignment horizontal="right" vertical="top"/>
      <protection locked="0"/>
    </xf>
    <xf numFmtId="9" fontId="0" fillId="14" borderId="10" xfId="2" applyFont="1" applyFill="1" applyBorder="1" applyAlignment="1" applyProtection="1">
      <alignment horizontal="right" vertical="top"/>
      <protection locked="0"/>
    </xf>
    <xf numFmtId="0" fontId="0" fillId="4" borderId="0" xfId="0" applyFill="1" applyAlignment="1" applyProtection="1">
      <alignment horizontal="right" vertical="top"/>
      <protection locked="0"/>
    </xf>
    <xf numFmtId="9" fontId="42" fillId="5" borderId="0" xfId="0" applyNumberFormat="1" applyFont="1" applyFill="1" applyAlignment="1" applyProtection="1">
      <alignment horizontal="right" vertical="top"/>
      <protection locked="0"/>
    </xf>
    <xf numFmtId="9" fontId="0" fillId="5" borderId="0" xfId="0" applyNumberFormat="1" applyFill="1" applyAlignment="1" applyProtection="1">
      <alignment vertical="top"/>
      <protection locked="0"/>
    </xf>
    <xf numFmtId="9" fontId="0" fillId="6" borderId="4" xfId="0" applyNumberFormat="1" applyFill="1" applyBorder="1" applyAlignment="1" applyProtection="1">
      <alignment vertical="top" wrapText="1"/>
      <protection locked="0"/>
    </xf>
    <xf numFmtId="0" fontId="0" fillId="6" borderId="0" xfId="0" applyFill="1" applyAlignment="1" applyProtection="1">
      <alignment horizontal="left" vertical="top"/>
    </xf>
    <xf numFmtId="0" fontId="0" fillId="23" borderId="0" xfId="0" applyFill="1" applyAlignment="1" applyProtection="1">
      <alignment horizontal="left" vertical="top"/>
    </xf>
    <xf numFmtId="0" fontId="16" fillId="14" borderId="0" xfId="0" applyFont="1" applyFill="1" applyAlignment="1" applyProtection="1">
      <alignment horizontal="left"/>
    </xf>
    <xf numFmtId="0" fontId="0" fillId="14" borderId="0" xfId="0" applyFill="1" applyAlignment="1" applyProtection="1">
      <alignment horizontal="left" vertical="top"/>
    </xf>
    <xf numFmtId="0" fontId="46" fillId="14" borderId="0" xfId="0" applyFont="1" applyFill="1" applyAlignment="1" applyProtection="1">
      <alignment horizontal="left" vertical="center"/>
    </xf>
    <xf numFmtId="0" fontId="3" fillId="6" borderId="0" xfId="0" applyFont="1" applyFill="1" applyAlignment="1" applyProtection="1">
      <alignment horizontal="left" vertical="top"/>
    </xf>
    <xf numFmtId="0" fontId="0" fillId="9" borderId="0" xfId="0" applyFill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top"/>
    </xf>
    <xf numFmtId="0" fontId="2" fillId="3" borderId="0" xfId="0" applyFont="1" applyFill="1" applyAlignment="1" applyProtection="1">
      <alignment horizontal="left" vertical="top" wrapText="1"/>
    </xf>
    <xf numFmtId="0" fontId="6" fillId="10" borderId="0" xfId="0" applyFont="1" applyFill="1" applyBorder="1" applyAlignment="1" applyProtection="1">
      <alignment horizontal="left" vertical="center"/>
      <protection locked="0"/>
    </xf>
    <xf numFmtId="0" fontId="0" fillId="4" borderId="0" xfId="0" applyFill="1" applyAlignment="1" applyProtection="1">
      <alignment horizontal="left" vertical="top"/>
    </xf>
    <xf numFmtId="0" fontId="0" fillId="6" borderId="4" xfId="0" applyFill="1" applyBorder="1" applyAlignment="1" applyProtection="1">
      <alignment horizontal="left" vertical="top"/>
    </xf>
    <xf numFmtId="0" fontId="0" fillId="6" borderId="0" xfId="0" applyFill="1" applyBorder="1" applyAlignment="1" applyProtection="1">
      <alignment horizontal="left" vertical="top"/>
    </xf>
    <xf numFmtId="0" fontId="0" fillId="10" borderId="0" xfId="0" applyFill="1" applyBorder="1" applyAlignment="1" applyProtection="1">
      <alignment horizontal="left" vertical="top"/>
    </xf>
    <xf numFmtId="0" fontId="17" fillId="8" borderId="0" xfId="0" applyFont="1" applyFill="1" applyAlignment="1" applyProtection="1">
      <alignment horizontal="left" vertical="center"/>
    </xf>
    <xf numFmtId="0" fontId="2" fillId="24" borderId="0" xfId="0" applyFont="1" applyFill="1" applyAlignment="1" applyProtection="1">
      <alignment horizontal="left" vertical="top"/>
    </xf>
    <xf numFmtId="0" fontId="2" fillId="26" borderId="0" xfId="0" applyFont="1" applyFill="1" applyAlignment="1" applyProtection="1">
      <alignment horizontal="left" vertical="top"/>
    </xf>
    <xf numFmtId="0" fontId="0" fillId="24" borderId="0" xfId="0" applyFill="1" applyAlignment="1" applyProtection="1">
      <alignment horizontal="left" vertical="top"/>
    </xf>
    <xf numFmtId="0" fontId="0" fillId="6" borderId="0" xfId="0" applyFill="1" applyAlignment="1" applyProtection="1">
      <alignment horizontal="left" vertical="top"/>
      <protection locked="0"/>
    </xf>
    <xf numFmtId="0" fontId="0" fillId="4" borderId="0" xfId="0" applyFill="1" applyAlignment="1" applyProtection="1">
      <alignment horizontal="left" vertical="top"/>
      <protection locked="0"/>
    </xf>
    <xf numFmtId="0" fontId="2" fillId="4" borderId="12" xfId="0" applyFont="1" applyFill="1" applyBorder="1" applyAlignment="1" applyProtection="1">
      <alignment horizontal="center" vertical="top"/>
      <protection locked="0"/>
    </xf>
    <xf numFmtId="0" fontId="2" fillId="4" borderId="12" xfId="0" applyFont="1" applyFill="1" applyBorder="1" applyAlignment="1" applyProtection="1">
      <alignment vertical="top"/>
      <protection locked="0"/>
    </xf>
    <xf numFmtId="0" fontId="50" fillId="14" borderId="0" xfId="0" applyFont="1" applyFill="1" applyAlignment="1" applyProtection="1">
      <alignment horizontal="left" vertical="center"/>
    </xf>
    <xf numFmtId="2" fontId="8" fillId="13" borderId="0" xfId="0" applyNumberFormat="1" applyFont="1" applyFill="1" applyAlignment="1" applyProtection="1">
      <alignment horizontal="right" vertical="center"/>
      <protection locked="0"/>
    </xf>
    <xf numFmtId="0" fontId="7" fillId="13" borderId="0" xfId="0" applyFont="1" applyFill="1" applyAlignment="1" applyProtection="1">
      <alignment horizontal="left" vertical="center"/>
      <protection locked="0"/>
    </xf>
    <xf numFmtId="165" fontId="7" fillId="13" borderId="0" xfId="1" applyNumberFormat="1" applyFont="1" applyFill="1" applyAlignment="1" applyProtection="1">
      <alignment horizontal="left" vertical="center" indent="1"/>
    </xf>
    <xf numFmtId="0" fontId="8" fillId="2" borderId="0" xfId="0" applyFont="1" applyFill="1" applyAlignment="1" applyProtection="1">
      <alignment horizontal="left" vertical="center"/>
      <protection locked="0"/>
    </xf>
    <xf numFmtId="165" fontId="6" fillId="10" borderId="0" xfId="1" applyNumberFormat="1" applyFont="1" applyFill="1" applyBorder="1" applyAlignment="1" applyProtection="1">
      <alignment horizontal="right" vertical="center"/>
    </xf>
    <xf numFmtId="0" fontId="63" fillId="4" borderId="0" xfId="0" applyFont="1" applyFill="1" applyAlignment="1" applyProtection="1">
      <alignment horizontal="right" vertical="top" wrapText="1"/>
      <protection locked="0"/>
    </xf>
    <xf numFmtId="0" fontId="2" fillId="8" borderId="5" xfId="0" applyFont="1" applyFill="1" applyBorder="1" applyAlignment="1" applyProtection="1">
      <alignment horizontal="center" vertical="top"/>
    </xf>
    <xf numFmtId="0" fontId="2" fillId="8" borderId="7" xfId="0" applyFont="1" applyFill="1" applyBorder="1" applyAlignment="1" applyProtection="1">
      <alignment horizontal="center" vertical="top"/>
    </xf>
    <xf numFmtId="0" fontId="2" fillId="8" borderId="6" xfId="0" applyFont="1" applyFill="1" applyBorder="1" applyAlignment="1" applyProtection="1">
      <alignment horizontal="center" vertical="top"/>
    </xf>
    <xf numFmtId="0" fontId="0" fillId="4" borderId="0" xfId="0" applyFill="1" applyAlignment="1" applyProtection="1">
      <alignment horizontal="left" vertical="top" wrapText="1"/>
    </xf>
    <xf numFmtId="0" fontId="35" fillId="4" borderId="16" xfId="0" applyFont="1" applyFill="1" applyBorder="1" applyAlignment="1" applyProtection="1">
      <alignment horizontal="center" vertical="center"/>
    </xf>
    <xf numFmtId="0" fontId="35" fillId="4" borderId="0" xfId="0" applyFont="1" applyFill="1" applyBorder="1" applyAlignment="1" applyProtection="1">
      <alignment horizontal="center" vertical="center"/>
    </xf>
    <xf numFmtId="0" fontId="35" fillId="4" borderId="8" xfId="0" applyFont="1" applyFill="1" applyBorder="1" applyAlignment="1" applyProtection="1">
      <alignment horizontal="center" vertical="center"/>
    </xf>
    <xf numFmtId="0" fontId="35" fillId="4" borderId="4" xfId="0" applyFont="1" applyFill="1" applyBorder="1" applyAlignment="1" applyProtection="1">
      <alignment horizontal="center" vertical="center"/>
    </xf>
    <xf numFmtId="165" fontId="0" fillId="4" borderId="11" xfId="1" applyNumberFormat="1" applyFont="1" applyFill="1" applyBorder="1" applyAlignment="1" applyProtection="1">
      <alignment horizontal="center" vertical="top"/>
    </xf>
    <xf numFmtId="165" fontId="0" fillId="4" borderId="13" xfId="1" applyNumberFormat="1" applyFont="1" applyFill="1" applyBorder="1" applyAlignment="1" applyProtection="1">
      <alignment horizontal="center" vertical="top"/>
    </xf>
    <xf numFmtId="165" fontId="0" fillId="4" borderId="8" xfId="1" applyNumberFormat="1" applyFont="1" applyFill="1" applyBorder="1" applyAlignment="1" applyProtection="1">
      <alignment horizontal="center" vertical="top"/>
    </xf>
    <xf numFmtId="165" fontId="0" fillId="4" borderId="15" xfId="1" applyNumberFormat="1" applyFont="1" applyFill="1" applyBorder="1" applyAlignment="1" applyProtection="1">
      <alignment horizontal="center" vertical="top"/>
    </xf>
    <xf numFmtId="165" fontId="5" fillId="19" borderId="9" xfId="1" applyNumberFormat="1" applyFont="1" applyFill="1" applyBorder="1" applyAlignment="1" applyProtection="1">
      <alignment horizontal="center" vertical="top"/>
    </xf>
    <xf numFmtId="0" fontId="19" fillId="19" borderId="9" xfId="0" applyFont="1" applyFill="1" applyBorder="1" applyAlignment="1" applyProtection="1">
      <alignment horizontal="center" vertical="top"/>
    </xf>
    <xf numFmtId="0" fontId="65" fillId="4" borderId="0" xfId="0" applyFont="1" applyFill="1" applyBorder="1" applyAlignment="1" applyProtection="1">
      <alignment horizontal="left" vertical="top" wrapText="1"/>
      <protection locked="0"/>
    </xf>
    <xf numFmtId="0" fontId="2" fillId="3" borderId="0" xfId="0" applyFont="1" applyFill="1" applyBorder="1" applyAlignment="1" applyProtection="1">
      <alignment horizontal="center" vertical="top"/>
    </xf>
    <xf numFmtId="0" fontId="2" fillId="3" borderId="2" xfId="0" applyFont="1" applyFill="1" applyBorder="1" applyAlignment="1" applyProtection="1">
      <alignment horizontal="center" vertical="top"/>
    </xf>
    <xf numFmtId="0" fontId="52" fillId="2" borderId="0" xfId="0" applyFont="1" applyFill="1" applyBorder="1" applyAlignment="1" applyProtection="1">
      <alignment horizontal="center" textRotation="90"/>
    </xf>
    <xf numFmtId="0" fontId="58" fillId="2" borderId="0" xfId="3" applyFont="1" applyFill="1" applyBorder="1" applyAlignment="1" applyProtection="1">
      <alignment horizontal="center"/>
    </xf>
    <xf numFmtId="0" fontId="2" fillId="9" borderId="7" xfId="0" applyFont="1" applyFill="1" applyBorder="1" applyAlignment="1" applyProtection="1">
      <alignment horizontal="center" vertical="top"/>
    </xf>
    <xf numFmtId="0" fontId="2" fillId="9" borderId="0" xfId="0" applyFont="1" applyFill="1" applyAlignment="1" applyProtection="1">
      <alignment horizontal="center" vertical="center"/>
    </xf>
    <xf numFmtId="0" fontId="57" fillId="4" borderId="0" xfId="3" applyFont="1" applyFill="1" applyBorder="1" applyAlignment="1" applyProtection="1">
      <alignment horizontal="center" vertical="top"/>
    </xf>
    <xf numFmtId="0" fontId="58" fillId="4" borderId="0" xfId="3" applyFont="1" applyFill="1" applyBorder="1" applyAlignment="1" applyProtection="1">
      <alignment horizontal="center" vertical="top"/>
    </xf>
    <xf numFmtId="0" fontId="2" fillId="14" borderId="0" xfId="0" applyFont="1" applyFill="1" applyAlignment="1" applyProtection="1">
      <alignment horizontal="center" vertical="center" wrapText="1"/>
    </xf>
    <xf numFmtId="15" fontId="0" fillId="14" borderId="0" xfId="0" applyNumberFormat="1" applyFill="1" applyAlignment="1" applyProtection="1">
      <alignment horizontal="left" vertical="top"/>
    </xf>
    <xf numFmtId="0" fontId="4" fillId="14" borderId="0" xfId="0" applyFont="1" applyFill="1" applyAlignment="1" applyProtection="1">
      <alignment horizontal="right" wrapText="1"/>
    </xf>
    <xf numFmtId="0" fontId="64" fillId="4" borderId="4" xfId="0" applyFont="1" applyFill="1" applyBorder="1" applyAlignment="1" applyProtection="1">
      <alignment horizontal="center" vertical="top"/>
      <protection locked="0"/>
    </xf>
    <xf numFmtId="0" fontId="64" fillId="4" borderId="4" xfId="0" applyFont="1" applyFill="1" applyBorder="1" applyAlignment="1" applyProtection="1">
      <alignment horizontal="center" vertical="top"/>
    </xf>
    <xf numFmtId="0" fontId="0" fillId="4" borderId="0" xfId="0" applyFont="1" applyFill="1" applyAlignment="1" applyProtection="1">
      <alignment horizontal="right" vertical="top" wrapText="1"/>
    </xf>
    <xf numFmtId="0" fontId="44" fillId="4" borderId="0" xfId="0" applyFont="1" applyFill="1" applyAlignment="1" applyProtection="1">
      <alignment horizontal="left" vertical="top" wrapText="1"/>
    </xf>
    <xf numFmtId="165" fontId="6" fillId="10" borderId="0" xfId="1" applyNumberFormat="1" applyFont="1" applyFill="1" applyBorder="1" applyAlignment="1" applyProtection="1">
      <alignment horizontal="center" vertical="center"/>
    </xf>
    <xf numFmtId="165" fontId="53" fillId="9" borderId="0" xfId="1" applyNumberFormat="1" applyFont="1" applyFill="1" applyAlignment="1" applyProtection="1">
      <alignment horizontal="right" vertical="top"/>
    </xf>
    <xf numFmtId="15" fontId="38" fillId="19" borderId="0" xfId="0" applyNumberFormat="1" applyFont="1" applyFill="1" applyBorder="1" applyAlignment="1" applyProtection="1">
      <alignment horizontal="left" vertical="center" wrapText="1"/>
    </xf>
    <xf numFmtId="0" fontId="2" fillId="2" borderId="1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15" fontId="0" fillId="0" borderId="0" xfId="0" applyNumberFormat="1" applyFill="1" applyAlignment="1">
      <alignment horizontal="center"/>
    </xf>
    <xf numFmtId="15" fontId="0" fillId="5" borderId="0" xfId="0" applyNumberFormat="1" applyFill="1" applyAlignment="1">
      <alignment horizontal="left"/>
    </xf>
    <xf numFmtId="0" fontId="2" fillId="2" borderId="2" xfId="0" applyFont="1" applyFill="1" applyBorder="1" applyAlignment="1">
      <alignment horizontal="center"/>
    </xf>
    <xf numFmtId="0" fontId="67" fillId="0" borderId="0" xfId="0" applyFont="1" applyAlignment="1">
      <alignment horizontal="center" vertical="top"/>
    </xf>
    <xf numFmtId="0" fontId="66" fillId="0" borderId="0" xfId="0" applyFont="1" applyAlignment="1">
      <alignment horizontal="left" vertical="center"/>
    </xf>
    <xf numFmtId="0" fontId="2" fillId="0" borderId="0" xfId="0" applyFont="1" applyAlignment="1">
      <alignment horizontal="right" vertical="top" wrapText="1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057"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01"/>
      </font>
      <fill>
        <patternFill>
          <bgColor theme="7" tint="0.59996337778862885"/>
        </patternFill>
      </fill>
    </dxf>
    <dxf>
      <font>
        <strike/>
        <color rgb="FFC00000"/>
      </font>
    </dxf>
    <dxf>
      <font>
        <strike/>
        <color rgb="FFC00000"/>
      </font>
      <fill>
        <patternFill patternType="none"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/>
        <color rgb="FFC00000"/>
      </font>
    </dxf>
    <dxf>
      <font>
        <color rgb="FF0070C0"/>
      </font>
      <fill>
        <patternFill patternType="none">
          <bgColor auto="1"/>
        </patternFill>
      </fill>
    </dxf>
    <dxf>
      <font>
        <color rgb="FF0070C0"/>
      </font>
    </dxf>
    <dxf>
      <font>
        <strike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5F9FD"/>
      <color rgb="FFFF00FF"/>
      <color rgb="FFFFF6DD"/>
      <color rgb="FF9933FF"/>
      <color rgb="FFCC00CC"/>
      <color rgb="FFFF66FF"/>
      <color rgb="FFFBDBC9"/>
      <color rgb="FFF9F9F9"/>
      <color rgb="FFFF99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1224658064548566"/>
          <c:y val="0.26311006357607375"/>
          <c:w val="0.43439250997337919"/>
          <c:h val="0.45355678900473162"/>
        </c:manualLayout>
      </c:layout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Estimation!$L$219:$L$224</c:f>
            </c:multiLvlStrRef>
          </c:cat>
          <c:val>
            <c:numRef>
              <c:f>Estimation!$O$219:$O$224</c:f>
            </c:numRef>
          </c:val>
          <c:extLst>
            <c:ext xmlns:c16="http://schemas.microsoft.com/office/drawing/2014/chart" uri="{C3380CC4-5D6E-409C-BE32-E72D297353CC}">
              <c16:uniqueId val="{00000000-F667-4FB8-91F6-2E8BB13F40B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1309430</xdr:colOff>
      <xdr:row>1</xdr:row>
      <xdr:rowOff>27173</xdr:rowOff>
    </xdr:from>
    <xdr:to>
      <xdr:col>27</xdr:col>
      <xdr:colOff>2317748</xdr:colOff>
      <xdr:row>4</xdr:row>
      <xdr:rowOff>29652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9347" y="80090"/>
          <a:ext cx="1008318" cy="396160"/>
        </a:xfrm>
        <a:prstGeom prst="rect">
          <a:avLst/>
        </a:prstGeom>
        <a:ln>
          <a:noFill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24</xdr:col>
      <xdr:colOff>89647</xdr:colOff>
      <xdr:row>217</xdr:row>
      <xdr:rowOff>100852</xdr:rowOff>
    </xdr:from>
    <xdr:to>
      <xdr:col>26</xdr:col>
      <xdr:colOff>515471</xdr:colOff>
      <xdr:row>225</xdr:row>
      <xdr:rowOff>22411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212912</xdr:colOff>
      <xdr:row>4</xdr:row>
      <xdr:rowOff>82799</xdr:rowOff>
    </xdr:from>
    <xdr:to>
      <xdr:col>16</xdr:col>
      <xdr:colOff>235322</xdr:colOff>
      <xdr:row>5</xdr:row>
      <xdr:rowOff>146299</xdr:rowOff>
    </xdr:to>
    <xdr:sp macro="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065059" y="519828"/>
          <a:ext cx="829234" cy="321236"/>
        </a:xfrm>
        <a:prstGeom prst="rightArrow">
          <a:avLst>
            <a:gd name="adj1" fmla="val 63333"/>
            <a:gd name="adj2" fmla="val 50000"/>
          </a:avLst>
        </a:prstGeom>
        <a:gradFill flip="none" rotWithShape="1">
          <a:gsLst>
            <a:gs pos="0">
              <a:schemeClr val="accent4">
                <a:lumMod val="60000"/>
                <a:lumOff val="40000"/>
              </a:schemeClr>
            </a:gs>
            <a:gs pos="45000">
              <a:schemeClr val="accent4">
                <a:lumMod val="40000"/>
                <a:lumOff val="60000"/>
              </a:schemeClr>
            </a:gs>
            <a:gs pos="57000">
              <a:schemeClr val="accent4">
                <a:lumMod val="40000"/>
                <a:lumOff val="60000"/>
              </a:schemeClr>
            </a:gs>
            <a:gs pos="82000">
              <a:schemeClr val="accent4">
                <a:lumMod val="20000"/>
                <a:lumOff val="80000"/>
              </a:schemeClr>
            </a:gs>
          </a:gsLst>
          <a:lin ang="10800000" scaled="1"/>
          <a:tileRect/>
        </a:gradFill>
        <a:effectLst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50" b="0">
              <a:solidFill>
                <a:sysClr val="windowText" lastClr="000000"/>
              </a:solidFill>
            </a:rPr>
            <a:t>Sales'</a:t>
          </a:r>
          <a:r>
            <a:rPr lang="en-US" sz="1050" b="0" baseline="0">
              <a:solidFill>
                <a:sysClr val="windowText" lastClr="000000"/>
              </a:solidFill>
            </a:rPr>
            <a:t> Call</a:t>
          </a:r>
          <a:endParaRPr lang="en-US" sz="105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8</xdr:row>
          <xdr:rowOff>12700</xdr:rowOff>
        </xdr:from>
        <xdr:to>
          <xdr:col>13</xdr:col>
          <xdr:colOff>76200</xdr:colOff>
          <xdr:row>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Before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127000</xdr:colOff>
          <xdr:row>8</xdr:row>
          <xdr:rowOff>12700</xdr:rowOff>
        </xdr:from>
        <xdr:to>
          <xdr:col>13</xdr:col>
          <xdr:colOff>819150</xdr:colOff>
          <xdr:row>9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After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1600200</xdr:colOff>
          <xdr:row>8</xdr:row>
          <xdr:rowOff>12700</xdr:rowOff>
        </xdr:from>
        <xdr:to>
          <xdr:col>13</xdr:col>
          <xdr:colOff>2298700</xdr:colOff>
          <xdr:row>9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2336800</xdr:colOff>
          <xdr:row>8</xdr:row>
          <xdr:rowOff>12700</xdr:rowOff>
        </xdr:from>
        <xdr:to>
          <xdr:col>14</xdr:col>
          <xdr:colOff>190500</xdr:colOff>
          <xdr:row>9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8</xdr:row>
          <xdr:rowOff>12700</xdr:rowOff>
        </xdr:from>
        <xdr:to>
          <xdr:col>15</xdr:col>
          <xdr:colOff>12700</xdr:colOff>
          <xdr:row>9</xdr:row>
          <xdr:rowOff>69850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857250</xdr:colOff>
          <xdr:row>8</xdr:row>
          <xdr:rowOff>12700</xdr:rowOff>
        </xdr:from>
        <xdr:to>
          <xdr:col>13</xdr:col>
          <xdr:colOff>1555750</xdr:colOff>
          <xdr:row>9</xdr:row>
          <xdr:rowOff>69850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Group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221780</xdr:colOff>
      <xdr:row>5</xdr:row>
      <xdr:rowOff>80428</xdr:rowOff>
    </xdr:from>
    <xdr:ext cx="4826250" cy="937629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19958354">
          <a:off x="3812705" y="1423453"/>
          <a:ext cx="4826250" cy="93762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 a m p l 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139598</xdr:colOff>
      <xdr:row>15</xdr:row>
      <xdr:rowOff>180975</xdr:rowOff>
    </xdr:from>
    <xdr:to>
      <xdr:col>6</xdr:col>
      <xdr:colOff>95250</xdr:colOff>
      <xdr:row>23</xdr:row>
      <xdr:rowOff>38100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630"/>
        <a:stretch/>
      </xdr:blipFill>
      <xdr:spPr>
        <a:xfrm>
          <a:off x="139598" y="2828925"/>
          <a:ext cx="1098652" cy="1381125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30</xdr:col>
      <xdr:colOff>152400</xdr:colOff>
      <xdr:row>16</xdr:row>
      <xdr:rowOff>9526</xdr:rowOff>
    </xdr:from>
    <xdr:to>
      <xdr:col>36</xdr:col>
      <xdr:colOff>76200</xdr:colOff>
      <xdr:row>23</xdr:row>
      <xdr:rowOff>28576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6096000" y="3133726"/>
          <a:ext cx="1112520" cy="1306830"/>
          <a:chOff x="7297293" y="2273427"/>
          <a:chExt cx="1511046" cy="247650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r="62427"/>
          <a:stretch/>
        </xdr:blipFill>
        <xdr:spPr>
          <a:xfrm>
            <a:off x="7297293" y="2273427"/>
            <a:ext cx="737235" cy="2476500"/>
          </a:xfrm>
          <a:prstGeom prst="rect">
            <a:avLst/>
          </a:prstGeom>
          <a:effectLst>
            <a:softEdge rad="31750"/>
          </a:effectLst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60563"/>
          <a:stretch/>
        </xdr:blipFill>
        <xdr:spPr>
          <a:xfrm>
            <a:off x="8034528" y="2273427"/>
            <a:ext cx="773811" cy="2476500"/>
          </a:xfrm>
          <a:prstGeom prst="rect">
            <a:avLst/>
          </a:prstGeom>
          <a:effectLst>
            <a:softEdge rad="31750"/>
          </a:effectLst>
        </xdr:spPr>
      </xdr:pic>
    </xdr:grpSp>
    <xdr:clientData/>
  </xdr:twoCellAnchor>
  <xdr:twoCellAnchor>
    <xdr:from>
      <xdr:col>4</xdr:col>
      <xdr:colOff>152400</xdr:colOff>
      <xdr:row>15</xdr:row>
      <xdr:rowOff>114300</xdr:rowOff>
    </xdr:from>
    <xdr:to>
      <xdr:col>6</xdr:col>
      <xdr:colOff>137160</xdr:colOff>
      <xdr:row>17</xdr:row>
      <xdr:rowOff>95250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914400" y="31623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1</a:t>
          </a:r>
        </a:p>
      </xdr:txBody>
    </xdr:sp>
    <xdr:clientData/>
  </xdr:twoCellAnchor>
  <xdr:twoCellAnchor>
    <xdr:from>
      <xdr:col>34</xdr:col>
      <xdr:colOff>142875</xdr:colOff>
      <xdr:row>15</xdr:row>
      <xdr:rowOff>123825</xdr:rowOff>
    </xdr:from>
    <xdr:to>
      <xdr:col>36</xdr:col>
      <xdr:colOff>127635</xdr:colOff>
      <xdr:row>17</xdr:row>
      <xdr:rowOff>104775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619875" y="277177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2</a:t>
          </a:r>
        </a:p>
      </xdr:txBody>
    </xdr:sp>
    <xdr:clientData/>
  </xdr:twoCellAnchor>
  <xdr:twoCellAnchor editAs="oneCell">
    <xdr:from>
      <xdr:col>1</xdr:col>
      <xdr:colOff>152400</xdr:colOff>
      <xdr:row>37</xdr:row>
      <xdr:rowOff>85725</xdr:rowOff>
    </xdr:from>
    <xdr:to>
      <xdr:col>22</xdr:col>
      <xdr:colOff>151900</xdr:colOff>
      <xdr:row>40</xdr:row>
      <xdr:rowOff>38035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2900" y="6543675"/>
          <a:ext cx="4000000" cy="52381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161925</xdr:colOff>
      <xdr:row>37</xdr:row>
      <xdr:rowOff>142875</xdr:rowOff>
    </xdr:from>
    <xdr:to>
      <xdr:col>2</xdr:col>
      <xdr:colOff>146685</xdr:colOff>
      <xdr:row>39</xdr:row>
      <xdr:rowOff>123825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161925" y="66008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4</a:t>
          </a:r>
        </a:p>
      </xdr:txBody>
    </xdr:sp>
    <xdr:clientData/>
  </xdr:twoCellAnchor>
  <xdr:twoCellAnchor editAs="oneCell">
    <xdr:from>
      <xdr:col>18</xdr:col>
      <xdr:colOff>19050</xdr:colOff>
      <xdr:row>49</xdr:row>
      <xdr:rowOff>47625</xdr:rowOff>
    </xdr:from>
    <xdr:to>
      <xdr:col>58</xdr:col>
      <xdr:colOff>141907</xdr:colOff>
      <xdr:row>61</xdr:row>
      <xdr:rowOff>47339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48050" y="8601075"/>
          <a:ext cx="7742857" cy="2285714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0</xdr:col>
      <xdr:colOff>171450</xdr:colOff>
      <xdr:row>57</xdr:row>
      <xdr:rowOff>152400</xdr:rowOff>
    </xdr:from>
    <xdr:to>
      <xdr:col>34</xdr:col>
      <xdr:colOff>151593</xdr:colOff>
      <xdr:row>68</xdr:row>
      <xdr:rowOff>152138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" y="11182350"/>
          <a:ext cx="6457143" cy="20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17</xdr:col>
      <xdr:colOff>95250</xdr:colOff>
      <xdr:row>48</xdr:row>
      <xdr:rowOff>152400</xdr:rowOff>
    </xdr:from>
    <xdr:to>
      <xdr:col>19</xdr:col>
      <xdr:colOff>80010</xdr:colOff>
      <xdr:row>50</xdr:row>
      <xdr:rowOff>133350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3333750" y="85153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5</a:t>
          </a:r>
        </a:p>
      </xdr:txBody>
    </xdr:sp>
    <xdr:clientData/>
  </xdr:twoCellAnchor>
  <xdr:twoCellAnchor editAs="oneCell">
    <xdr:from>
      <xdr:col>19</xdr:col>
      <xdr:colOff>180975</xdr:colOff>
      <xdr:row>70</xdr:row>
      <xdr:rowOff>123825</xdr:rowOff>
    </xdr:from>
    <xdr:to>
      <xdr:col>60</xdr:col>
      <xdr:colOff>8570</xdr:colOff>
      <xdr:row>80</xdr:row>
      <xdr:rowOff>37873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00475" y="12677775"/>
          <a:ext cx="7638095" cy="181904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19</xdr:col>
      <xdr:colOff>66675</xdr:colOff>
      <xdr:row>70</xdr:row>
      <xdr:rowOff>66675</xdr:rowOff>
    </xdr:from>
    <xdr:to>
      <xdr:col>21</xdr:col>
      <xdr:colOff>51435</xdr:colOff>
      <xdr:row>72</xdr:row>
      <xdr:rowOff>47625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3686175" y="126206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6</a:t>
          </a:r>
        </a:p>
      </xdr:txBody>
    </xdr:sp>
    <xdr:clientData/>
  </xdr:twoCellAnchor>
  <xdr:twoCellAnchor editAs="oneCell">
    <xdr:from>
      <xdr:col>0</xdr:col>
      <xdr:colOff>114300</xdr:colOff>
      <xdr:row>75</xdr:row>
      <xdr:rowOff>47625</xdr:rowOff>
    </xdr:from>
    <xdr:to>
      <xdr:col>17</xdr:col>
      <xdr:colOff>171038</xdr:colOff>
      <xdr:row>78</xdr:row>
      <xdr:rowOff>28506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300" y="13554075"/>
          <a:ext cx="3295238" cy="552381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142875</xdr:colOff>
      <xdr:row>87</xdr:row>
      <xdr:rowOff>152400</xdr:rowOff>
    </xdr:from>
    <xdr:to>
      <xdr:col>25</xdr:col>
      <xdr:colOff>85161</xdr:colOff>
      <xdr:row>100</xdr:row>
      <xdr:rowOff>75900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33375" y="16563975"/>
          <a:ext cx="4514286" cy="2400000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36</xdr:col>
      <xdr:colOff>123825</xdr:colOff>
      <xdr:row>82</xdr:row>
      <xdr:rowOff>47625</xdr:rowOff>
    </xdr:from>
    <xdr:to>
      <xdr:col>45</xdr:col>
      <xdr:colOff>47420</xdr:colOff>
      <xdr:row>89</xdr:row>
      <xdr:rowOff>114119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981825" y="15459075"/>
          <a:ext cx="1638095" cy="144761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43</xdr:col>
      <xdr:colOff>123825</xdr:colOff>
      <xdr:row>82</xdr:row>
      <xdr:rowOff>0</xdr:rowOff>
    </xdr:from>
    <xdr:to>
      <xdr:col>45</xdr:col>
      <xdr:colOff>108585</xdr:colOff>
      <xdr:row>83</xdr:row>
      <xdr:rowOff>171450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8315325" y="15411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7</a:t>
          </a:r>
        </a:p>
      </xdr:txBody>
    </xdr:sp>
    <xdr:clientData/>
  </xdr:twoCellAnchor>
  <xdr:twoCellAnchor>
    <xdr:from>
      <xdr:col>24</xdr:col>
      <xdr:colOff>28575</xdr:colOff>
      <xdr:row>86</xdr:row>
      <xdr:rowOff>171450</xdr:rowOff>
    </xdr:from>
    <xdr:to>
      <xdr:col>26</xdr:col>
      <xdr:colOff>13335</xdr:colOff>
      <xdr:row>88</xdr:row>
      <xdr:rowOff>152400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4600575" y="16392525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8</a:t>
          </a:r>
        </a:p>
      </xdr:txBody>
    </xdr:sp>
    <xdr:clientData/>
  </xdr:twoCellAnchor>
  <xdr:twoCellAnchor>
    <xdr:from>
      <xdr:col>56</xdr:col>
      <xdr:colOff>180975</xdr:colOff>
      <xdr:row>95</xdr:row>
      <xdr:rowOff>171450</xdr:rowOff>
    </xdr:from>
    <xdr:to>
      <xdr:col>58</xdr:col>
      <xdr:colOff>165735</xdr:colOff>
      <xdr:row>97</xdr:row>
      <xdr:rowOff>152400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10848975" y="1821180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9</a:t>
          </a:r>
        </a:p>
      </xdr:txBody>
    </xdr:sp>
    <xdr:clientData/>
  </xdr:twoCellAnchor>
  <xdr:twoCellAnchor>
    <xdr:from>
      <xdr:col>12</xdr:col>
      <xdr:colOff>57150</xdr:colOff>
      <xdr:row>103</xdr:row>
      <xdr:rowOff>9525</xdr:rowOff>
    </xdr:from>
    <xdr:to>
      <xdr:col>14</xdr:col>
      <xdr:colOff>41910</xdr:colOff>
      <xdr:row>104</xdr:row>
      <xdr:rowOff>180975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GrpSpPr/>
      </xdr:nvGrpSpPr>
      <xdr:grpSpPr>
        <a:xfrm>
          <a:off x="2434590" y="19128105"/>
          <a:ext cx="381000" cy="354330"/>
          <a:chOff x="3257550" y="19583400"/>
          <a:chExt cx="365760" cy="361950"/>
        </a:xfrm>
      </xdr:grpSpPr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400-000028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00000000-0008-0000-0400-000029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10</a:t>
            </a:r>
          </a:p>
        </xdr:txBody>
      </xdr:sp>
    </xdr:grpSp>
    <xdr:clientData/>
  </xdr:twoCellAnchor>
  <xdr:twoCellAnchor editAs="oneCell">
    <xdr:from>
      <xdr:col>2</xdr:col>
      <xdr:colOff>9525</xdr:colOff>
      <xdr:row>105</xdr:row>
      <xdr:rowOff>104775</xdr:rowOff>
    </xdr:from>
    <xdr:to>
      <xdr:col>18</xdr:col>
      <xdr:colOff>75811</xdr:colOff>
      <xdr:row>109</xdr:row>
      <xdr:rowOff>114204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390525" y="20154900"/>
          <a:ext cx="3114286" cy="771429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44</xdr:col>
      <xdr:colOff>104775</xdr:colOff>
      <xdr:row>113</xdr:row>
      <xdr:rowOff>57150</xdr:rowOff>
    </xdr:from>
    <xdr:to>
      <xdr:col>56</xdr:col>
      <xdr:colOff>133061</xdr:colOff>
      <xdr:row>114</xdr:row>
      <xdr:rowOff>123793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86775" y="21631275"/>
          <a:ext cx="2314286" cy="257143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43</xdr:col>
      <xdr:colOff>9525</xdr:colOff>
      <xdr:row>113</xdr:row>
      <xdr:rowOff>9525</xdr:rowOff>
    </xdr:from>
    <xdr:to>
      <xdr:col>44</xdr:col>
      <xdr:colOff>184785</xdr:colOff>
      <xdr:row>114</xdr:row>
      <xdr:rowOff>180975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pSpPr/>
      </xdr:nvGrpSpPr>
      <xdr:grpSpPr>
        <a:xfrm>
          <a:off x="8528685" y="20956905"/>
          <a:ext cx="373380" cy="354330"/>
          <a:chOff x="3257550" y="19583400"/>
          <a:chExt cx="365760" cy="361950"/>
        </a:xfrm>
      </xdr:grpSpPr>
      <xdr:sp macro="" textlink="">
        <xdr:nvSpPr>
          <xdr:cNvPr id="51" name="Oval 50">
            <a:extLst>
              <a:ext uri="{FF2B5EF4-FFF2-40B4-BE49-F238E27FC236}">
                <a16:creationId xmlns:a16="http://schemas.microsoft.com/office/drawing/2014/main" id="{00000000-0008-0000-0400-000033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400-000034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11</a:t>
            </a:r>
          </a:p>
        </xdr:txBody>
      </xdr:sp>
    </xdr:grpSp>
    <xdr:clientData/>
  </xdr:twoCellAnchor>
  <xdr:twoCellAnchor>
    <xdr:from>
      <xdr:col>2</xdr:col>
      <xdr:colOff>66675</xdr:colOff>
      <xdr:row>122</xdr:row>
      <xdr:rowOff>0</xdr:rowOff>
    </xdr:from>
    <xdr:to>
      <xdr:col>14</xdr:col>
      <xdr:colOff>47342</xdr:colOff>
      <xdr:row>126</xdr:row>
      <xdr:rowOff>152286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447675" y="23288625"/>
          <a:ext cx="2266667" cy="91428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45</xdr:col>
      <xdr:colOff>171450</xdr:colOff>
      <xdr:row>121</xdr:row>
      <xdr:rowOff>104775</xdr:rowOff>
    </xdr:from>
    <xdr:to>
      <xdr:col>61</xdr:col>
      <xdr:colOff>190117</xdr:colOff>
      <xdr:row>126</xdr:row>
      <xdr:rowOff>47513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743950" y="23202900"/>
          <a:ext cx="3066667" cy="895238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29</xdr:col>
      <xdr:colOff>66675</xdr:colOff>
      <xdr:row>120</xdr:row>
      <xdr:rowOff>9525</xdr:rowOff>
    </xdr:from>
    <xdr:to>
      <xdr:col>31</xdr:col>
      <xdr:colOff>51435</xdr:colOff>
      <xdr:row>121</xdr:row>
      <xdr:rowOff>180975</xdr:rowOff>
    </xdr:to>
    <xdr:grpSp>
      <xdr:nvGrpSpPr>
        <xdr:cNvPr id="56" name="Group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pSpPr/>
      </xdr:nvGrpSpPr>
      <xdr:grpSpPr>
        <a:xfrm>
          <a:off x="5812155" y="22237065"/>
          <a:ext cx="381000" cy="354330"/>
          <a:chOff x="3257550" y="19583400"/>
          <a:chExt cx="365760" cy="361950"/>
        </a:xfrm>
      </xdr:grpSpPr>
      <xdr:sp macro="" textlink="">
        <xdr:nvSpPr>
          <xdr:cNvPr id="57" name="Oval 56">
            <a:extLst>
              <a:ext uri="{FF2B5EF4-FFF2-40B4-BE49-F238E27FC236}">
                <a16:creationId xmlns:a16="http://schemas.microsoft.com/office/drawing/2014/main" id="{00000000-0008-0000-0400-000039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400-00003A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12</a:t>
            </a:r>
          </a:p>
        </xdr:txBody>
      </xdr:sp>
    </xdr:grpSp>
    <xdr:clientData/>
  </xdr:twoCellAnchor>
  <xdr:twoCellAnchor editAs="oneCell">
    <xdr:from>
      <xdr:col>3</xdr:col>
      <xdr:colOff>0</xdr:colOff>
      <xdr:row>133</xdr:row>
      <xdr:rowOff>66675</xdr:rowOff>
    </xdr:from>
    <xdr:to>
      <xdr:col>58</xdr:col>
      <xdr:colOff>36786</xdr:colOff>
      <xdr:row>139</xdr:row>
      <xdr:rowOff>133199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71500" y="25450800"/>
          <a:ext cx="10514286" cy="1209524"/>
        </a:xfrm>
        <a:prstGeom prst="rect">
          <a:avLst/>
        </a:prstGeom>
        <a:effectLst>
          <a:softEdge rad="31750"/>
        </a:effectLst>
      </xdr:spPr>
    </xdr:pic>
    <xdr:clientData/>
  </xdr:twoCellAnchor>
  <xdr:twoCellAnchor>
    <xdr:from>
      <xdr:col>3</xdr:col>
      <xdr:colOff>9525</xdr:colOff>
      <xdr:row>133</xdr:row>
      <xdr:rowOff>0</xdr:rowOff>
    </xdr:from>
    <xdr:to>
      <xdr:col>4</xdr:col>
      <xdr:colOff>184785</xdr:colOff>
      <xdr:row>134</xdr:row>
      <xdr:rowOff>171450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pSpPr/>
      </xdr:nvGrpSpPr>
      <xdr:grpSpPr>
        <a:xfrm>
          <a:off x="603885" y="24604980"/>
          <a:ext cx="373380" cy="354330"/>
          <a:chOff x="3257550" y="19583400"/>
          <a:chExt cx="365760" cy="361950"/>
        </a:xfrm>
      </xdr:grpSpPr>
      <xdr:sp macro="" textlink="">
        <xdr:nvSpPr>
          <xdr:cNvPr id="61" name="Oval 60">
            <a:extLst>
              <a:ext uri="{FF2B5EF4-FFF2-40B4-BE49-F238E27FC236}">
                <a16:creationId xmlns:a16="http://schemas.microsoft.com/office/drawing/2014/main" id="{00000000-0008-0000-0400-00003D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400-00003E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13</a:t>
            </a:r>
          </a:p>
        </xdr:txBody>
      </xdr:sp>
    </xdr:grpSp>
    <xdr:clientData/>
  </xdr:twoCellAnchor>
  <xdr:twoCellAnchor>
    <xdr:from>
      <xdr:col>24</xdr:col>
      <xdr:colOff>28575</xdr:colOff>
      <xdr:row>141</xdr:row>
      <xdr:rowOff>152400</xdr:rowOff>
    </xdr:from>
    <xdr:to>
      <xdr:col>26</xdr:col>
      <xdr:colOff>13335</xdr:colOff>
      <xdr:row>143</xdr:row>
      <xdr:rowOff>133350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pSpPr/>
      </xdr:nvGrpSpPr>
      <xdr:grpSpPr>
        <a:xfrm>
          <a:off x="4783455" y="26220420"/>
          <a:ext cx="381000" cy="346710"/>
          <a:chOff x="3257550" y="19583400"/>
          <a:chExt cx="365760" cy="361950"/>
        </a:xfrm>
      </xdr:grpSpPr>
      <xdr:sp macro="" textlink="">
        <xdr:nvSpPr>
          <xdr:cNvPr id="65" name="Oval 64">
            <a:extLst>
              <a:ext uri="{FF2B5EF4-FFF2-40B4-BE49-F238E27FC236}">
                <a16:creationId xmlns:a16="http://schemas.microsoft.com/office/drawing/2014/main" id="{00000000-0008-0000-0400-000041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400-000042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14</a:t>
            </a:r>
          </a:p>
        </xdr:txBody>
      </xdr:sp>
    </xdr:grpSp>
    <xdr:clientData/>
  </xdr:twoCellAnchor>
  <xdr:twoCellAnchor editAs="oneCell">
    <xdr:from>
      <xdr:col>5</xdr:col>
      <xdr:colOff>171450</xdr:colOff>
      <xdr:row>154</xdr:row>
      <xdr:rowOff>152400</xdr:rowOff>
    </xdr:from>
    <xdr:to>
      <xdr:col>57</xdr:col>
      <xdr:colOff>170212</xdr:colOff>
      <xdr:row>172</xdr:row>
      <xdr:rowOff>180543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3950" y="29537025"/>
          <a:ext cx="9904762" cy="345714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4</xdr:col>
      <xdr:colOff>95250</xdr:colOff>
      <xdr:row>154</xdr:row>
      <xdr:rowOff>85725</xdr:rowOff>
    </xdr:from>
    <xdr:to>
      <xdr:col>6</xdr:col>
      <xdr:colOff>80010</xdr:colOff>
      <xdr:row>156</xdr:row>
      <xdr:rowOff>66675</xdr:rowOff>
    </xdr:to>
    <xdr:grpSp>
      <xdr:nvGrpSpPr>
        <xdr:cNvPr id="68" name="Group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pSpPr/>
      </xdr:nvGrpSpPr>
      <xdr:grpSpPr>
        <a:xfrm>
          <a:off x="887730" y="28531185"/>
          <a:ext cx="381000" cy="346710"/>
          <a:chOff x="3257550" y="19583400"/>
          <a:chExt cx="365760" cy="361950"/>
        </a:xfrm>
      </xdr:grpSpPr>
      <xdr:sp macro="" textlink="">
        <xdr:nvSpPr>
          <xdr:cNvPr id="69" name="Oval 68">
            <a:extLst>
              <a:ext uri="{FF2B5EF4-FFF2-40B4-BE49-F238E27FC236}">
                <a16:creationId xmlns:a16="http://schemas.microsoft.com/office/drawing/2014/main" id="{00000000-0008-0000-0400-000045000000}"/>
              </a:ext>
            </a:extLst>
          </xdr:cNvPr>
          <xdr:cNvSpPr/>
        </xdr:nvSpPr>
        <xdr:spPr>
          <a:xfrm>
            <a:off x="3257550" y="19583400"/>
            <a:ext cx="365760" cy="361950"/>
          </a:xfrm>
          <a:prstGeom prst="ellipse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 b="1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400-000046000000}"/>
              </a:ext>
            </a:extLst>
          </xdr:cNvPr>
          <xdr:cNvSpPr txBox="1"/>
        </xdr:nvSpPr>
        <xdr:spPr>
          <a:xfrm>
            <a:off x="3276600" y="19621500"/>
            <a:ext cx="32765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100" b="1">
                <a:solidFill>
                  <a:schemeClr val="bg1"/>
                </a:solidFill>
              </a:rPr>
              <a:t>15</a:t>
            </a:r>
          </a:p>
        </xdr:txBody>
      </xdr:sp>
    </xdr:grpSp>
    <xdr:clientData/>
  </xdr:twoCellAnchor>
  <xdr:twoCellAnchor editAs="oneCell">
    <xdr:from>
      <xdr:col>14</xdr:col>
      <xdr:colOff>66675</xdr:colOff>
      <xdr:row>24</xdr:row>
      <xdr:rowOff>152400</xdr:rowOff>
    </xdr:from>
    <xdr:to>
      <xdr:col>38</xdr:col>
      <xdr:colOff>18484</xdr:colOff>
      <xdr:row>28</xdr:row>
      <xdr:rowOff>180876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733675" y="4895850"/>
          <a:ext cx="4523809" cy="790476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13</xdr:col>
      <xdr:colOff>152400</xdr:colOff>
      <xdr:row>24</xdr:row>
      <xdr:rowOff>0</xdr:rowOff>
    </xdr:from>
    <xdr:to>
      <xdr:col>15</xdr:col>
      <xdr:colOff>137160</xdr:colOff>
      <xdr:row>25</xdr:row>
      <xdr:rowOff>171450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2628900" y="4743450"/>
          <a:ext cx="365760" cy="361950"/>
        </a:xfrm>
        <a:prstGeom prst="ellipse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/>
            <a:t>3</a:t>
          </a:r>
        </a:p>
      </xdr:txBody>
    </xdr:sp>
    <xdr:clientData/>
  </xdr:twoCellAnchor>
  <xdr:twoCellAnchor>
    <xdr:from>
      <xdr:col>30</xdr:col>
      <xdr:colOff>19050</xdr:colOff>
      <xdr:row>96</xdr:row>
      <xdr:rowOff>47625</xdr:rowOff>
    </xdr:from>
    <xdr:to>
      <xdr:col>59</xdr:col>
      <xdr:colOff>132645</xdr:colOff>
      <xdr:row>111</xdr:row>
      <xdr:rowOff>9173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pSpPr/>
      </xdr:nvGrpSpPr>
      <xdr:grpSpPr>
        <a:xfrm>
          <a:off x="5962650" y="17878425"/>
          <a:ext cx="5859075" cy="2712368"/>
          <a:chOff x="5734050" y="18554700"/>
          <a:chExt cx="5638095" cy="2819048"/>
        </a:xfrm>
      </xdr:grpSpPr>
      <xdr:pic>
        <xdr:nvPicPr>
          <xdr:cNvPr id="36" name="Picture 35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734050" y="18554700"/>
            <a:ext cx="5638095" cy="2819048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r="5129" b="21728"/>
          <a:stretch/>
        </xdr:blipFill>
        <xdr:spPr>
          <a:xfrm>
            <a:off x="10201275" y="20031075"/>
            <a:ext cx="1057275" cy="171450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47625</xdr:colOff>
      <xdr:row>142</xdr:row>
      <xdr:rowOff>66675</xdr:rowOff>
    </xdr:from>
    <xdr:to>
      <xdr:col>58</xdr:col>
      <xdr:colOff>18244</xdr:colOff>
      <xdr:row>148</xdr:row>
      <xdr:rowOff>180818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802505" y="26317575"/>
          <a:ext cx="6706699" cy="1211423"/>
          <a:chOff x="4619625" y="27336750"/>
          <a:chExt cx="6447619" cy="1257143"/>
        </a:xfrm>
      </xdr:grpSpPr>
      <xdr:pic>
        <xdr:nvPicPr>
          <xdr:cNvPr id="63" name="Picture 62">
            <a:extLst>
              <a:ext uri="{FF2B5EF4-FFF2-40B4-BE49-F238E27FC236}">
                <a16:creationId xmlns:a16="http://schemas.microsoft.com/office/drawing/2014/main" id="{00000000-0008-0000-04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619625" y="27336750"/>
            <a:ext cx="6447619" cy="1257143"/>
          </a:xfrm>
          <a:prstGeom prst="rect">
            <a:avLst/>
          </a:prstGeom>
        </xdr:spPr>
      </xdr:pic>
      <xdr:pic>
        <xdr:nvPicPr>
          <xdr:cNvPr id="18" name="Picture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229725" y="27393900"/>
            <a:ext cx="1219048" cy="219048"/>
          </a:xfrm>
          <a:prstGeom prst="rect">
            <a:avLst/>
          </a:prstGeom>
        </xdr:spPr>
      </xdr:pic>
      <xdr:pic>
        <xdr:nvPicPr>
          <xdr:cNvPr id="19" name="Picture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839325" y="27403425"/>
            <a:ext cx="1219048" cy="219048"/>
          </a:xfrm>
          <a:prstGeom prst="rect">
            <a:avLst/>
          </a:prstGeom>
        </xdr:spPr>
      </xdr:pic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Sanjeet Chauhan" id="{7A866C20-73AD-4A7D-ABD4-7FF91D8E3CCD}" userId="S::sanjeet.chauhan@nagarro.com::d330eb14-ede1-4f5d-a9c5-298bbfdb6cef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23" dT="2019-07-09T21:53:09.88" personId="{7A866C20-73AD-4A7D-ABD4-7FF91D8E3CCD}" id="{7CCDC33E-4A20-4C04-9208-3ABAB03F06DB}">
    <text>Need to clarify</text>
  </threadedComment>
  <threadedComment ref="X47" dT="2019-07-09T17:00:56.67" personId="{7A866C20-73AD-4A7D-ABD4-7FF91D8E3CCD}" id="{A26F4214-8AFF-4C7D-875A-54FC233A4694}">
    <text>Need to clarify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vikas.burman@nagarro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B2:C59"/>
  <sheetViews>
    <sheetView workbookViewId="0">
      <selection activeCell="B51" sqref="B51:C55"/>
    </sheetView>
  </sheetViews>
  <sheetFormatPr defaultRowHeight="14.5" outlineLevelRow="1" x14ac:dyDescent="0.35"/>
  <cols>
    <col min="1" max="1" width="3.81640625" customWidth="1"/>
    <col min="2" max="2" width="14.1796875" customWidth="1"/>
    <col min="3" max="3" width="32.26953125" customWidth="1"/>
  </cols>
  <sheetData>
    <row r="2" spans="2:3" collapsed="1" x14ac:dyDescent="0.35">
      <c r="B2" s="3" t="s">
        <v>16</v>
      </c>
      <c r="C2" s="4"/>
    </row>
    <row r="3" spans="2:3" hidden="1" outlineLevel="1" x14ac:dyDescent="0.35">
      <c r="B3" s="2" t="s">
        <v>23</v>
      </c>
      <c r="C3" s="2"/>
    </row>
    <row r="4" spans="2:3" hidden="1" outlineLevel="1" x14ac:dyDescent="0.35">
      <c r="B4" s="2" t="s">
        <v>6</v>
      </c>
      <c r="C4" s="2"/>
    </row>
    <row r="5" spans="2:3" hidden="1" outlineLevel="1" x14ac:dyDescent="0.35">
      <c r="B5" s="2" t="s">
        <v>7</v>
      </c>
      <c r="C5" s="2"/>
    </row>
    <row r="7" spans="2:3" collapsed="1" x14ac:dyDescent="0.35">
      <c r="B7" s="3" t="s">
        <v>17</v>
      </c>
      <c r="C7" s="4"/>
    </row>
    <row r="8" spans="2:3" hidden="1" outlineLevel="1" x14ac:dyDescent="0.35">
      <c r="B8" s="2" t="s">
        <v>23</v>
      </c>
      <c r="C8" s="2"/>
    </row>
    <row r="9" spans="2:3" hidden="1" outlineLevel="1" x14ac:dyDescent="0.35">
      <c r="B9" s="2" t="s">
        <v>8</v>
      </c>
      <c r="C9" s="2"/>
    </row>
    <row r="10" spans="2:3" hidden="1" outlineLevel="1" x14ac:dyDescent="0.35">
      <c r="B10" s="2" t="s">
        <v>13</v>
      </c>
      <c r="C10" s="2"/>
    </row>
    <row r="11" spans="2:3" hidden="1" outlineLevel="1" x14ac:dyDescent="0.35">
      <c r="B11" s="2" t="s">
        <v>14</v>
      </c>
      <c r="C11" s="2"/>
    </row>
    <row r="12" spans="2:3" hidden="1" outlineLevel="1" x14ac:dyDescent="0.35">
      <c r="B12" s="2" t="s">
        <v>15</v>
      </c>
      <c r="C12" s="2"/>
    </row>
    <row r="13" spans="2:3" hidden="1" outlineLevel="1" x14ac:dyDescent="0.35">
      <c r="B13" s="2" t="s">
        <v>9</v>
      </c>
      <c r="C13" s="2"/>
    </row>
    <row r="14" spans="2:3" hidden="1" outlineLevel="1" x14ac:dyDescent="0.35">
      <c r="B14" s="2" t="s">
        <v>10</v>
      </c>
      <c r="C14" s="2"/>
    </row>
    <row r="15" spans="2:3" hidden="1" outlineLevel="1" x14ac:dyDescent="0.35">
      <c r="B15" s="2" t="s">
        <v>12</v>
      </c>
      <c r="C15" s="2"/>
    </row>
    <row r="16" spans="2:3" hidden="1" outlineLevel="1" x14ac:dyDescent="0.35">
      <c r="B16" s="2" t="s">
        <v>11</v>
      </c>
      <c r="C16" s="2"/>
    </row>
    <row r="18" spans="2:3" collapsed="1" x14ac:dyDescent="0.35">
      <c r="B18" s="3" t="s">
        <v>24</v>
      </c>
      <c r="C18" s="4"/>
    </row>
    <row r="19" spans="2:3" hidden="1" outlineLevel="1" x14ac:dyDescent="0.35">
      <c r="B19" s="2" t="s">
        <v>23</v>
      </c>
      <c r="C19" s="2"/>
    </row>
    <row r="20" spans="2:3" hidden="1" outlineLevel="1" x14ac:dyDescent="0.35">
      <c r="B20" s="2" t="s">
        <v>18</v>
      </c>
      <c r="C20" s="2"/>
    </row>
    <row r="21" spans="2:3" hidden="1" outlineLevel="1" x14ac:dyDescent="0.35">
      <c r="B21" s="2" t="s">
        <v>19</v>
      </c>
      <c r="C21" s="2"/>
    </row>
    <row r="22" spans="2:3" hidden="1" outlineLevel="1" x14ac:dyDescent="0.35">
      <c r="B22" s="2" t="s">
        <v>20</v>
      </c>
      <c r="C22" s="2"/>
    </row>
    <row r="23" spans="2:3" hidden="1" outlineLevel="1" x14ac:dyDescent="0.35">
      <c r="B23" s="2" t="s">
        <v>21</v>
      </c>
      <c r="C23" s="2"/>
    </row>
    <row r="24" spans="2:3" hidden="1" outlineLevel="1" x14ac:dyDescent="0.35">
      <c r="B24" s="2" t="s">
        <v>22</v>
      </c>
      <c r="C24" s="2"/>
    </row>
    <row r="26" spans="2:3" collapsed="1" x14ac:dyDescent="0.35">
      <c r="B26" s="3" t="s">
        <v>28</v>
      </c>
      <c r="C26" s="4"/>
    </row>
    <row r="27" spans="2:3" hidden="1" outlineLevel="1" x14ac:dyDescent="0.35">
      <c r="B27" s="2" t="s">
        <v>23</v>
      </c>
      <c r="C27" s="2"/>
    </row>
    <row r="28" spans="2:3" hidden="1" outlineLevel="1" x14ac:dyDescent="0.35">
      <c r="B28" s="2" t="s">
        <v>25</v>
      </c>
      <c r="C28" s="2"/>
    </row>
    <row r="29" spans="2:3" hidden="1" outlineLevel="1" x14ac:dyDescent="0.35">
      <c r="B29" s="2" t="s">
        <v>27</v>
      </c>
      <c r="C29" s="2"/>
    </row>
    <row r="31" spans="2:3" collapsed="1" x14ac:dyDescent="0.35">
      <c r="B31" s="3" t="s">
        <v>35</v>
      </c>
      <c r="C31" s="3"/>
    </row>
    <row r="32" spans="2:3" hidden="1" outlineLevel="1" x14ac:dyDescent="0.35">
      <c r="B32" s="2" t="s">
        <v>23</v>
      </c>
      <c r="C32" s="2"/>
    </row>
    <row r="33" spans="2:3" hidden="1" outlineLevel="1" x14ac:dyDescent="0.35">
      <c r="B33" s="2" t="s">
        <v>32</v>
      </c>
      <c r="C33" s="2"/>
    </row>
    <row r="34" spans="2:3" hidden="1" outlineLevel="1" x14ac:dyDescent="0.35">
      <c r="B34" s="2" t="s">
        <v>33</v>
      </c>
      <c r="C34" s="2"/>
    </row>
    <row r="35" spans="2:3" hidden="1" outlineLevel="1" x14ac:dyDescent="0.35">
      <c r="B35" s="2" t="s">
        <v>34</v>
      </c>
      <c r="C35" s="2"/>
    </row>
    <row r="37" spans="2:3" collapsed="1" x14ac:dyDescent="0.35">
      <c r="B37" s="3" t="s">
        <v>37</v>
      </c>
      <c r="C37" s="3"/>
    </row>
    <row r="38" spans="2:3" hidden="1" outlineLevel="1" x14ac:dyDescent="0.35">
      <c r="B38" s="2" t="s">
        <v>23</v>
      </c>
      <c r="C38" s="2"/>
    </row>
    <row r="39" spans="2:3" hidden="1" outlineLevel="1" x14ac:dyDescent="0.35">
      <c r="B39" s="2" t="s">
        <v>38</v>
      </c>
      <c r="C39" s="2"/>
    </row>
    <row r="40" spans="2:3" hidden="1" outlineLevel="1" x14ac:dyDescent="0.35">
      <c r="B40" s="2" t="s">
        <v>39</v>
      </c>
      <c r="C40" s="2"/>
    </row>
    <row r="41" spans="2:3" hidden="1" outlineLevel="1" x14ac:dyDescent="0.35">
      <c r="B41" s="2" t="s">
        <v>40</v>
      </c>
      <c r="C41" s="2"/>
    </row>
    <row r="42" spans="2:3" hidden="1" outlineLevel="1" x14ac:dyDescent="0.35">
      <c r="B42" s="2" t="s">
        <v>41</v>
      </c>
      <c r="C42" s="2"/>
    </row>
    <row r="44" spans="2:3" collapsed="1" x14ac:dyDescent="0.35">
      <c r="B44" s="3" t="s">
        <v>44</v>
      </c>
      <c r="C44" s="4"/>
    </row>
    <row r="45" spans="2:3" hidden="1" outlineLevel="1" x14ac:dyDescent="0.35">
      <c r="B45" s="2" t="s">
        <v>23</v>
      </c>
      <c r="C45" s="2"/>
    </row>
    <row r="46" spans="2:3" hidden="1" outlineLevel="1" x14ac:dyDescent="0.35">
      <c r="B46" s="2" t="s">
        <v>42</v>
      </c>
      <c r="C46" s="2"/>
    </row>
    <row r="47" spans="2:3" hidden="1" outlineLevel="1" x14ac:dyDescent="0.35">
      <c r="B47" s="2" t="s">
        <v>43</v>
      </c>
      <c r="C47" s="2"/>
    </row>
    <row r="48" spans="2:3" hidden="1" outlineLevel="1" x14ac:dyDescent="0.35">
      <c r="B48" s="2" t="s">
        <v>45</v>
      </c>
      <c r="C48" s="2"/>
    </row>
    <row r="50" spans="2:3" collapsed="1" x14ac:dyDescent="0.35">
      <c r="B50" s="3" t="s">
        <v>52</v>
      </c>
      <c r="C50" s="3"/>
    </row>
    <row r="51" spans="2:3" hidden="1" outlineLevel="1" x14ac:dyDescent="0.35">
      <c r="B51" s="2" t="s">
        <v>54</v>
      </c>
      <c r="C51" s="163">
        <f>IF(MIN_EFFORT_PERCENT &lt; 0, MIN_EFFORT_PERCENT, MIN_EFFORT_PERCENT*-1)</f>
        <v>-0.2</v>
      </c>
    </row>
    <row r="52" spans="2:3" hidden="1" outlineLevel="1" x14ac:dyDescent="0.35">
      <c r="B52" s="2" t="s">
        <v>126</v>
      </c>
      <c r="C52" s="163">
        <f>CUSTOM_PERCENT*-1</f>
        <v>-0.25</v>
      </c>
    </row>
    <row r="53" spans="2:3" hidden="1" outlineLevel="1" x14ac:dyDescent="0.35">
      <c r="B53" s="2" t="s">
        <v>55</v>
      </c>
      <c r="C53" s="163">
        <v>0</v>
      </c>
    </row>
    <row r="54" spans="2:3" hidden="1" outlineLevel="1" x14ac:dyDescent="0.35">
      <c r="B54" s="2" t="s">
        <v>127</v>
      </c>
      <c r="C54" s="163">
        <f>CUSTOM_PERCENT</f>
        <v>0.25</v>
      </c>
    </row>
    <row r="55" spans="2:3" hidden="1" outlineLevel="1" x14ac:dyDescent="0.35">
      <c r="B55" s="2" t="s">
        <v>53</v>
      </c>
      <c r="C55" s="163">
        <f>MAX_EFFORT_PERCENT</f>
        <v>0.2</v>
      </c>
    </row>
    <row r="57" spans="2:3" collapsed="1" x14ac:dyDescent="0.35">
      <c r="B57" s="3" t="s">
        <v>61</v>
      </c>
      <c r="C57" s="3"/>
    </row>
    <row r="58" spans="2:3" hidden="1" outlineLevel="1" x14ac:dyDescent="0.35">
      <c r="B58" s="2" t="s">
        <v>63</v>
      </c>
      <c r="C58" s="2"/>
    </row>
    <row r="59" spans="2:3" hidden="1" outlineLevel="1" x14ac:dyDescent="0.35">
      <c r="B59" s="2" t="s">
        <v>1</v>
      </c>
      <c r="C59" s="2"/>
    </row>
  </sheetData>
  <pageMargins left="0.7" right="0.7" top="0.75" bottom="0.75" header="0.3" footer="0.3"/>
  <pageSetup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A1:AD374"/>
  <sheetViews>
    <sheetView showGridLines="0" tabSelected="1" zoomScale="85" zoomScaleNormal="85" workbookViewId="0">
      <pane xSplit="11" ySplit="11" topLeftCell="L95" activePane="bottomRight" state="frozenSplit"/>
      <selection pane="topRight" activeCell="M1" sqref="M1"/>
      <selection pane="bottomLeft" activeCell="A17" sqref="A17"/>
      <selection pane="bottomRight" activeCell="P102" sqref="P102"/>
    </sheetView>
  </sheetViews>
  <sheetFormatPr defaultColWidth="9.1796875" defaultRowHeight="14.5" outlineLevelRow="2" outlineLevelCol="1" x14ac:dyDescent="0.35"/>
  <cols>
    <col min="1" max="1" width="1" style="93" customWidth="1"/>
    <col min="2" max="2" width="1" style="10" customWidth="1"/>
    <col min="3" max="5" width="1" style="80" customWidth="1"/>
    <col min="6" max="6" width="3" style="80" customWidth="1" collapsed="1"/>
    <col min="7" max="7" width="8.54296875" style="19" hidden="1" customWidth="1" outlineLevel="1"/>
    <col min="8" max="8" width="8.453125" style="19" hidden="1" customWidth="1" outlineLevel="1"/>
    <col min="9" max="9" width="7.1796875" style="19" hidden="1" customWidth="1" outlineLevel="1"/>
    <col min="10" max="10" width="7.7265625" style="19" hidden="1" customWidth="1" outlineLevel="1"/>
    <col min="11" max="11" width="37.453125" style="19" hidden="1" customWidth="1" outlineLevel="1"/>
    <col min="12" max="12" width="3.81640625" style="19" customWidth="1"/>
    <col min="13" max="13" width="5.7265625" style="293" customWidth="1"/>
    <col min="14" max="14" width="42.7265625" style="27" customWidth="1"/>
    <col min="15" max="15" width="13.1796875" style="27" customWidth="1"/>
    <col min="16" max="16" width="17.1796875" style="19" customWidth="1"/>
    <col min="17" max="17" width="7" style="19" customWidth="1"/>
    <col min="18" max="18" width="6.453125" style="19" customWidth="1"/>
    <col min="19" max="19" width="12" style="19" customWidth="1"/>
    <col min="20" max="20" width="10.7265625" style="19" customWidth="1"/>
    <col min="21" max="21" width="6.81640625" style="19" customWidth="1" outlineLevel="1"/>
    <col min="22" max="22" width="6.1796875" style="19" customWidth="1" outlineLevel="1"/>
    <col min="23" max="23" width="6" style="19" customWidth="1" outlineLevel="1"/>
    <col min="24" max="24" width="11.7265625" style="19" customWidth="1" outlineLevel="1"/>
    <col min="25" max="25" width="11" style="19" customWidth="1" outlineLevel="1"/>
    <col min="26" max="26" width="6.54296875" style="19" customWidth="1" outlineLevel="1"/>
    <col min="27" max="27" width="11" style="19" customWidth="1" outlineLevel="1"/>
    <col min="28" max="28" width="35.7265625" style="27" customWidth="1"/>
    <col min="29" max="29" width="1.453125" style="12" customWidth="1"/>
    <col min="30" max="30" width="19" style="12" customWidth="1"/>
    <col min="31" max="16384" width="9.1796875" style="19"/>
  </cols>
  <sheetData>
    <row r="1" spans="1:30" s="11" customFormat="1" ht="4.5" customHeight="1" x14ac:dyDescent="0.35">
      <c r="A1" s="93"/>
      <c r="B1" s="10"/>
      <c r="C1" s="78"/>
      <c r="D1" s="78"/>
      <c r="E1" s="78"/>
      <c r="F1" s="78"/>
      <c r="M1" s="275"/>
      <c r="N1" s="12"/>
      <c r="O1" s="12"/>
      <c r="AB1" s="12"/>
      <c r="AC1" s="12"/>
      <c r="AD1" s="12"/>
    </row>
    <row r="2" spans="1:30" s="11" customFormat="1" ht="4.5" customHeight="1" x14ac:dyDescent="0.35">
      <c r="A2" s="94"/>
      <c r="B2" s="10"/>
      <c r="C2" s="321" t="s">
        <v>151</v>
      </c>
      <c r="D2" s="321"/>
      <c r="E2" s="321"/>
      <c r="F2" s="321"/>
      <c r="G2" s="147"/>
      <c r="H2" s="147"/>
      <c r="I2" s="147"/>
      <c r="J2" s="147"/>
      <c r="K2" s="147"/>
      <c r="L2" s="147"/>
      <c r="M2" s="276"/>
      <c r="N2" s="148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2"/>
    </row>
    <row r="3" spans="1:30" s="11" customFormat="1" ht="23.25" customHeight="1" x14ac:dyDescent="0.6">
      <c r="A3" s="94"/>
      <c r="B3" s="10"/>
      <c r="C3" s="321"/>
      <c r="D3" s="321"/>
      <c r="E3" s="321"/>
      <c r="F3" s="321"/>
      <c r="G3" s="327" t="s">
        <v>537</v>
      </c>
      <c r="H3" s="327"/>
      <c r="I3" s="327"/>
      <c r="J3" s="327"/>
      <c r="K3" s="297" t="s">
        <v>571</v>
      </c>
      <c r="L3" s="95"/>
      <c r="M3" s="277">
        <f>IF(IS_KEY_OPP="Yes", 2, IF(IS_KEY_OPP="No", 0, 1))</f>
        <v>1</v>
      </c>
      <c r="N3" s="149" t="str">
        <f>CLIENT_NAME&amp;" - "&amp;PROJECT_NAME&amp;" ("&amp;PLATFORM&amp;" "&amp;PROJECT_TYPE&amp;" Project)"&amp;IF(RFP_NAME&lt;&gt;"", " - "&amp;RFP_NAME, "")</f>
        <v>Client Name - Project Name (- - Project) - RFP Name</v>
      </c>
      <c r="O3" s="149"/>
      <c r="P3" s="149"/>
      <c r="Q3" s="149"/>
      <c r="R3" s="149"/>
      <c r="S3" s="197"/>
      <c r="T3" s="264" t="str">
        <f>IF(COUNTIF(AD9:AD195, "Error:*") = 0, "", COUNTIF(AD9:AD195, "Error:*") &amp; " errors")</f>
        <v>29 errors</v>
      </c>
      <c r="U3" s="196"/>
      <c r="V3" s="196"/>
      <c r="W3" s="196"/>
      <c r="X3" s="210" t="s">
        <v>186</v>
      </c>
      <c r="Y3" s="212" t="s">
        <v>190</v>
      </c>
      <c r="Z3" s="214"/>
      <c r="AA3" s="213"/>
      <c r="AB3" s="266"/>
      <c r="AC3" s="95"/>
      <c r="AD3" s="12"/>
    </row>
    <row r="4" spans="1:30" s="11" customFormat="1" ht="4.5" customHeight="1" x14ac:dyDescent="0.35">
      <c r="A4" s="94"/>
      <c r="B4" s="10"/>
      <c r="C4" s="321"/>
      <c r="D4" s="321"/>
      <c r="E4" s="321"/>
      <c r="F4" s="321"/>
      <c r="G4" s="95"/>
      <c r="H4" s="95"/>
      <c r="I4" s="95"/>
      <c r="J4" s="95"/>
      <c r="K4" s="95"/>
      <c r="L4" s="95"/>
      <c r="M4" s="278"/>
      <c r="N4" s="96"/>
      <c r="O4" s="95"/>
      <c r="P4" s="246"/>
      <c r="Q4" s="198"/>
      <c r="R4" s="95"/>
      <c r="S4" s="199"/>
      <c r="T4" s="265"/>
      <c r="U4" s="196"/>
      <c r="V4" s="196"/>
      <c r="W4" s="196"/>
      <c r="X4" s="211"/>
      <c r="Y4" s="212"/>
      <c r="Z4" s="214"/>
      <c r="AA4" s="214"/>
      <c r="AB4" s="95"/>
      <c r="AC4" s="95"/>
      <c r="AD4" s="12"/>
    </row>
    <row r="5" spans="1:30" s="11" customFormat="1" ht="20.25" customHeight="1" x14ac:dyDescent="0.35">
      <c r="A5" s="94"/>
      <c r="B5" s="10"/>
      <c r="C5" s="321"/>
      <c r="D5" s="321"/>
      <c r="E5" s="321"/>
      <c r="F5" s="321"/>
      <c r="G5" s="95"/>
      <c r="H5" s="218"/>
      <c r="I5" s="218" t="s">
        <v>275</v>
      </c>
      <c r="J5" s="328">
        <v>42565</v>
      </c>
      <c r="K5" s="328"/>
      <c r="L5" s="95"/>
      <c r="M5" s="278"/>
      <c r="N5" s="98" t="str">
        <f>IF(TOTAL_EFFORT&lt;=0, "", CHOSEN_CURRENCY&amp;" "&amp;TEXT(CEILING(($W$225/1000),1),"##,##,###")&amp;" K  ●  "&amp;TEXT(TOTAL_EFFORT,"##,##,###")&amp;" PDs ("&amp;TEXT(TOTAL_WEEKS,"##,###"&amp;" Wk)"))</f>
        <v>- 114 K  ●  506 PDs (101 Wk)</v>
      </c>
      <c r="O5" s="248"/>
      <c r="P5" s="247"/>
      <c r="Q5" s="254"/>
      <c r="R5" s="193" t="s">
        <v>88</v>
      </c>
      <c r="S5" s="194" t="s">
        <v>55</v>
      </c>
      <c r="T5" s="195">
        <v>0.25</v>
      </c>
      <c r="U5" s="196"/>
      <c r="V5" s="196"/>
      <c r="W5" s="196"/>
      <c r="X5" s="210" t="s">
        <v>187</v>
      </c>
      <c r="Y5" s="212" t="s">
        <v>191</v>
      </c>
      <c r="Z5" s="213"/>
      <c r="AA5" s="213"/>
      <c r="AB5" s="329" t="s">
        <v>110</v>
      </c>
      <c r="AC5" s="97"/>
      <c r="AD5" s="12"/>
    </row>
    <row r="6" spans="1:30" s="11" customFormat="1" ht="20.25" customHeight="1" x14ac:dyDescent="0.35">
      <c r="A6" s="94"/>
      <c r="B6" s="10"/>
      <c r="C6" s="321"/>
      <c r="D6" s="321"/>
      <c r="E6" s="321"/>
      <c r="F6" s="321"/>
      <c r="G6" s="95"/>
      <c r="H6" s="218"/>
      <c r="I6" s="218" t="s">
        <v>276</v>
      </c>
      <c r="J6" s="95" t="s">
        <v>538</v>
      </c>
      <c r="K6" s="95"/>
      <c r="L6" s="95"/>
      <c r="M6" s="279"/>
      <c r="N6" s="143" t="str">
        <f>IF(TOTAL_EFFORT&lt;=0, "", "Auto: "&amp;DURATION&amp;" Wk  ("&amp;CEILING(DURATION/4,0.5)&amp;" M)"&amp;", Manual: "&amp;MANUAL_DURATION&amp;" Wk ("&amp;CEILING(MANUAL_DURATION/4,0.5)&amp;" M)")</f>
        <v>Auto: 31.8 Wk  (8 M), Manual: -143 Wk (-35.5 M)</v>
      </c>
      <c r="O6" s="249"/>
      <c r="P6" s="247"/>
      <c r="Q6" s="245"/>
      <c r="R6" s="150" t="s">
        <v>62</v>
      </c>
      <c r="S6" s="179" t="s">
        <v>63</v>
      </c>
      <c r="T6" s="180"/>
      <c r="U6" s="196"/>
      <c r="V6" s="196"/>
      <c r="W6" s="196"/>
      <c r="X6" s="210" t="s">
        <v>188</v>
      </c>
      <c r="Y6" s="212" t="s">
        <v>189</v>
      </c>
      <c r="Z6" s="213"/>
      <c r="AA6" s="213"/>
      <c r="AB6" s="329"/>
      <c r="AC6" s="97"/>
      <c r="AD6" s="12"/>
    </row>
    <row r="7" spans="1:30" s="11" customFormat="1" ht="4.5" customHeight="1" x14ac:dyDescent="0.35">
      <c r="A7" s="94"/>
      <c r="B7" s="10"/>
      <c r="C7" s="321"/>
      <c r="D7" s="321"/>
      <c r="E7" s="321"/>
      <c r="F7" s="321"/>
      <c r="G7" s="95"/>
      <c r="H7" s="95"/>
      <c r="I7" s="95"/>
      <c r="J7" s="95"/>
      <c r="K7" s="95"/>
      <c r="L7" s="95"/>
      <c r="M7" s="278"/>
      <c r="N7" s="96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12"/>
    </row>
    <row r="8" spans="1:30" s="11" customFormat="1" ht="1.5" customHeight="1" x14ac:dyDescent="0.35">
      <c r="A8" s="93"/>
      <c r="B8" s="10"/>
      <c r="C8" s="321"/>
      <c r="D8" s="321"/>
      <c r="E8" s="321"/>
      <c r="F8" s="321"/>
      <c r="G8" s="13"/>
      <c r="H8" s="13"/>
      <c r="I8" s="13"/>
      <c r="J8" s="13"/>
      <c r="K8" s="13"/>
      <c r="L8" s="13"/>
      <c r="M8" s="280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2"/>
      <c r="AC8" s="12"/>
      <c r="AD8" s="12"/>
    </row>
    <row r="9" spans="1:30" s="11" customFormat="1" ht="15" customHeight="1" x14ac:dyDescent="0.35">
      <c r="A9" s="93"/>
      <c r="B9" s="10"/>
      <c r="C9" s="321"/>
      <c r="D9" s="321"/>
      <c r="E9" s="321"/>
      <c r="F9" s="321"/>
      <c r="G9" s="323" t="s">
        <v>131</v>
      </c>
      <c r="H9" s="323"/>
      <c r="I9" s="323"/>
      <c r="J9" s="323"/>
      <c r="K9" s="166"/>
      <c r="L9" s="154"/>
      <c r="M9" s="281"/>
      <c r="N9" s="43"/>
      <c r="O9" s="43"/>
      <c r="P9" s="43"/>
      <c r="Q9" s="244"/>
      <c r="R9" s="251" t="s">
        <v>147</v>
      </c>
      <c r="S9" s="208" t="s">
        <v>145</v>
      </c>
      <c r="T9" s="208" t="s">
        <v>146</v>
      </c>
      <c r="U9" s="244"/>
      <c r="V9" s="244"/>
      <c r="W9" s="244"/>
      <c r="X9" s="43"/>
      <c r="Y9" s="43"/>
      <c r="Z9" s="43"/>
      <c r="AA9" s="43"/>
      <c r="AB9" s="153" t="s">
        <v>175</v>
      </c>
      <c r="AC9" s="43"/>
      <c r="AD9" s="12"/>
    </row>
    <row r="10" spans="1:30" s="11" customFormat="1" ht="13.5" customHeight="1" x14ac:dyDescent="0.35">
      <c r="A10" s="93" t="s">
        <v>148</v>
      </c>
      <c r="B10" s="10"/>
      <c r="C10" s="322" t="s">
        <v>109</v>
      </c>
      <c r="D10" s="322"/>
      <c r="E10" s="322"/>
      <c r="F10" s="322"/>
      <c r="G10" s="48" t="s">
        <v>81</v>
      </c>
      <c r="H10" s="49" t="s">
        <v>80</v>
      </c>
      <c r="I10" s="183"/>
      <c r="J10" s="184"/>
      <c r="K10" s="50"/>
      <c r="L10" s="138"/>
      <c r="M10" s="282"/>
      <c r="N10" s="40"/>
      <c r="O10" s="191"/>
      <c r="P10" s="304" t="s">
        <v>57</v>
      </c>
      <c r="Q10" s="305"/>
      <c r="R10" s="306"/>
      <c r="S10" s="41"/>
      <c r="T10" s="250"/>
      <c r="U10" s="304" t="s">
        <v>58</v>
      </c>
      <c r="V10" s="305"/>
      <c r="W10" s="306"/>
      <c r="X10" s="252" t="s">
        <v>89</v>
      </c>
      <c r="Y10" s="69"/>
      <c r="Z10" s="42"/>
      <c r="AA10" s="221"/>
      <c r="AB10" s="40"/>
      <c r="AC10" s="40"/>
      <c r="AD10" s="12"/>
    </row>
    <row r="11" spans="1:30" s="11" customFormat="1" ht="15" customHeight="1" x14ac:dyDescent="0.35">
      <c r="A11" s="93" t="s">
        <v>104</v>
      </c>
      <c r="B11" s="10"/>
      <c r="C11" s="322" t="s">
        <v>152</v>
      </c>
      <c r="D11" s="322"/>
      <c r="E11" s="322"/>
      <c r="F11" s="322"/>
      <c r="G11" s="9" t="s">
        <v>60</v>
      </c>
      <c r="H11" s="51" t="s">
        <v>2</v>
      </c>
      <c r="I11" s="177" t="s">
        <v>133</v>
      </c>
      <c r="J11" s="51" t="s">
        <v>1</v>
      </c>
      <c r="K11" s="7" t="s">
        <v>48</v>
      </c>
      <c r="L11" s="77"/>
      <c r="M11" s="283" t="s">
        <v>82</v>
      </c>
      <c r="N11" s="77"/>
      <c r="O11" s="192" t="s">
        <v>430</v>
      </c>
      <c r="P11" s="7" t="s">
        <v>3</v>
      </c>
      <c r="Q11" s="52" t="s">
        <v>153</v>
      </c>
      <c r="R11" s="51" t="s">
        <v>51</v>
      </c>
      <c r="S11" s="319" t="s">
        <v>59</v>
      </c>
      <c r="T11" s="320"/>
      <c r="U11" s="8" t="s">
        <v>46</v>
      </c>
      <c r="V11" s="8" t="s">
        <v>90</v>
      </c>
      <c r="W11" s="182" t="s">
        <v>47</v>
      </c>
      <c r="X11" s="51" t="s">
        <v>57</v>
      </c>
      <c r="Y11" s="7" t="s">
        <v>64</v>
      </c>
      <c r="Z11" s="51" t="s">
        <v>50</v>
      </c>
      <c r="AA11" s="51" t="s">
        <v>139</v>
      </c>
      <c r="AB11" s="190" t="s">
        <v>444</v>
      </c>
      <c r="AC11" s="6"/>
      <c r="AD11" s="12"/>
    </row>
    <row r="12" spans="1:30" s="17" customFormat="1" ht="18.5" x14ac:dyDescent="0.35">
      <c r="A12" s="93" t="s">
        <v>98</v>
      </c>
      <c r="B12" s="14"/>
      <c r="C12" s="325" t="s">
        <v>150</v>
      </c>
      <c r="D12" s="326"/>
      <c r="E12" s="326"/>
      <c r="F12" s="201" t="s">
        <v>149</v>
      </c>
      <c r="G12" s="55"/>
      <c r="H12" s="55"/>
      <c r="I12" s="55"/>
      <c r="J12" s="55"/>
      <c r="K12" s="55"/>
      <c r="L12" s="55" t="s">
        <v>0</v>
      </c>
      <c r="M12" s="284" t="s">
        <v>49</v>
      </c>
      <c r="N12" s="215"/>
      <c r="O12" s="57"/>
      <c r="P12" s="58"/>
      <c r="Q12" s="58"/>
      <c r="R12" s="58"/>
      <c r="S12" s="302">
        <f>CEILING(SUMIF(J13:J58, "&lt;&gt;Yes", T13:T58),1)</f>
        <v>193</v>
      </c>
      <c r="T12" s="302"/>
      <c r="U12" s="58"/>
      <c r="V12" s="58"/>
      <c r="W12" s="58"/>
      <c r="X12" s="58"/>
      <c r="Y12" s="58"/>
      <c r="Z12" s="58"/>
      <c r="AA12" s="58"/>
      <c r="AB12" s="58"/>
      <c r="AC12" s="58"/>
      <c r="AD12" s="16"/>
    </row>
    <row r="13" spans="1:30" s="11" customFormat="1" ht="3" customHeight="1" outlineLevel="1" x14ac:dyDescent="0.35">
      <c r="A13" s="93" t="s">
        <v>99</v>
      </c>
      <c r="B13" s="18"/>
      <c r="C13" s="202"/>
      <c r="D13" s="202"/>
      <c r="E13" s="202"/>
      <c r="F13" s="202"/>
      <c r="G13" s="28"/>
      <c r="H13" s="28"/>
      <c r="I13" s="28"/>
      <c r="J13" s="28"/>
      <c r="K13" s="28"/>
      <c r="L13" s="29">
        <v>0</v>
      </c>
      <c r="M13" s="285"/>
      <c r="N13" s="28"/>
      <c r="O13" s="28"/>
      <c r="P13" s="28"/>
      <c r="Q13" s="28"/>
      <c r="R13" s="28"/>
      <c r="S13" s="28"/>
      <c r="T13" s="30"/>
      <c r="U13" s="28"/>
      <c r="V13" s="28"/>
      <c r="W13" s="28"/>
      <c r="X13" s="30"/>
      <c r="Y13" s="28"/>
      <c r="Z13" s="28"/>
      <c r="AA13" s="28"/>
      <c r="AB13" s="31"/>
      <c r="AC13" s="31"/>
      <c r="AD13" s="12"/>
    </row>
    <row r="14" spans="1:30" s="17" customFormat="1" ht="15.5" outlineLevel="1" x14ac:dyDescent="0.35">
      <c r="A14" s="93" t="s">
        <v>100</v>
      </c>
      <c r="B14" s="21"/>
      <c r="C14" s="84"/>
      <c r="D14" s="84"/>
      <c r="E14" s="84"/>
      <c r="F14" s="83"/>
      <c r="G14" s="32"/>
      <c r="H14" s="32"/>
      <c r="I14" s="32"/>
      <c r="J14" s="32"/>
      <c r="K14" s="32"/>
      <c r="L14" s="20">
        <f ca="1">LOOKUP(1000,INDIRECT("L1:"&amp;CELL("address",INDIRECT("R[-1]C",FALSE))))+1</f>
        <v>1</v>
      </c>
      <c r="M14" s="301" t="s">
        <v>458</v>
      </c>
      <c r="N14" s="301"/>
      <c r="O14" s="5"/>
      <c r="P14" s="33"/>
      <c r="Q14" s="33"/>
      <c r="R14" s="33"/>
      <c r="S14" s="33"/>
      <c r="T14" s="167">
        <f>IF($S$6="Exclude", SUMIFS(S15:S19, J15:J19, "&lt;&gt;Yes", G15:G19, "&lt;&gt;Yes"), SUMIFS(S15:S19, J15:J19, "&lt;&gt;Yes"))</f>
        <v>21</v>
      </c>
      <c r="U14" s="33"/>
      <c r="V14" s="33"/>
      <c r="W14" s="33"/>
      <c r="X14" s="34"/>
      <c r="Y14" s="35"/>
      <c r="Z14" s="35"/>
      <c r="AA14" s="35"/>
      <c r="AB14" s="240"/>
      <c r="AC14" s="36"/>
      <c r="AD14" s="26" t="str">
        <f>IF(M14="", "Error: Task name cannot be empty.", "")</f>
        <v/>
      </c>
    </row>
    <row r="15" spans="1:30" s="15" customFormat="1" ht="1.5" customHeight="1" outlineLevel="2" x14ac:dyDescent="0.35">
      <c r="A15" s="93" t="s">
        <v>101</v>
      </c>
      <c r="B15" s="21"/>
      <c r="C15" s="84"/>
      <c r="D15" s="84"/>
      <c r="E15" s="84"/>
      <c r="F15" s="83"/>
      <c r="G15" s="32"/>
      <c r="H15" s="32"/>
      <c r="I15" s="32"/>
      <c r="J15" s="32"/>
      <c r="K15" s="32"/>
      <c r="L15" s="175">
        <f ca="1">L14</f>
        <v>1</v>
      </c>
      <c r="M15" s="176" t="s">
        <v>105</v>
      </c>
      <c r="N15" s="173"/>
      <c r="O15" s="174"/>
      <c r="P15" s="33"/>
      <c r="Q15" s="33"/>
      <c r="R15" s="33"/>
      <c r="S15" s="33"/>
      <c r="T15" s="167"/>
      <c r="U15" s="33"/>
      <c r="V15" s="33"/>
      <c r="W15" s="33"/>
      <c r="X15" s="34"/>
      <c r="Y15" s="35"/>
      <c r="Z15" s="35"/>
      <c r="AA15" s="35"/>
      <c r="AB15" s="36"/>
      <c r="AC15" s="36"/>
      <c r="AD15" s="26"/>
    </row>
    <row r="16" spans="1:30" ht="43.5" outlineLevel="2" x14ac:dyDescent="0.35">
      <c r="A16" s="93" t="s">
        <v>0</v>
      </c>
      <c r="B16" s="21"/>
      <c r="C16" s="85"/>
      <c r="D16" s="85"/>
      <c r="E16" s="85"/>
      <c r="F16" s="86"/>
      <c r="G16" s="22" t="s">
        <v>6</v>
      </c>
      <c r="H16" s="22" t="s">
        <v>23</v>
      </c>
      <c r="I16" s="23" t="s">
        <v>23</v>
      </c>
      <c r="J16" s="22" t="s">
        <v>23</v>
      </c>
      <c r="K16" s="38" t="s">
        <v>526</v>
      </c>
      <c r="L16" s="22"/>
      <c r="M16" s="286" t="str">
        <f ca="1">IFERROR(OFFSET(M16,-1,,1,1)+0.1,OFFSET(M16,-1,-1,1,1)&amp;".1")</f>
        <v>1.1</v>
      </c>
      <c r="N16" s="23" t="s">
        <v>577</v>
      </c>
      <c r="O16" s="23"/>
      <c r="P16" s="23" t="s">
        <v>600</v>
      </c>
      <c r="Q16" s="144">
        <v>3</v>
      </c>
      <c r="R16" s="137">
        <v>2.5</v>
      </c>
      <c r="S16" s="169">
        <f>CEILING((IF(J16="Yes", 0, IF(H16="-",AA16,AA16+AA16*VLOOKUP(H16,BUFFERS_BY_TYPE,2,FALSE)))) +
   (IF(J16="Yes", 0, IF(H16="-",AA16,AA16+AA16*VLOOKUP(H16,BUFFERS_BY_TYPE,2,FALSE))))*VLOOKUP($S$5, SALES_CALL_SCALE_ARRAY, 2,FALSE),0.25)</f>
        <v>3</v>
      </c>
      <c r="T16" s="170"/>
      <c r="U16" s="24">
        <v>0</v>
      </c>
      <c r="V16" s="24">
        <v>1</v>
      </c>
      <c r="W16" s="24">
        <v>0</v>
      </c>
      <c r="X16" s="168">
        <v>0.4</v>
      </c>
      <c r="Y16" s="169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>3</v>
      </c>
      <c r="Z16" s="25"/>
      <c r="AA16" s="169">
        <f>Y16+Y16*VLOOKUP(I16,EXTRAS_ARRAY,2,FALSE)</f>
        <v>3</v>
      </c>
      <c r="AB16" s="23" t="s">
        <v>578</v>
      </c>
      <c r="AC16" s="37"/>
      <c r="AD16" s="26" t="str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spans="1:30" ht="29" outlineLevel="2" x14ac:dyDescent="0.35">
      <c r="A17" s="93" t="s">
        <v>0</v>
      </c>
      <c r="B17" s="21"/>
      <c r="C17" s="85"/>
      <c r="D17" s="85"/>
      <c r="E17" s="85"/>
      <c r="F17" s="86"/>
      <c r="G17" s="22" t="s">
        <v>23</v>
      </c>
      <c r="H17" s="22" t="s">
        <v>23</v>
      </c>
      <c r="I17" s="23" t="s">
        <v>23</v>
      </c>
      <c r="J17" s="22" t="s">
        <v>23</v>
      </c>
      <c r="K17" s="38"/>
      <c r="L17" s="22"/>
      <c r="M17" s="286">
        <f ca="1">IFERROR(OFFSET(M17,-1,,1,1)+0.1,OFFSET(M17,-1,-1,1,1)&amp;".1")</f>
        <v>1.2000000000000002</v>
      </c>
      <c r="N17" s="23" t="s">
        <v>540</v>
      </c>
      <c r="O17" s="23"/>
      <c r="P17" s="23" t="s">
        <v>600</v>
      </c>
      <c r="Q17" s="144">
        <v>4</v>
      </c>
      <c r="R17" s="137">
        <v>2</v>
      </c>
      <c r="S17" s="169">
        <f>CEILING((IF(J17="Yes", 0, IF(H17="-",AA17,AA17+AA17*VLOOKUP(H17,BUFFERS_BY_TYPE,2,FALSE)))) +
   (IF(J17="Yes", 0, IF(H17="-",AA17,AA17+AA17*VLOOKUP(H17,BUFFERS_BY_TYPE,2,FALSE))))*VLOOKUP($S$5, SALES_CALL_SCALE_ARRAY, 2,FALSE),0.25)</f>
        <v>5</v>
      </c>
      <c r="T17" s="170"/>
      <c r="U17" s="24">
        <v>0</v>
      </c>
      <c r="V17" s="24">
        <v>1</v>
      </c>
      <c r="W17" s="24">
        <v>0</v>
      </c>
      <c r="X17" s="168">
        <v>0.6</v>
      </c>
      <c r="Y17" s="169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>5</v>
      </c>
      <c r="Z17" s="25"/>
      <c r="AA17" s="169">
        <f>Y17+Y17*VLOOKUP(I17,EXTRAS_ARRAY,2,FALSE)</f>
        <v>5</v>
      </c>
      <c r="AB17" s="23" t="s">
        <v>579</v>
      </c>
      <c r="AC17" s="37"/>
      <c r="AD17" s="26" t="str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spans="1:30" ht="130.5" outlineLevel="2" x14ac:dyDescent="0.35">
      <c r="A18" s="93" t="s">
        <v>0</v>
      </c>
      <c r="B18" s="21"/>
      <c r="C18" s="85"/>
      <c r="D18" s="85"/>
      <c r="E18" s="85"/>
      <c r="F18" s="86"/>
      <c r="G18" s="22" t="s">
        <v>23</v>
      </c>
      <c r="H18" s="22" t="s">
        <v>23</v>
      </c>
      <c r="I18" s="23" t="s">
        <v>23</v>
      </c>
      <c r="J18" s="22" t="s">
        <v>23</v>
      </c>
      <c r="K18" s="38"/>
      <c r="L18" s="22"/>
      <c r="M18" s="286">
        <f ca="1">IFERROR(OFFSET(M18,-1,,1,1)+0.1,OFFSET(M18,-1,-1,1,1)&amp;".1")</f>
        <v>1.3000000000000003</v>
      </c>
      <c r="N18" s="23" t="s">
        <v>545</v>
      </c>
      <c r="O18" s="23"/>
      <c r="P18" s="23" t="s">
        <v>601</v>
      </c>
      <c r="Q18" s="144">
        <v>50</v>
      </c>
      <c r="R18" s="137">
        <v>1</v>
      </c>
      <c r="S18" s="169">
        <f>CEILING((IF(J18="Yes", 0, IF(H18="-",AA18,AA18+AA18*VLOOKUP(H18,BUFFERS_BY_TYPE,2,FALSE)))) +
   (IF(J18="Yes", 0, IF(H18="-",AA18,AA18+AA18*VLOOKUP(H18,BUFFERS_BY_TYPE,2,FALSE))))*VLOOKUP($S$5, SALES_CALL_SCALE_ARRAY, 2,FALSE),0.25)</f>
        <v>13</v>
      </c>
      <c r="T18" s="170"/>
      <c r="U18" s="24">
        <v>0.2</v>
      </c>
      <c r="V18" s="24">
        <v>0.5</v>
      </c>
      <c r="W18" s="24">
        <v>0.3</v>
      </c>
      <c r="X18" s="168">
        <v>0.25</v>
      </c>
      <c r="Y18" s="169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>13</v>
      </c>
      <c r="Z18" s="25"/>
      <c r="AA18" s="169">
        <f>Y18+Y18*VLOOKUP(I18,EXTRAS_ARRAY,2,FALSE)</f>
        <v>13</v>
      </c>
      <c r="AB18" s="23"/>
      <c r="AC18" s="37"/>
      <c r="AD18" s="26" t="str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spans="1:30" s="11" customFormat="1" ht="7.5" customHeight="1" outlineLevel="2" x14ac:dyDescent="0.35">
      <c r="A19" s="93" t="s">
        <v>132</v>
      </c>
      <c r="B19" s="18"/>
      <c r="C19" s="78"/>
      <c r="D19" s="78"/>
      <c r="E19" s="78"/>
      <c r="F19" s="78"/>
      <c r="G19" s="10"/>
      <c r="H19" s="10"/>
      <c r="I19" s="10"/>
      <c r="J19" s="10"/>
      <c r="K19" s="10"/>
      <c r="L19" s="10"/>
      <c r="M19" s="287"/>
      <c r="N19" s="10"/>
      <c r="O19" s="10"/>
      <c r="P19" s="10"/>
      <c r="Q19" s="10"/>
      <c r="R19" s="10"/>
      <c r="S19" s="10"/>
      <c r="T19" s="18"/>
      <c r="U19" s="10"/>
      <c r="V19" s="10"/>
      <c r="W19" s="10"/>
      <c r="X19" s="18"/>
      <c r="Y19" s="10"/>
      <c r="Z19" s="10"/>
      <c r="AA19" s="10"/>
      <c r="AB19" s="60"/>
      <c r="AC19" s="60"/>
      <c r="AD19" s="12"/>
    </row>
    <row r="20" spans="1:30" s="17" customFormat="1" ht="15.5" outlineLevel="1" x14ac:dyDescent="0.35">
      <c r="A20" s="93" t="s">
        <v>100</v>
      </c>
      <c r="B20" s="21"/>
      <c r="C20" s="84"/>
      <c r="D20" s="84"/>
      <c r="E20" s="84"/>
      <c r="F20" s="83"/>
      <c r="G20" s="32"/>
      <c r="H20" s="32"/>
      <c r="I20" s="32"/>
      <c r="J20" s="32"/>
      <c r="K20" s="32"/>
      <c r="L20" s="20">
        <f ca="1">LOOKUP(1000,INDIRECT("L1:"&amp;CELL("address",INDIRECT("R[-1]C",FALSE))))+1</f>
        <v>2</v>
      </c>
      <c r="M20" s="301" t="s">
        <v>459</v>
      </c>
      <c r="N20" s="301"/>
      <c r="O20" s="5"/>
      <c r="P20" s="33"/>
      <c r="Q20" s="33"/>
      <c r="R20" s="33"/>
      <c r="S20" s="33"/>
      <c r="T20" s="167">
        <f>IF($S$6="Exclude", SUMIFS(S21:S25, J21:J25, "&lt;&gt;Yes", G21:G25, "&lt;&gt;Yes"), SUMIFS(S21:S25, J21:J25, "&lt;&gt;Yes"))</f>
        <v>31.25</v>
      </c>
      <c r="U20" s="33"/>
      <c r="V20" s="33"/>
      <c r="W20" s="33"/>
      <c r="X20" s="34"/>
      <c r="Y20" s="35"/>
      <c r="Z20" s="35"/>
      <c r="AA20" s="35"/>
      <c r="AB20" s="240"/>
      <c r="AC20" s="36"/>
      <c r="AD20" s="26" t="str">
        <f>IF(M20="", "Error: Task name cannot be empty.", "")</f>
        <v/>
      </c>
    </row>
    <row r="21" spans="1:30" s="15" customFormat="1" ht="1.5" customHeight="1" outlineLevel="2" x14ac:dyDescent="0.35">
      <c r="A21" s="93" t="s">
        <v>101</v>
      </c>
      <c r="B21" s="21"/>
      <c r="C21" s="84"/>
      <c r="D21" s="84"/>
      <c r="E21" s="84"/>
      <c r="F21" s="83"/>
      <c r="G21" s="32"/>
      <c r="H21" s="32"/>
      <c r="I21" s="32"/>
      <c r="J21" s="32"/>
      <c r="K21" s="32"/>
      <c r="L21" s="175">
        <f ca="1">L20</f>
        <v>2</v>
      </c>
      <c r="M21" s="176" t="s">
        <v>105</v>
      </c>
      <c r="N21" s="173"/>
      <c r="O21" s="174"/>
      <c r="P21" s="33"/>
      <c r="Q21" s="33"/>
      <c r="R21" s="33"/>
      <c r="S21" s="33"/>
      <c r="T21" s="167"/>
      <c r="U21" s="33"/>
      <c r="V21" s="33"/>
      <c r="W21" s="33"/>
      <c r="X21" s="34"/>
      <c r="Y21" s="35"/>
      <c r="Z21" s="35"/>
      <c r="AA21" s="35"/>
      <c r="AB21" s="36"/>
      <c r="AC21" s="36"/>
      <c r="AD21" s="26"/>
    </row>
    <row r="22" spans="1:30" ht="43.5" outlineLevel="2" x14ac:dyDescent="0.35">
      <c r="A22" s="93" t="s">
        <v>0</v>
      </c>
      <c r="B22" s="21"/>
      <c r="C22" s="85"/>
      <c r="D22" s="85"/>
      <c r="E22" s="85"/>
      <c r="F22" s="86"/>
      <c r="G22" s="22" t="s">
        <v>23</v>
      </c>
      <c r="H22" s="22" t="s">
        <v>23</v>
      </c>
      <c r="I22" s="23" t="s">
        <v>23</v>
      </c>
      <c r="J22" s="22" t="s">
        <v>23</v>
      </c>
      <c r="K22" s="38"/>
      <c r="L22" s="22"/>
      <c r="M22" s="286" t="str">
        <f ca="1">IFERROR(OFFSET(M22,-1,,1,1)+0.1,OFFSET(M22,-1,-1,1,1)&amp;".1")</f>
        <v>2.1</v>
      </c>
      <c r="N22" s="23" t="s">
        <v>546</v>
      </c>
      <c r="O22" s="23"/>
      <c r="P22" s="23"/>
      <c r="Q22" s="144">
        <v>13</v>
      </c>
      <c r="R22" s="137">
        <v>1</v>
      </c>
      <c r="S22" s="169">
        <f>CEILING((IF(J22="Yes", 0, IF(H22="-",AA22,AA22+AA22*VLOOKUP(H22,BUFFERS_BY_TYPE,2,FALSE)))) +
   (IF(J22="Yes", 0, IF(H22="-",AA22,AA22+AA22*VLOOKUP(H22,BUFFERS_BY_TYPE,2,FALSE))))*VLOOKUP($S$5, SALES_CALL_SCALE_ARRAY, 2,FALSE),0.25)</f>
        <v>2.75</v>
      </c>
      <c r="T22" s="170"/>
      <c r="U22" s="24">
        <v>0</v>
      </c>
      <c r="V22" s="24">
        <v>1</v>
      </c>
      <c r="W22" s="24">
        <v>0</v>
      </c>
      <c r="X22" s="168">
        <v>0.2</v>
      </c>
      <c r="Y22" s="169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>2.75</v>
      </c>
      <c r="Z22" s="25"/>
      <c r="AA22" s="169">
        <f>Y22+Y22*VLOOKUP(I22,EXTRAS_ARRAY,2,FALSE)</f>
        <v>2.75</v>
      </c>
      <c r="AB22" s="23" t="s">
        <v>580</v>
      </c>
      <c r="AC22" s="37"/>
      <c r="AD22" s="26" t="str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spans="1:30" ht="29" outlineLevel="2" x14ac:dyDescent="0.35">
      <c r="A23" s="93" t="s">
        <v>0</v>
      </c>
      <c r="B23" s="21"/>
      <c r="C23" s="85"/>
      <c r="D23" s="85"/>
      <c r="E23" s="85"/>
      <c r="F23" s="86"/>
      <c r="G23" s="22" t="s">
        <v>23</v>
      </c>
      <c r="H23" s="22" t="s">
        <v>23</v>
      </c>
      <c r="I23" s="23" t="s">
        <v>23</v>
      </c>
      <c r="J23" s="22" t="s">
        <v>23</v>
      </c>
      <c r="K23" s="38"/>
      <c r="L23" s="22"/>
      <c r="M23" s="286">
        <f ca="1">IFERROR(OFFSET(M23,-1,,1,1)+0.1,OFFSET(M23,-1,-1,1,1)&amp;".1")</f>
        <v>2.2000000000000002</v>
      </c>
      <c r="N23" s="23" t="s">
        <v>460</v>
      </c>
      <c r="O23" s="23" t="s">
        <v>528</v>
      </c>
      <c r="P23" s="23"/>
      <c r="Q23" s="144">
        <v>15</v>
      </c>
      <c r="R23" s="137"/>
      <c r="S23" s="169">
        <f>CEILING((IF(J23="Yes", 0, IF(H23="-",AA23,AA23+AA23*VLOOKUP(H23,BUFFERS_BY_TYPE,2,FALSE)))) +
   (IF(J23="Yes", 0, IF(H23="-",AA23,AA23+AA23*VLOOKUP(H23,BUFFERS_BY_TYPE,2,FALSE))))*VLOOKUP($S$5, SALES_CALL_SCALE_ARRAY, 2,FALSE),0.25)</f>
        <v>25.5</v>
      </c>
      <c r="T23" s="170"/>
      <c r="U23" s="24">
        <v>0</v>
      </c>
      <c r="V23" s="24">
        <v>1</v>
      </c>
      <c r="W23" s="24">
        <v>0</v>
      </c>
      <c r="X23" s="168">
        <v>1.7</v>
      </c>
      <c r="Y23" s="169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>25.5</v>
      </c>
      <c r="Z23" s="25"/>
      <c r="AA23" s="169">
        <f>Y23+Y23*VLOOKUP(I23,EXTRAS_ARRAY,2,FALSE)</f>
        <v>25.5</v>
      </c>
      <c r="AB23" s="23" t="s">
        <v>581</v>
      </c>
      <c r="AC23" s="37"/>
      <c r="AD23" s="26" t="str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spans="1:30" ht="43.5" outlineLevel="2" x14ac:dyDescent="0.35">
      <c r="A24" s="93" t="s">
        <v>0</v>
      </c>
      <c r="B24" s="21"/>
      <c r="C24" s="85"/>
      <c r="D24" s="85"/>
      <c r="E24" s="85"/>
      <c r="F24" s="86"/>
      <c r="G24" s="22" t="s">
        <v>23</v>
      </c>
      <c r="H24" s="22" t="s">
        <v>23</v>
      </c>
      <c r="I24" s="23" t="s">
        <v>23</v>
      </c>
      <c r="J24" s="22" t="s">
        <v>23</v>
      </c>
      <c r="K24" s="38" t="s">
        <v>527</v>
      </c>
      <c r="L24" s="22"/>
      <c r="M24" s="286">
        <f ca="1">IFERROR(OFFSET(M24,-1,,1,1)+0.1,OFFSET(M24,-1,-1,1,1)&amp;".1")</f>
        <v>2.3000000000000003</v>
      </c>
      <c r="N24" s="23" t="s">
        <v>461</v>
      </c>
      <c r="O24" s="23"/>
      <c r="P24" s="23" t="s">
        <v>600</v>
      </c>
      <c r="Q24" s="144">
        <v>3</v>
      </c>
      <c r="R24" s="137">
        <v>2</v>
      </c>
      <c r="S24" s="169">
        <f>CEILING((IF(J24="Yes", 0, IF(H24="-",AA24,AA24+AA24*VLOOKUP(H24,BUFFERS_BY_TYPE,2,FALSE)))) +
   (IF(J24="Yes", 0, IF(H24="-",AA24,AA24+AA24*VLOOKUP(H24,BUFFERS_BY_TYPE,2,FALSE))))*VLOOKUP($S$5, SALES_CALL_SCALE_ARRAY, 2,FALSE),0.25)</f>
        <v>3</v>
      </c>
      <c r="T24" s="170"/>
      <c r="U24" s="24">
        <v>0</v>
      </c>
      <c r="V24" s="24">
        <v>1</v>
      </c>
      <c r="W24" s="24">
        <v>0</v>
      </c>
      <c r="X24" s="168">
        <v>0.5</v>
      </c>
      <c r="Y24" s="169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>3</v>
      </c>
      <c r="Z24" s="25"/>
      <c r="AA24" s="169">
        <f>Y24+Y24*VLOOKUP(I24,EXTRAS_ARRAY,2,FALSE)</f>
        <v>3</v>
      </c>
      <c r="AB24" s="23" t="s">
        <v>582</v>
      </c>
      <c r="AC24" s="37"/>
      <c r="AD24" s="26" t="str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spans="1:30" s="11" customFormat="1" ht="7.5" customHeight="1" outlineLevel="2" x14ac:dyDescent="0.35">
      <c r="A25" s="93" t="s">
        <v>132</v>
      </c>
      <c r="B25" s="18"/>
      <c r="C25" s="78"/>
      <c r="D25" s="78"/>
      <c r="E25" s="78"/>
      <c r="F25" s="78"/>
      <c r="G25" s="10"/>
      <c r="H25" s="10"/>
      <c r="I25" s="10"/>
      <c r="J25" s="10"/>
      <c r="K25" s="10"/>
      <c r="L25" s="10"/>
      <c r="M25" s="287"/>
      <c r="N25" s="10"/>
      <c r="O25" s="10"/>
      <c r="P25" s="10"/>
      <c r="Q25" s="10"/>
      <c r="R25" s="10"/>
      <c r="S25" s="10"/>
      <c r="T25" s="18"/>
      <c r="U25" s="10"/>
      <c r="V25" s="10"/>
      <c r="W25" s="10"/>
      <c r="X25" s="18"/>
      <c r="Y25" s="10"/>
      <c r="Z25" s="10"/>
      <c r="AA25" s="10"/>
      <c r="AB25" s="60"/>
      <c r="AC25" s="60"/>
      <c r="AD25" s="12"/>
    </row>
    <row r="26" spans="1:30" s="17" customFormat="1" ht="15.5" outlineLevel="1" x14ac:dyDescent="0.35">
      <c r="A26" s="93" t="s">
        <v>100</v>
      </c>
      <c r="B26" s="21"/>
      <c r="C26" s="84"/>
      <c r="D26" s="84"/>
      <c r="E26" s="84"/>
      <c r="F26" s="83"/>
      <c r="G26" s="32"/>
      <c r="H26" s="32"/>
      <c r="I26" s="32"/>
      <c r="J26" s="32"/>
      <c r="K26" s="32"/>
      <c r="L26" s="20">
        <f ca="1">LOOKUP(1000,INDIRECT("L1:"&amp;CELL("address",INDIRECT("R[-1]C",FALSE))))+1</f>
        <v>3</v>
      </c>
      <c r="M26" s="301" t="s">
        <v>539</v>
      </c>
      <c r="N26" s="301"/>
      <c r="O26" s="5"/>
      <c r="P26" s="33"/>
      <c r="Q26" s="33"/>
      <c r="R26" s="33"/>
      <c r="S26" s="33"/>
      <c r="T26" s="167">
        <f>IF($S$6="Exclude", SUMIFS(S27:S32, J27:J32, "&lt;&gt;Yes", G27:G32, "&lt;&gt;Yes"), SUMIFS(S27:S32, J27:J32, "&lt;&gt;Yes"))</f>
        <v>19</v>
      </c>
      <c r="U26" s="33"/>
      <c r="V26" s="33"/>
      <c r="W26" s="33"/>
      <c r="X26" s="34"/>
      <c r="Y26" s="35"/>
      <c r="Z26" s="35"/>
      <c r="AA26" s="35"/>
      <c r="AB26" s="240"/>
      <c r="AC26" s="36"/>
      <c r="AD26" s="26" t="str">
        <f>IF(M26="", "Error: Task name cannot be empty.", "")</f>
        <v/>
      </c>
    </row>
    <row r="27" spans="1:30" s="15" customFormat="1" ht="1.5" customHeight="1" outlineLevel="2" x14ac:dyDescent="0.35">
      <c r="A27" s="93" t="s">
        <v>101</v>
      </c>
      <c r="B27" s="21"/>
      <c r="C27" s="84"/>
      <c r="D27" s="84"/>
      <c r="E27" s="84"/>
      <c r="F27" s="83"/>
      <c r="G27" s="32"/>
      <c r="H27" s="32"/>
      <c r="I27" s="32"/>
      <c r="J27" s="32"/>
      <c r="K27" s="32"/>
      <c r="L27" s="175">
        <f ca="1">L26</f>
        <v>3</v>
      </c>
      <c r="M27" s="176" t="s">
        <v>105</v>
      </c>
      <c r="N27" s="173"/>
      <c r="O27" s="174"/>
      <c r="P27" s="33"/>
      <c r="Q27" s="33"/>
      <c r="R27" s="33"/>
      <c r="S27" s="33"/>
      <c r="T27" s="167"/>
      <c r="U27" s="33"/>
      <c r="V27" s="33"/>
      <c r="W27" s="33"/>
      <c r="X27" s="34"/>
      <c r="Y27" s="35"/>
      <c r="Z27" s="35"/>
      <c r="AA27" s="35"/>
      <c r="AB27" s="36"/>
      <c r="AC27" s="36"/>
      <c r="AD27" s="26"/>
    </row>
    <row r="28" spans="1:30" ht="43.5" outlineLevel="2" x14ac:dyDescent="0.35">
      <c r="A28" s="93" t="s">
        <v>0</v>
      </c>
      <c r="B28" s="21"/>
      <c r="C28" s="85"/>
      <c r="D28" s="85"/>
      <c r="E28" s="85"/>
      <c r="F28" s="86"/>
      <c r="G28" s="22" t="s">
        <v>23</v>
      </c>
      <c r="H28" s="22" t="s">
        <v>23</v>
      </c>
      <c r="I28" s="23" t="s">
        <v>23</v>
      </c>
      <c r="J28" s="22" t="s">
        <v>23</v>
      </c>
      <c r="K28" s="38"/>
      <c r="L28" s="22"/>
      <c r="M28" s="286" t="str">
        <f ca="1">IFERROR(OFFSET(M28,-1,,1,1)+0.1,OFFSET(M28,-1,-1,1,1)&amp;".1")</f>
        <v>3.1</v>
      </c>
      <c r="N28" s="23" t="s">
        <v>583</v>
      </c>
      <c r="O28" s="23"/>
      <c r="P28" s="23"/>
      <c r="Q28" s="144"/>
      <c r="R28" s="137"/>
      <c r="S28" s="169">
        <f>CEILING((IF(J28="Yes", 0, IF(H28="-",AA28,AA28+AA28*VLOOKUP(H28,BUFFERS_BY_TYPE,2,FALSE)))) +
   (IF(J28="Yes", 0, IF(H28="-",AA28,AA28+AA28*VLOOKUP(H28,BUFFERS_BY_TYPE,2,FALSE))))*VLOOKUP($S$5, SALES_CALL_SCALE_ARRAY, 2,FALSE),0.25)</f>
        <v>3</v>
      </c>
      <c r="T28" s="170"/>
      <c r="U28" s="24">
        <v>0</v>
      </c>
      <c r="V28" s="24">
        <v>1</v>
      </c>
      <c r="W28" s="24">
        <v>0</v>
      </c>
      <c r="X28" s="168">
        <v>3</v>
      </c>
      <c r="Y28" s="169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>3</v>
      </c>
      <c r="Z28" s="25"/>
      <c r="AA28" s="169">
        <f>Y28+Y28*VLOOKUP(I28,EXTRAS_ARRAY,2,FALSE)</f>
        <v>3</v>
      </c>
      <c r="AB28" s="23"/>
      <c r="AC28" s="37"/>
      <c r="AD28" s="26" t="str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spans="1:30" ht="15.5" outlineLevel="2" x14ac:dyDescent="0.35">
      <c r="A29" s="93" t="s">
        <v>0</v>
      </c>
      <c r="B29" s="21"/>
      <c r="C29" s="85"/>
      <c r="D29" s="85"/>
      <c r="E29" s="85"/>
      <c r="F29" s="86"/>
      <c r="G29" s="22" t="s">
        <v>23</v>
      </c>
      <c r="H29" s="22" t="s">
        <v>23</v>
      </c>
      <c r="I29" s="23" t="s">
        <v>23</v>
      </c>
      <c r="J29" s="22" t="s">
        <v>23</v>
      </c>
      <c r="K29" s="38"/>
      <c r="L29" s="22"/>
      <c r="M29" s="286">
        <f ca="1">IFERROR(OFFSET(M29,-1,,1,1)+0.1,OFFSET(M29,-1,-1,1,1)&amp;".1")</f>
        <v>3.2</v>
      </c>
      <c r="N29" s="23" t="s">
        <v>585</v>
      </c>
      <c r="O29" s="23" t="s">
        <v>548</v>
      </c>
      <c r="P29" s="23"/>
      <c r="Q29" s="144"/>
      <c r="R29" s="137">
        <v>2</v>
      </c>
      <c r="S29" s="169">
        <f>CEILING((IF(J29="Yes", 0, IF(H29="-",AA29,AA29+AA29*VLOOKUP(H29,BUFFERS_BY_TYPE,2,FALSE)))) +
   (IF(J29="Yes", 0, IF(H29="-",AA29,AA29+AA29*VLOOKUP(H29,BUFFERS_BY_TYPE,2,FALSE))))*VLOOKUP($S$5, SALES_CALL_SCALE_ARRAY, 2,FALSE),0.25)</f>
        <v>5</v>
      </c>
      <c r="T29" s="170"/>
      <c r="U29" s="24">
        <v>0</v>
      </c>
      <c r="V29" s="24">
        <v>1</v>
      </c>
      <c r="W29" s="24">
        <v>0</v>
      </c>
      <c r="X29" s="168">
        <v>5</v>
      </c>
      <c r="Y29" s="169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>5</v>
      </c>
      <c r="Z29" s="25"/>
      <c r="AA29" s="169">
        <f>Y29+Y29*VLOOKUP(I29,EXTRAS_ARRAY,2,FALSE)</f>
        <v>5</v>
      </c>
      <c r="AB29" s="23"/>
      <c r="AC29" s="37"/>
      <c r="AD29" s="26" t="str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spans="1:30" ht="15.5" outlineLevel="2" x14ac:dyDescent="0.35">
      <c r="A30" s="93" t="s">
        <v>0</v>
      </c>
      <c r="B30" s="21"/>
      <c r="C30" s="85"/>
      <c r="D30" s="85"/>
      <c r="E30" s="85"/>
      <c r="F30" s="86"/>
      <c r="G30" s="22" t="s">
        <v>23</v>
      </c>
      <c r="H30" s="22" t="s">
        <v>23</v>
      </c>
      <c r="I30" s="23" t="s">
        <v>23</v>
      </c>
      <c r="J30" s="22" t="s">
        <v>23</v>
      </c>
      <c r="K30" s="38"/>
      <c r="L30" s="22"/>
      <c r="M30" s="286">
        <f ca="1">IFERROR(OFFSET(M30,-1,,1,1)+0.1,OFFSET(M30,-1,-1,1,1)&amp;".1")</f>
        <v>3.3000000000000003</v>
      </c>
      <c r="N30" s="23" t="s">
        <v>584</v>
      </c>
      <c r="O30" s="23" t="s">
        <v>548</v>
      </c>
      <c r="P30" s="23"/>
      <c r="Q30" s="144"/>
      <c r="R30" s="137">
        <v>3</v>
      </c>
      <c r="S30" s="169">
        <f>CEILING((IF(J30="Yes", 0, IF(H30="-",AA30,AA30+AA30*VLOOKUP(H30,BUFFERS_BY_TYPE,2,FALSE)))) +
   (IF(J30="Yes", 0, IF(H30="-",AA30,AA30+AA30*VLOOKUP(H30,BUFFERS_BY_TYPE,2,FALSE))))*VLOOKUP($S$5, SALES_CALL_SCALE_ARRAY, 2,FALSE),0.25)</f>
        <v>9</v>
      </c>
      <c r="T30" s="170"/>
      <c r="U30" s="24">
        <v>0</v>
      </c>
      <c r="V30" s="24">
        <v>1</v>
      </c>
      <c r="W30" s="24">
        <v>0</v>
      </c>
      <c r="X30" s="168">
        <v>9</v>
      </c>
      <c r="Y30" s="169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>9</v>
      </c>
      <c r="Z30" s="25"/>
      <c r="AA30" s="169">
        <f>Y30+Y30*VLOOKUP(I30,EXTRAS_ARRAY,2,FALSE)</f>
        <v>9</v>
      </c>
      <c r="AB30" s="23"/>
      <c r="AC30" s="37"/>
      <c r="AD30" s="26" t="str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spans="1:30" ht="43.5" outlineLevel="2" x14ac:dyDescent="0.35">
      <c r="A31" s="93" t="s">
        <v>0</v>
      </c>
      <c r="B31" s="21"/>
      <c r="C31" s="85"/>
      <c r="D31" s="85"/>
      <c r="E31" s="85"/>
      <c r="F31" s="86"/>
      <c r="G31" s="22" t="s">
        <v>23</v>
      </c>
      <c r="H31" s="22" t="s">
        <v>23</v>
      </c>
      <c r="I31" s="23" t="s">
        <v>23</v>
      </c>
      <c r="J31" s="22" t="s">
        <v>23</v>
      </c>
      <c r="K31" s="38"/>
      <c r="L31" s="22"/>
      <c r="M31" s="286">
        <f ca="1">IFERROR(OFFSET(M31,-1,,1,1)+0.1,OFFSET(M31,-1,-1,1,1)&amp;".1")</f>
        <v>3.4000000000000004</v>
      </c>
      <c r="N31" s="23" t="s">
        <v>547</v>
      </c>
      <c r="O31" s="23"/>
      <c r="P31" s="23"/>
      <c r="Q31" s="144"/>
      <c r="R31" s="137">
        <v>2</v>
      </c>
      <c r="S31" s="169">
        <f>CEILING((IF(J31="Yes", 0, IF(H31="-",AA31,AA31+AA31*VLOOKUP(H31,BUFFERS_BY_TYPE,2,FALSE)))) +
   (IF(J31="Yes", 0, IF(H31="-",AA31,AA31+AA31*VLOOKUP(H31,BUFFERS_BY_TYPE,2,FALSE))))*VLOOKUP($S$5, SALES_CALL_SCALE_ARRAY, 2,FALSE),0.25)</f>
        <v>2</v>
      </c>
      <c r="T31" s="170"/>
      <c r="U31" s="24">
        <v>0</v>
      </c>
      <c r="V31" s="24">
        <v>1</v>
      </c>
      <c r="W31" s="24">
        <v>0</v>
      </c>
      <c r="X31" s="168">
        <v>2</v>
      </c>
      <c r="Y31" s="169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>2</v>
      </c>
      <c r="Z31" s="25"/>
      <c r="AA31" s="169">
        <f>Y31+Y31*VLOOKUP(I31,EXTRAS_ARRAY,2,FALSE)</f>
        <v>2</v>
      </c>
      <c r="AB31" s="23"/>
      <c r="AC31" s="37"/>
      <c r="AD31" s="26" t="str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spans="1:30" s="11" customFormat="1" ht="7.5" customHeight="1" outlineLevel="2" x14ac:dyDescent="0.35">
      <c r="A32" s="93" t="s">
        <v>132</v>
      </c>
      <c r="B32" s="18"/>
      <c r="C32" s="78"/>
      <c r="D32" s="78"/>
      <c r="E32" s="78"/>
      <c r="F32" s="78"/>
      <c r="G32" s="10"/>
      <c r="H32" s="10"/>
      <c r="I32" s="10"/>
      <c r="J32" s="10"/>
      <c r="K32" s="10"/>
      <c r="L32" s="10"/>
      <c r="M32" s="287"/>
      <c r="N32" s="10"/>
      <c r="O32" s="10"/>
      <c r="P32" s="10"/>
      <c r="Q32" s="10"/>
      <c r="R32" s="10"/>
      <c r="S32" s="10"/>
      <c r="T32" s="18"/>
      <c r="U32" s="10"/>
      <c r="V32" s="10"/>
      <c r="W32" s="10"/>
      <c r="X32" s="18"/>
      <c r="Y32" s="10"/>
      <c r="Z32" s="10"/>
      <c r="AA32" s="10"/>
      <c r="AB32" s="60"/>
      <c r="AC32" s="60"/>
      <c r="AD32" s="12"/>
    </row>
    <row r="33" spans="1:30" s="17" customFormat="1" ht="15.5" outlineLevel="1" x14ac:dyDescent="0.35">
      <c r="A33" s="93" t="s">
        <v>100</v>
      </c>
      <c r="B33" s="21"/>
      <c r="C33" s="84"/>
      <c r="D33" s="84"/>
      <c r="E33" s="84"/>
      <c r="F33" s="83"/>
      <c r="G33" s="32"/>
      <c r="H33" s="32"/>
      <c r="I33" s="32"/>
      <c r="J33" s="32"/>
      <c r="K33" s="32"/>
      <c r="L33" s="20">
        <f ca="1">LOOKUP(1000,INDIRECT("L1:"&amp;CELL("address",INDIRECT("R[-1]C",FALSE))))+1</f>
        <v>4</v>
      </c>
      <c r="M33" s="301" t="s">
        <v>541</v>
      </c>
      <c r="N33" s="301"/>
      <c r="O33" s="5"/>
      <c r="P33" s="33"/>
      <c r="Q33" s="33"/>
      <c r="R33" s="33"/>
      <c r="S33" s="33"/>
      <c r="T33" s="167">
        <f>IF($S$6="Exclude", SUMIFS(S34:S38, J34:J38, "&lt;&gt;Yes", G34:G38, "&lt;&gt;Yes"), SUMIFS(S34:S38, J34:J38, "&lt;&gt;Yes"))</f>
        <v>12</v>
      </c>
      <c r="U33" s="33"/>
      <c r="V33" s="33"/>
      <c r="W33" s="33"/>
      <c r="X33" s="34"/>
      <c r="Y33" s="35"/>
      <c r="Z33" s="35"/>
      <c r="AA33" s="35"/>
      <c r="AB33" s="240"/>
      <c r="AC33" s="36"/>
      <c r="AD33" s="26" t="str">
        <f>IF(M33="", "Error: Task name cannot be empty.", "")</f>
        <v/>
      </c>
    </row>
    <row r="34" spans="1:30" s="15" customFormat="1" ht="1.5" customHeight="1" outlineLevel="2" x14ac:dyDescent="0.35">
      <c r="A34" s="93" t="s">
        <v>101</v>
      </c>
      <c r="B34" s="21"/>
      <c r="C34" s="84"/>
      <c r="D34" s="84"/>
      <c r="E34" s="84"/>
      <c r="F34" s="83"/>
      <c r="G34" s="32"/>
      <c r="H34" s="32"/>
      <c r="I34" s="32"/>
      <c r="J34" s="32"/>
      <c r="K34" s="32"/>
      <c r="L34" s="175">
        <f ca="1">L33</f>
        <v>4</v>
      </c>
      <c r="M34" s="176" t="s">
        <v>105</v>
      </c>
      <c r="N34" s="173"/>
      <c r="O34" s="174"/>
      <c r="P34" s="33"/>
      <c r="Q34" s="33"/>
      <c r="R34" s="33"/>
      <c r="S34" s="33"/>
      <c r="T34" s="167"/>
      <c r="U34" s="33"/>
      <c r="V34" s="33"/>
      <c r="W34" s="33"/>
      <c r="X34" s="34"/>
      <c r="Y34" s="35"/>
      <c r="Z34" s="35"/>
      <c r="AA34" s="35"/>
      <c r="AB34" s="36"/>
      <c r="AC34" s="36"/>
      <c r="AD34" s="26"/>
    </row>
    <row r="35" spans="1:30" ht="58" outlineLevel="2" x14ac:dyDescent="0.35">
      <c r="A35" s="93" t="s">
        <v>0</v>
      </c>
      <c r="B35" s="21"/>
      <c r="C35" s="85"/>
      <c r="D35" s="85"/>
      <c r="E35" s="85"/>
      <c r="F35" s="86"/>
      <c r="G35" s="22" t="s">
        <v>23</v>
      </c>
      <c r="H35" s="22" t="s">
        <v>23</v>
      </c>
      <c r="I35" s="23" t="s">
        <v>23</v>
      </c>
      <c r="J35" s="22" t="s">
        <v>23</v>
      </c>
      <c r="K35" s="38"/>
      <c r="L35" s="22"/>
      <c r="M35" s="286" t="str">
        <f ca="1">IFERROR(OFFSET(M35,-1,,1,1)+0.1,OFFSET(M35,-1,-1,1,1)&amp;".1")</f>
        <v>4.1</v>
      </c>
      <c r="N35" s="23" t="s">
        <v>586</v>
      </c>
      <c r="O35" s="23" t="s">
        <v>548</v>
      </c>
      <c r="P35" s="23"/>
      <c r="Q35" s="144"/>
      <c r="R35" s="137">
        <v>2</v>
      </c>
      <c r="S35" s="169">
        <f>CEILING((IF(J35="Yes", 0, IF(H35="-",AA35,AA35+AA35*VLOOKUP(H35,BUFFERS_BY_TYPE,2,FALSE)))) +
   (IF(J35="Yes", 0, IF(H35="-",AA35,AA35+AA35*VLOOKUP(H35,BUFFERS_BY_TYPE,2,FALSE))))*VLOOKUP($S$5, SALES_CALL_SCALE_ARRAY, 2,FALSE),0.25)</f>
        <v>7</v>
      </c>
      <c r="T35" s="170"/>
      <c r="U35" s="24">
        <v>0</v>
      </c>
      <c r="V35" s="24">
        <v>1</v>
      </c>
      <c r="W35" s="24">
        <v>0</v>
      </c>
      <c r="X35" s="168">
        <v>7</v>
      </c>
      <c r="Y35" s="169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>7</v>
      </c>
      <c r="Z35" s="25"/>
      <c r="AA35" s="169">
        <f>Y35+Y35*VLOOKUP(I35,EXTRAS_ARRAY,2,FALSE)</f>
        <v>7</v>
      </c>
      <c r="AB35" s="23" t="s">
        <v>587</v>
      </c>
      <c r="AC35" s="37"/>
      <c r="AD35" s="26" t="str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spans="1:30" ht="15.5" outlineLevel="2" x14ac:dyDescent="0.35">
      <c r="A36" s="93" t="s">
        <v>0</v>
      </c>
      <c r="B36" s="21"/>
      <c r="C36" s="85"/>
      <c r="D36" s="85"/>
      <c r="E36" s="85"/>
      <c r="F36" s="86"/>
      <c r="G36" s="22" t="s">
        <v>23</v>
      </c>
      <c r="H36" s="22" t="s">
        <v>23</v>
      </c>
      <c r="I36" s="23" t="s">
        <v>23</v>
      </c>
      <c r="J36" s="22" t="s">
        <v>23</v>
      </c>
      <c r="K36" s="38"/>
      <c r="L36" s="22"/>
      <c r="M36" s="286">
        <f ca="1">IFERROR(OFFSET(M36,-1,,1,1)+0.1,OFFSET(M36,-1,-1,1,1)&amp;".1")</f>
        <v>4.1999999999999993</v>
      </c>
      <c r="N36" s="23" t="s">
        <v>549</v>
      </c>
      <c r="O36" s="23" t="s">
        <v>548</v>
      </c>
      <c r="P36" s="23"/>
      <c r="Q36" s="144"/>
      <c r="R36" s="137">
        <v>2</v>
      </c>
      <c r="S36" s="169">
        <f>CEILING((IF(J36="Yes", 0, IF(H36="-",AA36,AA36+AA36*VLOOKUP(H36,BUFFERS_BY_TYPE,2,FALSE)))) +
   (IF(J36="Yes", 0, IF(H36="-",AA36,AA36+AA36*VLOOKUP(H36,BUFFERS_BY_TYPE,2,FALSE))))*VLOOKUP($S$5, SALES_CALL_SCALE_ARRAY, 2,FALSE),0.25)</f>
        <v>3</v>
      </c>
      <c r="T36" s="170"/>
      <c r="U36" s="24">
        <v>0</v>
      </c>
      <c r="V36" s="24">
        <v>1</v>
      </c>
      <c r="W36" s="24">
        <v>0</v>
      </c>
      <c r="X36" s="168">
        <v>3</v>
      </c>
      <c r="Y36" s="169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>3</v>
      </c>
      <c r="Z36" s="25"/>
      <c r="AA36" s="169">
        <f>Y36+Y36*VLOOKUP(I36,EXTRAS_ARRAY,2,FALSE)</f>
        <v>3</v>
      </c>
      <c r="AB36" s="23" t="s">
        <v>587</v>
      </c>
      <c r="AC36" s="37"/>
      <c r="AD36" s="26" t="str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spans="1:30" ht="29" outlineLevel="2" x14ac:dyDescent="0.35">
      <c r="A37" s="93" t="s">
        <v>0</v>
      </c>
      <c r="B37" s="21"/>
      <c r="C37" s="85"/>
      <c r="D37" s="85"/>
      <c r="E37" s="85"/>
      <c r="F37" s="86"/>
      <c r="G37" s="22" t="s">
        <v>23</v>
      </c>
      <c r="H37" s="22" t="s">
        <v>23</v>
      </c>
      <c r="I37" s="23" t="s">
        <v>23</v>
      </c>
      <c r="J37" s="22" t="s">
        <v>23</v>
      </c>
      <c r="K37" s="38"/>
      <c r="L37" s="22"/>
      <c r="M37" s="286">
        <f ca="1">IFERROR(OFFSET(M37,-1,,1,1)+0.1,OFFSET(M37,-1,-1,1,1)&amp;".1")</f>
        <v>4.2999999999999989</v>
      </c>
      <c r="N37" s="23" t="s">
        <v>550</v>
      </c>
      <c r="O37" s="23"/>
      <c r="P37" s="23" t="s">
        <v>602</v>
      </c>
      <c r="Q37" s="144"/>
      <c r="R37" s="137">
        <v>3</v>
      </c>
      <c r="S37" s="169">
        <f>CEILING((IF(J37="Yes", 0, IF(H37="-",AA37,AA37+AA37*VLOOKUP(H37,BUFFERS_BY_TYPE,2,FALSE)))) +
   (IF(J37="Yes", 0, IF(H37="-",AA37,AA37+AA37*VLOOKUP(H37,BUFFERS_BY_TYPE,2,FALSE))))*VLOOKUP($S$5, SALES_CALL_SCALE_ARRAY, 2,FALSE),0.25)</f>
        <v>2</v>
      </c>
      <c r="T37" s="170"/>
      <c r="U37" s="24">
        <v>0</v>
      </c>
      <c r="V37" s="24">
        <v>1</v>
      </c>
      <c r="W37" s="24">
        <v>0</v>
      </c>
      <c r="X37" s="168">
        <v>2</v>
      </c>
      <c r="Y37" s="169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>2</v>
      </c>
      <c r="Z37" s="25"/>
      <c r="AA37" s="169">
        <f>Y37+Y37*VLOOKUP(I37,EXTRAS_ARRAY,2,FALSE)</f>
        <v>2</v>
      </c>
      <c r="AB37" s="23"/>
      <c r="AC37" s="37"/>
      <c r="AD37" s="26" t="str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spans="1:30" s="11" customFormat="1" ht="7.5" customHeight="1" outlineLevel="2" x14ac:dyDescent="0.35">
      <c r="A38" s="93" t="s">
        <v>132</v>
      </c>
      <c r="B38" s="18"/>
      <c r="C38" s="78"/>
      <c r="D38" s="78"/>
      <c r="E38" s="78"/>
      <c r="F38" s="78"/>
      <c r="G38" s="10"/>
      <c r="H38" s="10"/>
      <c r="I38" s="10"/>
      <c r="J38" s="10"/>
      <c r="K38" s="10"/>
      <c r="L38" s="10"/>
      <c r="M38" s="287"/>
      <c r="N38" s="10"/>
      <c r="O38" s="10"/>
      <c r="P38" s="10"/>
      <c r="Q38" s="10"/>
      <c r="R38" s="10"/>
      <c r="S38" s="10"/>
      <c r="T38" s="18"/>
      <c r="U38" s="10"/>
      <c r="V38" s="10"/>
      <c r="W38" s="10"/>
      <c r="X38" s="18"/>
      <c r="Y38" s="10"/>
      <c r="Z38" s="10"/>
      <c r="AA38" s="10"/>
      <c r="AB38" s="60"/>
      <c r="AC38" s="60"/>
      <c r="AD38" s="12"/>
    </row>
    <row r="39" spans="1:30" s="17" customFormat="1" ht="15.5" outlineLevel="1" x14ac:dyDescent="0.35">
      <c r="A39" s="93" t="s">
        <v>100</v>
      </c>
      <c r="B39" s="21"/>
      <c r="C39" s="84"/>
      <c r="D39" s="84"/>
      <c r="E39" s="84"/>
      <c r="F39" s="83"/>
      <c r="G39" s="32"/>
      <c r="H39" s="32"/>
      <c r="I39" s="32"/>
      <c r="J39" s="32"/>
      <c r="K39" s="32"/>
      <c r="L39" s="20">
        <f ca="1">LOOKUP(1000,INDIRECT("L1:"&amp;CELL("address",INDIRECT("R[-1]C",FALSE))))+1</f>
        <v>5</v>
      </c>
      <c r="M39" s="301" t="s">
        <v>542</v>
      </c>
      <c r="N39" s="301"/>
      <c r="O39" s="5"/>
      <c r="P39" s="33"/>
      <c r="Q39" s="33"/>
      <c r="R39" s="33"/>
      <c r="S39" s="33"/>
      <c r="T39" s="167">
        <f>IF($S$6="Exclude", SUMIFS(S40:S44, J40:J44, "&lt;&gt;Yes", G40:G44, "&lt;&gt;Yes"), SUMIFS(S40:S44, J40:J44, "&lt;&gt;Yes"))</f>
        <v>41</v>
      </c>
      <c r="U39" s="33"/>
      <c r="V39" s="33"/>
      <c r="W39" s="33"/>
      <c r="X39" s="34"/>
      <c r="Y39" s="35"/>
      <c r="Z39" s="35"/>
      <c r="AA39" s="35"/>
      <c r="AB39" s="240"/>
      <c r="AC39" s="36"/>
      <c r="AD39" s="26" t="str">
        <f>IF(M39="", "Error: Task name cannot be empty.", "")</f>
        <v/>
      </c>
    </row>
    <row r="40" spans="1:30" s="15" customFormat="1" ht="1.5" customHeight="1" outlineLevel="2" x14ac:dyDescent="0.35">
      <c r="A40" s="93" t="s">
        <v>101</v>
      </c>
      <c r="B40" s="21"/>
      <c r="C40" s="84"/>
      <c r="D40" s="84"/>
      <c r="E40" s="84"/>
      <c r="F40" s="83"/>
      <c r="G40" s="32"/>
      <c r="H40" s="32"/>
      <c r="I40" s="32"/>
      <c r="J40" s="32"/>
      <c r="K40" s="32"/>
      <c r="L40" s="175">
        <f ca="1">L39</f>
        <v>5</v>
      </c>
      <c r="M40" s="176" t="s">
        <v>105</v>
      </c>
      <c r="N40" s="173"/>
      <c r="O40" s="174"/>
      <c r="P40" s="33"/>
      <c r="Q40" s="33"/>
      <c r="R40" s="33"/>
      <c r="S40" s="33"/>
      <c r="T40" s="167"/>
      <c r="U40" s="33"/>
      <c r="V40" s="33"/>
      <c r="W40" s="33"/>
      <c r="X40" s="34"/>
      <c r="Y40" s="35"/>
      <c r="Z40" s="35"/>
      <c r="AA40" s="35"/>
      <c r="AB40" s="36"/>
      <c r="AC40" s="36"/>
      <c r="AD40" s="26"/>
    </row>
    <row r="41" spans="1:30" ht="116" outlineLevel="2" x14ac:dyDescent="0.35">
      <c r="A41" s="93" t="s">
        <v>0</v>
      </c>
      <c r="B41" s="21"/>
      <c r="C41" s="85"/>
      <c r="D41" s="85"/>
      <c r="E41" s="85"/>
      <c r="F41" s="86"/>
      <c r="G41" s="22" t="s">
        <v>23</v>
      </c>
      <c r="H41" s="22" t="s">
        <v>23</v>
      </c>
      <c r="I41" s="23" t="s">
        <v>23</v>
      </c>
      <c r="J41" s="22" t="s">
        <v>23</v>
      </c>
      <c r="K41" s="38"/>
      <c r="L41" s="22"/>
      <c r="M41" s="286" t="str">
        <f ca="1">IFERROR(OFFSET(M41,-1,,1,1)+0.1,OFFSET(M41,-1,-1,1,1)&amp;".1")</f>
        <v>5.1</v>
      </c>
      <c r="N41" s="23" t="s">
        <v>462</v>
      </c>
      <c r="O41" s="23" t="s">
        <v>529</v>
      </c>
      <c r="P41" s="23"/>
      <c r="Q41" s="144">
        <v>50</v>
      </c>
      <c r="R41" s="137">
        <v>10</v>
      </c>
      <c r="S41" s="169">
        <f>CEILING((IF(J41="Yes", 0, IF(H41="-",AA41,AA41+AA41*VLOOKUP(H41,BUFFERS_BY_TYPE,2,FALSE)))) +
   (IF(J41="Yes", 0, IF(H41="-",AA41,AA41+AA41*VLOOKUP(H41,BUFFERS_BY_TYPE,2,FALSE))))*VLOOKUP($S$5, SALES_CALL_SCALE_ARRAY, 2,FALSE),0.25)</f>
        <v>30.75</v>
      </c>
      <c r="T41" s="170"/>
      <c r="U41" s="24">
        <v>0.2</v>
      </c>
      <c r="V41" s="24">
        <v>0.5</v>
      </c>
      <c r="W41" s="24">
        <v>0.3</v>
      </c>
      <c r="X41" s="168">
        <v>0.06</v>
      </c>
      <c r="Y41" s="169">
        <f>CEILING((IF(P41=AS_DEV_EFFORT, DEV_EFFORT*Q41%,
                           IF(P41=AS_DURATION_EFFORT, (MANUAL_DURATION*5)*Q41%,
                                    (IF(Q41&lt;=1,X41,
                                          IF(SUM(U41:W41)=0,(Q41*X41),
                                               (((Q41*U41)*(X41+(X41*EXTRA_FOR_H)))+
                                               ((Q41*V41)*X41)+
                                               ((Q41*W41)*(X41-(X41*LESS_FOR_L)))
                                    )*IF(R41=0,1,R41))))))+Z41), 0.25)</f>
        <v>30.75</v>
      </c>
      <c r="Z41" s="25"/>
      <c r="AA41" s="169">
        <f>Y41+Y41*VLOOKUP(I41,EXTRAS_ARRAY,2,FALSE)</f>
        <v>30.75</v>
      </c>
      <c r="AB41" s="23" t="s">
        <v>588</v>
      </c>
      <c r="AC41" s="37"/>
      <c r="AD41" s="26" t="str">
        <f>IF(J41&lt;&gt;"Yes",
IF(S41&lt;=0,"Error: Effort value is not defined or is invalid.",
IF(AND(SUM(U41:W41)&gt;0,SUM(U41:W41)&lt;&gt;1),"Error: Complexity % distribution should sum to 100%.",
IF(AND(P41=AS_DEV_EFFORT,X41&lt;&gt;0),"Error: PDs should not be defined when defining as dev effort %.",
IF(AND(P41=AS_DURATION_EFFORT,X41&lt;&gt;0),"Error: PDs should not be defined when defining as duration effort %.","")))))</f>
        <v/>
      </c>
    </row>
    <row r="42" spans="1:30" ht="43.5" outlineLevel="2" x14ac:dyDescent="0.35">
      <c r="A42" s="93" t="s">
        <v>0</v>
      </c>
      <c r="B42" s="21"/>
      <c r="C42" s="85"/>
      <c r="D42" s="85"/>
      <c r="E42" s="85"/>
      <c r="F42" s="86"/>
      <c r="G42" s="22" t="s">
        <v>23</v>
      </c>
      <c r="H42" s="22" t="s">
        <v>23</v>
      </c>
      <c r="I42" s="23" t="s">
        <v>23</v>
      </c>
      <c r="J42" s="22" t="s">
        <v>23</v>
      </c>
      <c r="K42" s="38"/>
      <c r="L42" s="22"/>
      <c r="M42" s="286">
        <f ca="1">IFERROR(OFFSET(M42,-1,,1,1)+0.1,OFFSET(M42,-1,-1,1,1)&amp;".1")</f>
        <v>5.1999999999999993</v>
      </c>
      <c r="N42" s="23" t="s">
        <v>463</v>
      </c>
      <c r="O42" s="23"/>
      <c r="P42" s="23" t="s">
        <v>600</v>
      </c>
      <c r="Q42" s="144">
        <v>2</v>
      </c>
      <c r="R42" s="137">
        <v>3</v>
      </c>
      <c r="S42" s="169">
        <f>CEILING((IF(J42="Yes", 0, IF(H42="-",AA42,AA42+AA42*VLOOKUP(H42,BUFFERS_BY_TYPE,2,FALSE)))) +
   (IF(J42="Yes", 0, IF(H42="-",AA42,AA42+AA42*VLOOKUP(H42,BUFFERS_BY_TYPE,2,FALSE))))*VLOOKUP($S$5, SALES_CALL_SCALE_ARRAY, 2,FALSE),0.25)</f>
        <v>5.25</v>
      </c>
      <c r="T42" s="170"/>
      <c r="U42" s="24">
        <v>0.1</v>
      </c>
      <c r="V42" s="24">
        <v>0.2</v>
      </c>
      <c r="W42" s="24">
        <v>0.7</v>
      </c>
      <c r="X42" s="168">
        <v>1</v>
      </c>
      <c r="Y42" s="169">
        <f>CEILING((IF(P42=AS_DEV_EFFORT, DEV_EFFORT*Q42%,
                           IF(P42=AS_DURATION_EFFORT, (MANUAL_DURATION*5)*Q42%,
                                    (IF(Q42&lt;=1,X42,
                                          IF(SUM(U42:W42)=0,(Q42*X42),
                                               (((Q42*U42)*(X42+(X42*EXTRA_FOR_H)))+
                                               ((Q42*V42)*X42)+
                                               ((Q42*W42)*(X42-(X42*LESS_FOR_L)))
                                    )*IF(R42=0,1,R42))))))+Z42), 0.25)</f>
        <v>5.25</v>
      </c>
      <c r="Z42" s="25"/>
      <c r="AA42" s="169">
        <f>Y42+Y42*VLOOKUP(I42,EXTRAS_ARRAY,2,FALSE)</f>
        <v>5.25</v>
      </c>
      <c r="AB42" s="23" t="s">
        <v>589</v>
      </c>
      <c r="AC42" s="37"/>
      <c r="AD42" s="26" t="str">
        <f>IF(J42&lt;&gt;"Yes",
IF(S42&lt;=0,"Error: Effort value is not defined or is invalid.",
IF(AND(SUM(U42:W42)&gt;0,SUM(U42:W42)&lt;&gt;1),"Error: Complexity % distribution should sum to 100%.",
IF(AND(P42=AS_DEV_EFFORT,X42&lt;&gt;0),"Error: PDs should not be defined when defining as dev effort %.",
IF(AND(P42=AS_DURATION_EFFORT,X42&lt;&gt;0),"Error: PDs should not be defined when defining as duration effort %.","")))))</f>
        <v/>
      </c>
    </row>
    <row r="43" spans="1:30" ht="43.5" outlineLevel="2" x14ac:dyDescent="0.35">
      <c r="A43" s="93" t="s">
        <v>0</v>
      </c>
      <c r="B43" s="21"/>
      <c r="C43" s="85"/>
      <c r="D43" s="85"/>
      <c r="E43" s="85"/>
      <c r="F43" s="86"/>
      <c r="G43" s="22" t="s">
        <v>23</v>
      </c>
      <c r="H43" s="22" t="s">
        <v>23</v>
      </c>
      <c r="I43" s="23" t="s">
        <v>23</v>
      </c>
      <c r="J43" s="22" t="s">
        <v>23</v>
      </c>
      <c r="K43" s="38"/>
      <c r="L43" s="22"/>
      <c r="M43" s="286">
        <f ca="1">IFERROR(OFFSET(M43,-1,,1,1)+0.1,OFFSET(M43,-1,-1,1,1)&amp;".1")</f>
        <v>5.2999999999999989</v>
      </c>
      <c r="N43" s="23" t="s">
        <v>464</v>
      </c>
      <c r="O43" s="23"/>
      <c r="P43" s="23"/>
      <c r="Q43" s="144"/>
      <c r="R43" s="137"/>
      <c r="S43" s="169">
        <f>CEILING((IF(J43="Yes", 0, IF(H43="-",AA43,AA43+AA43*VLOOKUP(H43,BUFFERS_BY_TYPE,2,FALSE)))) +
   (IF(J43="Yes", 0, IF(H43="-",AA43,AA43+AA43*VLOOKUP(H43,BUFFERS_BY_TYPE,2,FALSE))))*VLOOKUP($S$5, SALES_CALL_SCALE_ARRAY, 2,FALSE),0.25)</f>
        <v>5</v>
      </c>
      <c r="T43" s="170"/>
      <c r="U43" s="24">
        <v>0</v>
      </c>
      <c r="V43" s="24">
        <v>1</v>
      </c>
      <c r="W43" s="24">
        <v>0</v>
      </c>
      <c r="X43" s="168">
        <v>5</v>
      </c>
      <c r="Y43" s="169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>5</v>
      </c>
      <c r="Z43" s="25"/>
      <c r="AA43" s="169">
        <f>Y43+Y43*VLOOKUP(I43,EXTRAS_ARRAY,2,FALSE)</f>
        <v>5</v>
      </c>
      <c r="AB43" s="23"/>
      <c r="AC43" s="37"/>
      <c r="AD43" s="26" t="str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spans="1:30" s="11" customFormat="1" ht="7.5" customHeight="1" outlineLevel="2" x14ac:dyDescent="0.35">
      <c r="A44" s="93" t="s">
        <v>132</v>
      </c>
      <c r="B44" s="18"/>
      <c r="C44" s="78"/>
      <c r="D44" s="78"/>
      <c r="E44" s="78"/>
      <c r="F44" s="78"/>
      <c r="G44" s="10"/>
      <c r="H44" s="10"/>
      <c r="I44" s="10"/>
      <c r="J44" s="10"/>
      <c r="K44" s="10"/>
      <c r="L44" s="10"/>
      <c r="M44" s="287"/>
      <c r="N44" s="10"/>
      <c r="O44" s="10"/>
      <c r="P44" s="10"/>
      <c r="Q44" s="10"/>
      <c r="R44" s="10"/>
      <c r="S44" s="10"/>
      <c r="T44" s="18"/>
      <c r="U44" s="10"/>
      <c r="V44" s="10"/>
      <c r="W44" s="10"/>
      <c r="X44" s="18"/>
      <c r="Y44" s="10"/>
      <c r="Z44" s="10"/>
      <c r="AA44" s="10"/>
      <c r="AB44" s="60"/>
      <c r="AC44" s="60"/>
      <c r="AD44" s="12"/>
    </row>
    <row r="45" spans="1:30" s="17" customFormat="1" ht="15.5" outlineLevel="1" x14ac:dyDescent="0.35">
      <c r="A45" s="93" t="s">
        <v>100</v>
      </c>
      <c r="B45" s="21"/>
      <c r="C45" s="84"/>
      <c r="D45" s="84"/>
      <c r="E45" s="84"/>
      <c r="F45" s="83"/>
      <c r="G45" s="32"/>
      <c r="H45" s="32"/>
      <c r="I45" s="32"/>
      <c r="J45" s="32"/>
      <c r="K45" s="32"/>
      <c r="L45" s="20">
        <f ca="1">LOOKUP(1000,INDIRECT("L1:"&amp;CELL("address",INDIRECT("R[-1]C",FALSE))))+1</f>
        <v>6</v>
      </c>
      <c r="M45" s="301" t="s">
        <v>543</v>
      </c>
      <c r="N45" s="301"/>
      <c r="O45" s="5"/>
      <c r="P45" s="33"/>
      <c r="Q45" s="33"/>
      <c r="R45" s="33"/>
      <c r="S45" s="33"/>
      <c r="T45" s="167">
        <f>IF($S$6="Exclude", SUMIFS(S46:S50, J46:J50, "&lt;&gt;Yes", G46:G50, "&lt;&gt;Yes"), SUMIFS(S46:S50, J46:J50, "&lt;&gt;Yes"))</f>
        <v>22</v>
      </c>
      <c r="U45" s="33"/>
      <c r="V45" s="33"/>
      <c r="W45" s="33"/>
      <c r="X45" s="34"/>
      <c r="Y45" s="35"/>
      <c r="Z45" s="35"/>
      <c r="AA45" s="35"/>
      <c r="AB45" s="240"/>
      <c r="AC45" s="36"/>
      <c r="AD45" s="26" t="str">
        <f>IF(M45="", "Error: Task name cannot be empty.", "")</f>
        <v/>
      </c>
    </row>
    <row r="46" spans="1:30" s="15" customFormat="1" ht="1.5" customHeight="1" outlineLevel="2" x14ac:dyDescent="0.35">
      <c r="A46" s="93" t="s">
        <v>101</v>
      </c>
      <c r="B46" s="21"/>
      <c r="C46" s="84"/>
      <c r="D46" s="84"/>
      <c r="E46" s="84"/>
      <c r="F46" s="83"/>
      <c r="G46" s="32"/>
      <c r="H46" s="32"/>
      <c r="I46" s="32"/>
      <c r="J46" s="32"/>
      <c r="K46" s="32"/>
      <c r="L46" s="175">
        <f ca="1">L45</f>
        <v>6</v>
      </c>
      <c r="M46" s="176" t="s">
        <v>105</v>
      </c>
      <c r="N46" s="173"/>
      <c r="O46" s="174"/>
      <c r="P46" s="33"/>
      <c r="Q46" s="33"/>
      <c r="R46" s="33"/>
      <c r="S46" s="33"/>
      <c r="T46" s="167"/>
      <c r="U46" s="33"/>
      <c r="V46" s="33"/>
      <c r="W46" s="33"/>
      <c r="X46" s="34"/>
      <c r="Y46" s="35"/>
      <c r="Z46" s="35"/>
      <c r="AA46" s="35"/>
      <c r="AB46" s="36"/>
      <c r="AC46" s="36"/>
      <c r="AD46" s="26"/>
    </row>
    <row r="47" spans="1:30" ht="43.5" outlineLevel="2" x14ac:dyDescent="0.35">
      <c r="A47" s="93" t="s">
        <v>0</v>
      </c>
      <c r="B47" s="21"/>
      <c r="C47" s="85"/>
      <c r="D47" s="85"/>
      <c r="E47" s="85"/>
      <c r="F47" s="86"/>
      <c r="G47" s="22" t="s">
        <v>6</v>
      </c>
      <c r="H47" s="22" t="s">
        <v>23</v>
      </c>
      <c r="I47" s="23" t="s">
        <v>23</v>
      </c>
      <c r="J47" s="22" t="s">
        <v>23</v>
      </c>
      <c r="K47" s="38"/>
      <c r="L47" s="22"/>
      <c r="M47" s="286" t="str">
        <f t="shared" ref="M47:M49" ca="1" si="0">IFERROR(OFFSET(M47,-1,,1,1)+0.1,OFFSET(M47,-1,-1,1,1)&amp;".1")</f>
        <v>6.1</v>
      </c>
      <c r="N47" s="23" t="s">
        <v>551</v>
      </c>
      <c r="O47" s="23"/>
      <c r="P47" s="23"/>
      <c r="Q47" s="144"/>
      <c r="R47" s="137"/>
      <c r="S47" s="169">
        <f t="shared" ref="S47:S49" si="1">CEILING((IF(J47="Yes", 0, IF(H47="-",AA47,AA47+AA47*VLOOKUP(H47,BUFFERS_BY_TYPE,2,FALSE)))) +
   (IF(J47="Yes", 0, IF(H47="-",AA47,AA47+AA47*VLOOKUP(H47,BUFFERS_BY_TYPE,2,FALSE))))*VLOOKUP($S$5, SALES_CALL_SCALE_ARRAY, 2,FALSE),0.25)</f>
        <v>1</v>
      </c>
      <c r="T47" s="170"/>
      <c r="U47" s="24">
        <v>0</v>
      </c>
      <c r="V47" s="24">
        <v>1</v>
      </c>
      <c r="W47" s="24">
        <v>0</v>
      </c>
      <c r="X47" s="168">
        <v>1</v>
      </c>
      <c r="Y47" s="169">
        <f t="shared" ref="Y47:Y49" si="2">CEILING((IF(P47=AS_DEV_EFFORT, DEV_EFFORT*Q47%,
                           IF(P47=AS_DURATION_EFFORT, (MANUAL_DURATION*5)*Q47%,
                                    (IF(Q47&lt;=1,X47,
                                          IF(SUM(U47:W47)=0,(Q47*X47),
                                               (((Q47*U47)*(X47+(X47*EXTRA_FOR_H)))+
                                               ((Q47*V47)*X47)+
                                               ((Q47*W47)*(X47-(X47*LESS_FOR_L)))
                                    )*IF(R47=0,1,R47))))))+Z47), 0.25)</f>
        <v>1</v>
      </c>
      <c r="Z47" s="25"/>
      <c r="AA47" s="169">
        <f t="shared" ref="AA47:AA49" si="3">Y47+Y47*VLOOKUP(I47,EXTRAS_ARRAY,2,FALSE)</f>
        <v>1</v>
      </c>
      <c r="AB47" s="23"/>
      <c r="AC47" s="37"/>
      <c r="AD47" s="26" t="str">
        <f t="shared" ref="AD47:AD49" si="4">IF(J47&lt;&gt;"Yes",
IF(S47&lt;=0,"Error: Effort value is not defined or is invalid.",
IF(AND(SUM(U47:W47)&gt;0,SUM(U47:W47)&lt;&gt;1),"Error: Complexity % distribution should sum to 100%.",
IF(AND(P47=AS_DEV_EFFORT,X47&lt;&gt;0),"Error: PDs should not be defined when defining as dev effort %.",
IF(AND(P47=AS_DURATION_EFFORT,X47&lt;&gt;0),"Error: PDs should not be defined when defining as duration effort %.","")))))</f>
        <v/>
      </c>
    </row>
    <row r="48" spans="1:30" ht="29" outlineLevel="2" x14ac:dyDescent="0.35">
      <c r="A48" s="93" t="s">
        <v>0</v>
      </c>
      <c r="B48" s="21"/>
      <c r="C48" s="85"/>
      <c r="D48" s="85"/>
      <c r="E48" s="85"/>
      <c r="F48" s="86"/>
      <c r="G48" s="22" t="s">
        <v>6</v>
      </c>
      <c r="H48" s="22" t="s">
        <v>23</v>
      </c>
      <c r="I48" s="23" t="s">
        <v>23</v>
      </c>
      <c r="J48" s="22" t="s">
        <v>23</v>
      </c>
      <c r="K48" s="38"/>
      <c r="L48" s="22"/>
      <c r="M48" s="286">
        <f t="shared" ca="1" si="0"/>
        <v>6.1999999999999993</v>
      </c>
      <c r="N48" s="23" t="s">
        <v>552</v>
      </c>
      <c r="O48" s="23"/>
      <c r="P48" s="23"/>
      <c r="Q48" s="144"/>
      <c r="R48" s="137">
        <v>3</v>
      </c>
      <c r="S48" s="169">
        <f t="shared" si="1"/>
        <v>18</v>
      </c>
      <c r="T48" s="170"/>
      <c r="U48" s="24">
        <v>0</v>
      </c>
      <c r="V48" s="24">
        <v>1</v>
      </c>
      <c r="W48" s="24">
        <v>0</v>
      </c>
      <c r="X48" s="168">
        <v>18</v>
      </c>
      <c r="Y48" s="169">
        <f t="shared" si="2"/>
        <v>18</v>
      </c>
      <c r="Z48" s="25"/>
      <c r="AA48" s="169">
        <f t="shared" si="3"/>
        <v>18</v>
      </c>
      <c r="AB48" s="23" t="s">
        <v>590</v>
      </c>
      <c r="AC48" s="37"/>
      <c r="AD48" s="26" t="str">
        <f t="shared" si="4"/>
        <v/>
      </c>
    </row>
    <row r="49" spans="1:30" ht="43.5" outlineLevel="2" x14ac:dyDescent="0.35">
      <c r="A49" s="93" t="s">
        <v>0</v>
      </c>
      <c r="B49" s="21"/>
      <c r="C49" s="85"/>
      <c r="D49" s="85"/>
      <c r="E49" s="85"/>
      <c r="F49" s="86"/>
      <c r="G49" s="22" t="s">
        <v>6</v>
      </c>
      <c r="H49" s="22" t="s">
        <v>23</v>
      </c>
      <c r="I49" s="23" t="s">
        <v>23</v>
      </c>
      <c r="J49" s="22" t="s">
        <v>23</v>
      </c>
      <c r="K49" s="38"/>
      <c r="L49" s="22"/>
      <c r="M49" s="286">
        <f t="shared" ca="1" si="0"/>
        <v>6.2999999999999989</v>
      </c>
      <c r="N49" s="23" t="s">
        <v>553</v>
      </c>
      <c r="O49" s="23"/>
      <c r="P49" s="23"/>
      <c r="Q49" s="144"/>
      <c r="R49" s="137"/>
      <c r="S49" s="169">
        <f t="shared" si="1"/>
        <v>3</v>
      </c>
      <c r="T49" s="170"/>
      <c r="U49" s="24">
        <v>0</v>
      </c>
      <c r="V49" s="24">
        <v>1</v>
      </c>
      <c r="W49" s="24">
        <v>0</v>
      </c>
      <c r="X49" s="168">
        <v>3</v>
      </c>
      <c r="Y49" s="169">
        <f t="shared" si="2"/>
        <v>3</v>
      </c>
      <c r="Z49" s="25"/>
      <c r="AA49" s="169">
        <f t="shared" si="3"/>
        <v>3</v>
      </c>
      <c r="AB49" s="23"/>
      <c r="AC49" s="37"/>
      <c r="AD49" s="26" t="str">
        <f t="shared" si="4"/>
        <v/>
      </c>
    </row>
    <row r="50" spans="1:30" s="11" customFormat="1" ht="7.5" customHeight="1" outlineLevel="2" x14ac:dyDescent="0.35">
      <c r="A50" s="93" t="s">
        <v>132</v>
      </c>
      <c r="B50" s="18"/>
      <c r="C50" s="78"/>
      <c r="D50" s="78"/>
      <c r="E50" s="78"/>
      <c r="F50" s="78"/>
      <c r="G50" s="10"/>
      <c r="H50" s="10"/>
      <c r="I50" s="10"/>
      <c r="J50" s="10"/>
      <c r="K50" s="10"/>
      <c r="L50" s="10"/>
      <c r="M50" s="287"/>
      <c r="N50" s="10"/>
      <c r="O50" s="10"/>
      <c r="P50" s="10"/>
      <c r="Q50" s="10"/>
      <c r="R50" s="10"/>
      <c r="S50" s="10"/>
      <c r="T50" s="18"/>
      <c r="U50" s="10"/>
      <c r="V50" s="10"/>
      <c r="W50" s="10"/>
      <c r="X50" s="18"/>
      <c r="Y50" s="10"/>
      <c r="Z50" s="10"/>
      <c r="AA50" s="10"/>
      <c r="AB50" s="60"/>
      <c r="AC50" s="60"/>
      <c r="AD50" s="12"/>
    </row>
    <row r="51" spans="1:30" s="17" customFormat="1" ht="15.5" outlineLevel="1" x14ac:dyDescent="0.35">
      <c r="A51" s="93" t="s">
        <v>100</v>
      </c>
      <c r="B51" s="21"/>
      <c r="C51" s="84"/>
      <c r="D51" s="84"/>
      <c r="E51" s="84"/>
      <c r="F51" s="83"/>
      <c r="G51" s="32"/>
      <c r="H51" s="32"/>
      <c r="I51" s="32"/>
      <c r="J51" s="32"/>
      <c r="K51" s="32"/>
      <c r="L51" s="20">
        <f ca="1">LOOKUP(1000,INDIRECT("L1:"&amp;CELL("address",INDIRECT("R[-1]C",FALSE))))+1</f>
        <v>7</v>
      </c>
      <c r="M51" s="301" t="s">
        <v>544</v>
      </c>
      <c r="N51" s="301"/>
      <c r="O51" s="5"/>
      <c r="P51" s="33"/>
      <c r="Q51" s="33"/>
      <c r="R51" s="33"/>
      <c r="S51" s="33"/>
      <c r="T51" s="167">
        <f>IF($S$6="Exclude", SUMIFS(S52:S57, J52:J57, "&lt;&gt;Yes", G52:G57, "&lt;&gt;Yes"), SUMIFS(S52:S57, J52:J57, "&lt;&gt;Yes"))</f>
        <v>46</v>
      </c>
      <c r="U51" s="33"/>
      <c r="V51" s="33"/>
      <c r="W51" s="33"/>
      <c r="X51" s="34"/>
      <c r="Y51" s="35"/>
      <c r="Z51" s="35"/>
      <c r="AA51" s="35"/>
      <c r="AB51" s="240"/>
      <c r="AC51" s="36"/>
      <c r="AD51" s="26" t="str">
        <f>IF(M51="", "Error: Task name cannot be empty.", "")</f>
        <v/>
      </c>
    </row>
    <row r="52" spans="1:30" s="15" customFormat="1" ht="1.5" customHeight="1" outlineLevel="2" x14ac:dyDescent="0.35">
      <c r="A52" s="93" t="s">
        <v>101</v>
      </c>
      <c r="B52" s="21"/>
      <c r="C52" s="84"/>
      <c r="D52" s="84"/>
      <c r="E52" s="84"/>
      <c r="F52" s="83"/>
      <c r="G52" s="32"/>
      <c r="H52" s="32"/>
      <c r="I52" s="32"/>
      <c r="J52" s="32"/>
      <c r="K52" s="32"/>
      <c r="L52" s="175">
        <f ca="1">L51</f>
        <v>7</v>
      </c>
      <c r="M52" s="176" t="s">
        <v>105</v>
      </c>
      <c r="N52" s="173"/>
      <c r="O52" s="174"/>
      <c r="P52" s="33"/>
      <c r="Q52" s="33"/>
      <c r="R52" s="33"/>
      <c r="S52" s="33"/>
      <c r="T52" s="167"/>
      <c r="U52" s="33"/>
      <c r="V52" s="33"/>
      <c r="W52" s="33"/>
      <c r="X52" s="34"/>
      <c r="Y52" s="35"/>
      <c r="Z52" s="35"/>
      <c r="AA52" s="35"/>
      <c r="AB52" s="36"/>
      <c r="AC52" s="36"/>
      <c r="AD52" s="26"/>
    </row>
    <row r="53" spans="1:30" ht="29" outlineLevel="2" x14ac:dyDescent="0.35">
      <c r="A53" s="93" t="s">
        <v>0</v>
      </c>
      <c r="B53" s="21"/>
      <c r="C53" s="85"/>
      <c r="D53" s="85"/>
      <c r="E53" s="85"/>
      <c r="F53" s="86"/>
      <c r="G53" s="22" t="s">
        <v>23</v>
      </c>
      <c r="H53" s="22" t="s">
        <v>23</v>
      </c>
      <c r="I53" s="23" t="s">
        <v>23</v>
      </c>
      <c r="J53" s="22" t="s">
        <v>23</v>
      </c>
      <c r="K53" s="38"/>
      <c r="L53" s="22"/>
      <c r="M53" s="286" t="str">
        <f ca="1">IFERROR(OFFSET(M53,-1,,1,1)+0.1,OFFSET(M53,-1,-1,1,1)&amp;".1")</f>
        <v>7.1</v>
      </c>
      <c r="N53" s="23" t="s">
        <v>554</v>
      </c>
      <c r="O53" s="23" t="s">
        <v>125</v>
      </c>
      <c r="P53" s="23"/>
      <c r="Q53" s="144"/>
      <c r="R53" s="137">
        <v>15</v>
      </c>
      <c r="S53" s="169">
        <f>CEILING((IF(J53="Yes", 0, IF(H53="-",AA53,AA53+AA53*VLOOKUP(H53,BUFFERS_BY_TYPE,2,FALSE)))) +
   (IF(J53="Yes", 0, IF(H53="-",AA53,AA53+AA53*VLOOKUP(H53,BUFFERS_BY_TYPE,2,FALSE))))*VLOOKUP($S$5, SALES_CALL_SCALE_ARRAY, 2,FALSE),0.25)</f>
        <v>5</v>
      </c>
      <c r="T53" s="170"/>
      <c r="U53" s="24">
        <v>0</v>
      </c>
      <c r="V53" s="24">
        <v>1</v>
      </c>
      <c r="W53" s="24">
        <v>0</v>
      </c>
      <c r="X53" s="168">
        <v>5</v>
      </c>
      <c r="Y53" s="169">
        <f>CEILING((IF(P53=AS_DEV_EFFORT, DEV_EFFORT*Q53%,
                           IF(P53=AS_DURATION_EFFORT, (MANUAL_DURATION*5)*Q53%,
                                    (IF(Q53&lt;=1,X53,
                                          IF(SUM(U53:W53)=0,(Q53*X53),
                                               (((Q53*U53)*(X53+(X53*EXTRA_FOR_H)))+
                                               ((Q53*V53)*X53)+
                                               ((Q53*W53)*(X53-(X53*LESS_FOR_L)))
                                    )*IF(R53=0,1,R53))))))+Z53), 0.25)</f>
        <v>5</v>
      </c>
      <c r="Z53" s="25"/>
      <c r="AA53" s="169">
        <f>Y53+Y53*VLOOKUP(I53,EXTRAS_ARRAY,2,FALSE)</f>
        <v>5</v>
      </c>
      <c r="AB53" s="23" t="s">
        <v>591</v>
      </c>
      <c r="AC53" s="37"/>
      <c r="AD53" s="26" t="str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spans="1:30" ht="15.5" outlineLevel="2" x14ac:dyDescent="0.35">
      <c r="A54" s="93" t="s">
        <v>0</v>
      </c>
      <c r="B54" s="21"/>
      <c r="C54" s="85"/>
      <c r="D54" s="85"/>
      <c r="E54" s="85"/>
      <c r="F54" s="86"/>
      <c r="G54" s="22" t="s">
        <v>23</v>
      </c>
      <c r="H54" s="22" t="s">
        <v>23</v>
      </c>
      <c r="I54" s="23" t="s">
        <v>23</v>
      </c>
      <c r="J54" s="22" t="s">
        <v>23</v>
      </c>
      <c r="K54" s="38"/>
      <c r="L54" s="22"/>
      <c r="M54" s="286">
        <f ca="1">IFERROR(OFFSET(M54,-1,,1,1)+0.1,OFFSET(M54,-1,-1,1,1)&amp;".1")</f>
        <v>7.1999999999999993</v>
      </c>
      <c r="N54" s="23" t="s">
        <v>555</v>
      </c>
      <c r="O54" s="23" t="s">
        <v>125</v>
      </c>
      <c r="P54" s="23"/>
      <c r="Q54" s="144"/>
      <c r="R54" s="137">
        <v>15</v>
      </c>
      <c r="S54" s="169">
        <f>CEILING((IF(J54="Yes", 0, IF(H54="-",AA54,AA54+AA54*VLOOKUP(H54,BUFFERS_BY_TYPE,2,FALSE)))) +
   (IF(J54="Yes", 0, IF(H54="-",AA54,AA54+AA54*VLOOKUP(H54,BUFFERS_BY_TYPE,2,FALSE))))*VLOOKUP($S$5, SALES_CALL_SCALE_ARRAY, 2,FALSE),0.25)</f>
        <v>30</v>
      </c>
      <c r="T54" s="170"/>
      <c r="U54" s="24">
        <v>0</v>
      </c>
      <c r="V54" s="24">
        <v>1</v>
      </c>
      <c r="W54" s="24">
        <v>0</v>
      </c>
      <c r="X54" s="168">
        <v>30</v>
      </c>
      <c r="Y54" s="169">
        <f>CEILING((IF(P54=AS_DEV_EFFORT, DEV_EFFORT*Q54%,
                           IF(P54=AS_DURATION_EFFORT, (MANUAL_DURATION*5)*Q54%,
                                    (IF(Q54&lt;=1,X54,
                                          IF(SUM(U54:W54)=0,(Q54*X54),
                                               (((Q54*U54)*(X54+(X54*EXTRA_FOR_H)))+
                                               ((Q54*V54)*X54)+
                                               ((Q54*W54)*(X54-(X54*LESS_FOR_L)))
                                    )*IF(R54=0,1,R54))))))+Z54), 0.25)</f>
        <v>30</v>
      </c>
      <c r="Z54" s="25"/>
      <c r="AA54" s="169">
        <f>Y54+Y54*VLOOKUP(I54,EXTRAS_ARRAY,2,FALSE)</f>
        <v>30</v>
      </c>
      <c r="AB54" s="23" t="s">
        <v>591</v>
      </c>
      <c r="AC54" s="37"/>
      <c r="AD54" s="26" t="str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spans="1:30" ht="29" outlineLevel="2" x14ac:dyDescent="0.35">
      <c r="A55" s="93" t="s">
        <v>0</v>
      </c>
      <c r="B55" s="21"/>
      <c r="C55" s="85"/>
      <c r="D55" s="85"/>
      <c r="E55" s="85"/>
      <c r="F55" s="86"/>
      <c r="G55" s="22" t="s">
        <v>6</v>
      </c>
      <c r="H55" s="22" t="s">
        <v>23</v>
      </c>
      <c r="I55" s="23" t="s">
        <v>23</v>
      </c>
      <c r="J55" s="22" t="s">
        <v>23</v>
      </c>
      <c r="K55" s="38"/>
      <c r="L55" s="22"/>
      <c r="M55" s="286">
        <f ca="1">IFERROR(OFFSET(M55,-1,,1,1)+0.1,OFFSET(M55,-1,-1,1,1)&amp;".1")</f>
        <v>7.2999999999999989</v>
      </c>
      <c r="N55" s="23" t="s">
        <v>573</v>
      </c>
      <c r="O55" s="23" t="s">
        <v>575</v>
      </c>
      <c r="P55" s="274">
        <v>0.02</v>
      </c>
      <c r="Q55" s="144"/>
      <c r="R55" s="137">
        <v>1</v>
      </c>
      <c r="S55" s="169">
        <f>CEILING((IF(J55="Yes", 0, IF(H55="-",AA55,AA55+AA55*VLOOKUP(H55,BUFFERS_BY_TYPE,2,FALSE)))) +
   (IF(J55="Yes", 0, IF(H55="-",AA55,AA55+AA55*VLOOKUP(H55,BUFFERS_BY_TYPE,2,FALSE))))*VLOOKUP($S$5, SALES_CALL_SCALE_ARRAY, 2,FALSE),0.25)</f>
        <v>7</v>
      </c>
      <c r="T55" s="170"/>
      <c r="U55" s="24">
        <v>0</v>
      </c>
      <c r="V55" s="24">
        <v>1</v>
      </c>
      <c r="W55" s="24">
        <v>0</v>
      </c>
      <c r="X55" s="168">
        <v>7</v>
      </c>
      <c r="Y55" s="169">
        <f>CEILING((IF(P55=AS_DEV_EFFORT, DEV_EFFORT*Q55%,
                           IF(P55=AS_DURATION_EFFORT, (MANUAL_DURATION*5)*Q55%,
                                    (IF(Q55&lt;=1,X55,
                                          IF(SUM(U55:W55)=0,(Q55*X55),
                                               (((Q55*U55)*(X55+(X55*EXTRA_FOR_H)))+
                                               ((Q55*V55)*X55)+
                                               ((Q55*W55)*(X55-(X55*LESS_FOR_L)))
                                    )*IF(R55=0,1,R55))))))+Z55), 0.25)</f>
        <v>7</v>
      </c>
      <c r="Z55" s="25"/>
      <c r="AA55" s="169">
        <f>Y55+Y55*VLOOKUP(I55,EXTRAS_ARRAY,2,FALSE)</f>
        <v>7</v>
      </c>
      <c r="AB55" s="23" t="s">
        <v>576</v>
      </c>
      <c r="AC55" s="37"/>
      <c r="AD55" s="26" t="str">
        <f>IF(J55&lt;&gt;"Yes",
IF(S55&lt;=0,"Error: Effort value is not defined or is invalid.",
IF(AND(SUM(U55:W55)&gt;0,SUM(U55:W55)&lt;&gt;1),"Error: Complexity % distribution should sum to 100%.",
IF(AND(P55=AS_DEV_EFFORT,X55&lt;&gt;0),"Error: PDs should not be defined when defining as dev effort %.",
IF(AND(P55=AS_DURATION_EFFORT,X55&lt;&gt;0),"Error: PDs should not be defined when defining as duration effort %.","")))))</f>
        <v/>
      </c>
    </row>
    <row r="56" spans="1:30" ht="43.5" outlineLevel="2" x14ac:dyDescent="0.35">
      <c r="A56" s="93" t="s">
        <v>0</v>
      </c>
      <c r="B56" s="21"/>
      <c r="C56" s="85"/>
      <c r="D56" s="85"/>
      <c r="E56" s="85"/>
      <c r="F56" s="86"/>
      <c r="G56" s="22" t="s">
        <v>23</v>
      </c>
      <c r="H56" s="22" t="s">
        <v>23</v>
      </c>
      <c r="I56" s="23" t="s">
        <v>23</v>
      </c>
      <c r="J56" s="22" t="s">
        <v>23</v>
      </c>
      <c r="K56" s="38"/>
      <c r="L56" s="22"/>
      <c r="M56" s="286">
        <f ca="1">IFERROR(OFFSET(M56,-1,,1,1)+0.1,OFFSET(M56,-1,-1,1,1)&amp;".1")</f>
        <v>7.3999999999999986</v>
      </c>
      <c r="N56" s="23" t="s">
        <v>556</v>
      </c>
      <c r="O56" s="23" t="s">
        <v>530</v>
      </c>
      <c r="P56" s="23"/>
      <c r="Q56" s="144"/>
      <c r="R56" s="137"/>
      <c r="S56" s="169">
        <f>CEILING((IF(J56="Yes", 0, IF(H56="-",AA56,AA56+AA56*VLOOKUP(H56,BUFFERS_BY_TYPE,2,FALSE)))) +
   (IF(J56="Yes", 0, IF(H56="-",AA56,AA56+AA56*VLOOKUP(H56,BUFFERS_BY_TYPE,2,FALSE))))*VLOOKUP($S$5, SALES_CALL_SCALE_ARRAY, 2,FALSE),0.25)</f>
        <v>4</v>
      </c>
      <c r="T56" s="170"/>
      <c r="U56" s="24">
        <v>0</v>
      </c>
      <c r="V56" s="24">
        <v>1</v>
      </c>
      <c r="W56" s="24">
        <v>0</v>
      </c>
      <c r="X56" s="168">
        <v>4</v>
      </c>
      <c r="Y56" s="169">
        <f>CEILING((IF(P56=AS_DEV_EFFORT, DEV_EFFORT*Q56%,
                           IF(P56=AS_DURATION_EFFORT, (MANUAL_DURATION*5)*Q56%,
                                    (IF(Q56&lt;=1,X56,
                                          IF(SUM(U56:W56)=0,(Q56*X56),
                                               (((Q56*U56)*(X56+(X56*EXTRA_FOR_H)))+
                                               ((Q56*V56)*X56)+
                                               ((Q56*W56)*(X56-(X56*LESS_FOR_L)))
                                    )*IF(R56=0,1,R56))))))+Z56), 0.25)</f>
        <v>4</v>
      </c>
      <c r="Z56" s="25"/>
      <c r="AA56" s="169">
        <f>Y56+Y56*VLOOKUP(I56,EXTRAS_ARRAY,2,FALSE)</f>
        <v>4</v>
      </c>
      <c r="AB56" s="23"/>
      <c r="AC56" s="37"/>
      <c r="AD56" s="26" t="str">
        <f>IF(J56&lt;&gt;"Yes",
IF(S56&lt;=0,"Error: Effort value is not defined or is invalid.",
IF(AND(SUM(U56:W56)&gt;0,SUM(U56:W56)&lt;&gt;1),"Error: Complexity % distribution should sum to 100%.",
IF(AND(P56=AS_DEV_EFFORT,X56&lt;&gt;0),"Error: PDs should not be defined when defining as dev effort %.",
IF(AND(P56=AS_DURATION_EFFORT,X56&lt;&gt;0),"Error: PDs should not be defined when defining as duration effort %.","")))))</f>
        <v/>
      </c>
    </row>
    <row r="57" spans="1:30" s="11" customFormat="1" ht="7.5" customHeight="1" outlineLevel="2" x14ac:dyDescent="0.35">
      <c r="A57" s="93" t="s">
        <v>132</v>
      </c>
      <c r="B57" s="18"/>
      <c r="C57" s="78"/>
      <c r="D57" s="78"/>
      <c r="E57" s="78"/>
      <c r="F57" s="78"/>
      <c r="G57" s="10"/>
      <c r="H57" s="10"/>
      <c r="I57" s="10"/>
      <c r="J57" s="10"/>
      <c r="K57" s="10"/>
      <c r="L57" s="10"/>
      <c r="M57" s="287"/>
      <c r="N57" s="10"/>
      <c r="O57" s="10"/>
      <c r="P57" s="10"/>
      <c r="Q57" s="10"/>
      <c r="R57" s="10"/>
      <c r="S57" s="10"/>
      <c r="T57" s="18"/>
      <c r="U57" s="10"/>
      <c r="V57" s="10"/>
      <c r="W57" s="10"/>
      <c r="X57" s="18"/>
      <c r="Y57" s="10"/>
      <c r="Z57" s="10"/>
      <c r="AA57" s="10"/>
      <c r="AB57" s="60"/>
      <c r="AC57" s="60"/>
      <c r="AD57" s="12"/>
    </row>
    <row r="58" spans="1:30" s="11" customFormat="1" ht="3" customHeight="1" outlineLevel="1" x14ac:dyDescent="0.35">
      <c r="A58" s="93" t="s">
        <v>102</v>
      </c>
      <c r="B58" s="10"/>
      <c r="C58" s="78"/>
      <c r="D58" s="78"/>
      <c r="E58" s="78"/>
      <c r="F58" s="78"/>
      <c r="G58" s="59"/>
      <c r="H58" s="59"/>
      <c r="I58" s="59"/>
      <c r="J58" s="59"/>
      <c r="K58" s="59"/>
      <c r="L58" s="61"/>
      <c r="M58" s="288"/>
      <c r="N58" s="62"/>
      <c r="O58" s="62"/>
      <c r="P58" s="61"/>
      <c r="Q58" s="61"/>
      <c r="R58" s="61"/>
      <c r="S58" s="61"/>
      <c r="T58" s="61"/>
      <c r="U58" s="61"/>
      <c r="V58" s="61"/>
      <c r="W58" s="61"/>
      <c r="X58" s="61"/>
      <c r="Y58" s="61"/>
      <c r="Z58" s="61"/>
      <c r="AA58" s="61"/>
      <c r="AB58" s="62"/>
      <c r="AC58" s="62"/>
      <c r="AD58" s="12"/>
    </row>
    <row r="59" spans="1:30" s="17" customFormat="1" ht="18.5" x14ac:dyDescent="0.35">
      <c r="A59" s="93" t="s">
        <v>98</v>
      </c>
      <c r="B59" s="14"/>
      <c r="C59" s="79"/>
      <c r="D59" s="79"/>
      <c r="E59" s="79"/>
      <c r="F59" s="78"/>
      <c r="G59" s="55"/>
      <c r="H59" s="55"/>
      <c r="I59" s="55"/>
      <c r="J59" s="55"/>
      <c r="K59" s="55"/>
      <c r="L59" s="55" t="s">
        <v>68</v>
      </c>
      <c r="M59" s="284" t="s">
        <v>72</v>
      </c>
      <c r="N59" s="56"/>
      <c r="O59" s="57"/>
      <c r="P59" s="58"/>
      <c r="Q59" s="58"/>
      <c r="R59" s="58"/>
      <c r="S59" s="302">
        <f>CEILING(SUMIF(J60:J86, "&lt;&gt;Yes", T60:T86),1)</f>
        <v>125</v>
      </c>
      <c r="T59" s="302"/>
      <c r="U59" s="58"/>
      <c r="V59" s="58"/>
      <c r="W59" s="58"/>
      <c r="X59" s="58"/>
      <c r="Y59" s="58"/>
      <c r="Z59" s="58"/>
      <c r="AA59" s="58"/>
      <c r="AB59" s="58"/>
      <c r="AC59" s="58"/>
      <c r="AD59" s="16"/>
    </row>
    <row r="60" spans="1:30" s="11" customFormat="1" ht="3" customHeight="1" outlineLevel="1" x14ac:dyDescent="0.35">
      <c r="A60" s="93" t="s">
        <v>99</v>
      </c>
      <c r="B60" s="18"/>
      <c r="C60" s="78"/>
      <c r="D60" s="78"/>
      <c r="E60" s="78"/>
      <c r="F60" s="78"/>
      <c r="G60" s="28"/>
      <c r="H60" s="28"/>
      <c r="I60" s="28"/>
      <c r="J60" s="28"/>
      <c r="K60" s="28"/>
      <c r="L60" s="29">
        <v>0</v>
      </c>
      <c r="M60" s="285"/>
      <c r="N60" s="28"/>
      <c r="O60" s="28"/>
      <c r="P60" s="28"/>
      <c r="Q60" s="28"/>
      <c r="R60" s="28"/>
      <c r="S60" s="28"/>
      <c r="T60" s="30"/>
      <c r="U60" s="28"/>
      <c r="V60" s="28"/>
      <c r="W60" s="28"/>
      <c r="X60" s="30"/>
      <c r="Y60" s="28"/>
      <c r="Z60" s="28"/>
      <c r="AA60" s="28"/>
      <c r="AB60" s="31"/>
      <c r="AC60" s="31"/>
      <c r="AD60" s="12"/>
    </row>
    <row r="61" spans="1:30" s="17" customFormat="1" ht="15.5" outlineLevel="1" x14ac:dyDescent="0.35">
      <c r="A61" s="93" t="s">
        <v>100</v>
      </c>
      <c r="B61" s="21"/>
      <c r="C61" s="84"/>
      <c r="D61" s="84"/>
      <c r="E61" s="84"/>
      <c r="F61" s="83"/>
      <c r="G61" s="32"/>
      <c r="H61" s="32"/>
      <c r="I61" s="32"/>
      <c r="J61" s="32"/>
      <c r="K61" s="32"/>
      <c r="L61" s="20">
        <f ca="1">LOOKUP(1000,INDIRECT("L1:"&amp;CELL("address",INDIRECT("R[-1]C",FALSE))))+1</f>
        <v>1</v>
      </c>
      <c r="M61" s="301" t="s">
        <v>458</v>
      </c>
      <c r="N61" s="301"/>
      <c r="O61" s="5"/>
      <c r="P61" s="33"/>
      <c r="Q61" s="33"/>
      <c r="R61" s="33"/>
      <c r="S61" s="33"/>
      <c r="T61" s="167">
        <f>IF($S$6="Exclude", SUMIFS(S62:S65, J62:J65, "&lt;&gt;Yes", G62:G65, "&lt;&gt;Yes"), SUMIFS(S62:S65, J62:J65, "&lt;&gt;Yes"))</f>
        <v>9.75</v>
      </c>
      <c r="U61" s="33"/>
      <c r="V61" s="33"/>
      <c r="W61" s="33"/>
      <c r="X61" s="34"/>
      <c r="Y61" s="35"/>
      <c r="Z61" s="35"/>
      <c r="AA61" s="35"/>
      <c r="AB61" s="240"/>
      <c r="AC61" s="36"/>
      <c r="AD61" s="26" t="str">
        <f>IF(M61="", "Error: Task name cannot be empty.", "")</f>
        <v/>
      </c>
    </row>
    <row r="62" spans="1:30" s="15" customFormat="1" ht="1.5" customHeight="1" outlineLevel="2" x14ac:dyDescent="0.35">
      <c r="A62" s="93" t="s">
        <v>101</v>
      </c>
      <c r="B62" s="21"/>
      <c r="C62" s="84"/>
      <c r="D62" s="84"/>
      <c r="E62" s="84"/>
      <c r="F62" s="83"/>
      <c r="G62" s="32"/>
      <c r="H62" s="32"/>
      <c r="I62" s="32"/>
      <c r="J62" s="32"/>
      <c r="K62" s="32"/>
      <c r="L62" s="175">
        <f ca="1">L61</f>
        <v>1</v>
      </c>
      <c r="M62" s="176" t="s">
        <v>105</v>
      </c>
      <c r="N62" s="173"/>
      <c r="O62" s="174"/>
      <c r="P62" s="33"/>
      <c r="Q62" s="33"/>
      <c r="R62" s="33"/>
      <c r="S62" s="33"/>
      <c r="T62" s="167"/>
      <c r="U62" s="33"/>
      <c r="V62" s="33"/>
      <c r="W62" s="33"/>
      <c r="X62" s="34"/>
      <c r="Y62" s="35"/>
      <c r="Z62" s="35"/>
      <c r="AA62" s="35"/>
      <c r="AB62" s="36"/>
      <c r="AC62" s="36"/>
      <c r="AD62" s="26"/>
    </row>
    <row r="63" spans="1:30" ht="29" outlineLevel="2" x14ac:dyDescent="0.35">
      <c r="A63" s="93" t="s">
        <v>0</v>
      </c>
      <c r="B63" s="21"/>
      <c r="C63" s="85"/>
      <c r="D63" s="85"/>
      <c r="E63" s="85"/>
      <c r="F63" s="86"/>
      <c r="G63" s="22" t="s">
        <v>23</v>
      </c>
      <c r="H63" s="22" t="s">
        <v>23</v>
      </c>
      <c r="I63" s="23" t="s">
        <v>23</v>
      </c>
      <c r="J63" s="22" t="s">
        <v>23</v>
      </c>
      <c r="K63" s="38"/>
      <c r="L63" s="22"/>
      <c r="M63" s="286" t="str">
        <f ca="1">IFERROR(OFFSET(M63,-1,,1,1)+0.1,OFFSET(M63,-1,-1,1,1)&amp;".1")</f>
        <v>1.1</v>
      </c>
      <c r="N63" s="23" t="s">
        <v>468</v>
      </c>
      <c r="O63" s="23"/>
      <c r="P63" s="23" t="s">
        <v>600</v>
      </c>
      <c r="Q63" s="144">
        <v>2</v>
      </c>
      <c r="R63" s="137">
        <v>2</v>
      </c>
      <c r="S63" s="169">
        <f>CEILING((IF(J63="Yes", 0, IF(H63="-",AA63,AA63+AA63*VLOOKUP(H63,BUFFERS_BY_TYPE,2,FALSE)))) +
   (IF(J63="Yes", 0, IF(H63="-",AA63,AA63+AA63*VLOOKUP(H63,BUFFERS_BY_TYPE,2,FALSE))))*VLOOKUP($S$5, SALES_CALL_SCALE_ARRAY, 2,FALSE),0.25)</f>
        <v>6.25</v>
      </c>
      <c r="T63" s="170"/>
      <c r="U63" s="24">
        <v>0.2</v>
      </c>
      <c r="V63" s="24">
        <v>0.5</v>
      </c>
      <c r="W63" s="24">
        <v>0.3</v>
      </c>
      <c r="X63" s="168">
        <v>1.5</v>
      </c>
      <c r="Y63" s="169">
        <f>CEILING((IF(P63=AS_DEV_EFFORT, DEV_EFFORT*Q63%,
                           IF(P63=AS_DURATION_EFFORT, (MANUAL_DURATION*5)*Q63%,
                                    (IF(Q63&lt;=1,X63,
                                          IF(SUM(U63:W63)=0,(Q63*X63),
                                               (((Q63*U63)*(X63+(X63*EXTRA_FOR_H)))+
                                               ((Q63*V63)*X63)+
                                               ((Q63*W63)*(X63-(X63*LESS_FOR_L)))
                                    )*IF(R63=0,1,R63))))))+Z63), 0.25)</f>
        <v>6.25</v>
      </c>
      <c r="Z63" s="25"/>
      <c r="AA63" s="169">
        <f>Y63+Y63*VLOOKUP(I63,EXTRAS_ARRAY,2,FALSE)</f>
        <v>6.25</v>
      </c>
      <c r="AB63" s="23"/>
      <c r="AC63" s="37"/>
      <c r="AD63" s="26" t="str">
        <f>IF(J63&lt;&gt;"Yes",
IF(S63&lt;=0,"Error: Effort value is not defined or is invalid.",
IF(AND(SUM(U63:W63)&gt;0,SUM(U63:W63)&lt;&gt;1),"Error: Complexity % distribution should sum to 100%.",
IF(AND(P63=AS_DEV_EFFORT,X63&lt;&gt;0),"Error: PDs should not be defined when defining as dev effort %.",
IF(AND(P63=AS_DURATION_EFFORT,X63&lt;&gt;0),"Error: PDs should not be defined when defining as duration effort %.","")))))</f>
        <v/>
      </c>
    </row>
    <row r="64" spans="1:30" ht="29" outlineLevel="2" x14ac:dyDescent="0.35">
      <c r="A64" s="93" t="s">
        <v>0</v>
      </c>
      <c r="B64" s="21"/>
      <c r="C64" s="85"/>
      <c r="D64" s="85"/>
      <c r="E64" s="85"/>
      <c r="F64" s="86"/>
      <c r="G64" s="22" t="s">
        <v>23</v>
      </c>
      <c r="H64" s="22" t="s">
        <v>23</v>
      </c>
      <c r="I64" s="23" t="s">
        <v>23</v>
      </c>
      <c r="J64" s="22" t="s">
        <v>23</v>
      </c>
      <c r="K64" s="38"/>
      <c r="L64" s="22"/>
      <c r="M64" s="286">
        <f ca="1">IFERROR(OFFSET(M64,-1,,1,1)+0.1,OFFSET(M64,-1,-1,1,1)&amp;".1")</f>
        <v>1.2000000000000002</v>
      </c>
      <c r="N64" s="23" t="s">
        <v>469</v>
      </c>
      <c r="O64" s="23"/>
      <c r="P64" s="23" t="s">
        <v>600</v>
      </c>
      <c r="Q64" s="144">
        <v>2</v>
      </c>
      <c r="R64" s="137">
        <v>2</v>
      </c>
      <c r="S64" s="169">
        <f>CEILING((IF(J64="Yes", 0, IF(H64="-",AA64,AA64+AA64*VLOOKUP(H64,BUFFERS_BY_TYPE,2,FALSE)))) +
   (IF(J64="Yes", 0, IF(H64="-",AA64,AA64+AA64*VLOOKUP(H64,BUFFERS_BY_TYPE,2,FALSE))))*VLOOKUP($S$5, SALES_CALL_SCALE_ARRAY, 2,FALSE),0.25)</f>
        <v>3.5</v>
      </c>
      <c r="T64" s="170"/>
      <c r="U64" s="24">
        <v>0.2</v>
      </c>
      <c r="V64" s="24">
        <v>0.5</v>
      </c>
      <c r="W64" s="24">
        <v>0.3</v>
      </c>
      <c r="X64" s="168">
        <v>0.8</v>
      </c>
      <c r="Y64" s="169">
        <f>CEILING((IF(P64=AS_DEV_EFFORT, DEV_EFFORT*Q64%,
                           IF(P64=AS_DURATION_EFFORT, (MANUAL_DURATION*5)*Q64%,
                                    (IF(Q64&lt;=1,X64,
                                          IF(SUM(U64:W64)=0,(Q64*X64),
                                               (((Q64*U64)*(X64+(X64*EXTRA_FOR_H)))+
                                               ((Q64*V64)*X64)+
                                               ((Q64*W64)*(X64-(X64*LESS_FOR_L)))
                                    )*IF(R64=0,1,R64))))))+Z64), 0.25)</f>
        <v>3.5</v>
      </c>
      <c r="Z64" s="25"/>
      <c r="AA64" s="169">
        <f>Y64+Y64*VLOOKUP(I64,EXTRAS_ARRAY,2,FALSE)</f>
        <v>3.5</v>
      </c>
      <c r="AB64" s="23"/>
      <c r="AC64" s="37"/>
      <c r="AD64" s="26" t="str">
        <f>IF(J64&lt;&gt;"Yes",
IF(S64&lt;=0,"Error: Effort value is not defined or is invalid.",
IF(AND(SUM(U64:W64)&gt;0,SUM(U64:W64)&lt;&gt;1),"Error: Complexity % distribution should sum to 100%.",
IF(AND(P64=AS_DEV_EFFORT,X64&lt;&gt;0),"Error: PDs should not be defined when defining as dev effort %.",
IF(AND(P64=AS_DURATION_EFFORT,X64&lt;&gt;0),"Error: PDs should not be defined when defining as duration effort %.","")))))</f>
        <v/>
      </c>
    </row>
    <row r="65" spans="1:30" s="11" customFormat="1" ht="7.5" customHeight="1" outlineLevel="2" x14ac:dyDescent="0.35">
      <c r="A65" s="93" t="s">
        <v>132</v>
      </c>
      <c r="B65" s="18"/>
      <c r="C65" s="78"/>
      <c r="D65" s="78"/>
      <c r="E65" s="78"/>
      <c r="F65" s="78"/>
      <c r="G65" s="10"/>
      <c r="H65" s="10"/>
      <c r="I65" s="10"/>
      <c r="J65" s="10"/>
      <c r="K65" s="10"/>
      <c r="L65" s="10"/>
      <c r="M65" s="287"/>
      <c r="N65" s="10"/>
      <c r="O65" s="10"/>
      <c r="P65" s="10"/>
      <c r="Q65" s="10"/>
      <c r="R65" s="10"/>
      <c r="S65" s="10"/>
      <c r="T65" s="18"/>
      <c r="U65" s="10"/>
      <c r="V65" s="10"/>
      <c r="W65" s="10"/>
      <c r="X65" s="18"/>
      <c r="Y65" s="10"/>
      <c r="Z65" s="10"/>
      <c r="AA65" s="10"/>
      <c r="AB65" s="60"/>
      <c r="AC65" s="60"/>
      <c r="AD65" s="12"/>
    </row>
    <row r="66" spans="1:30" s="17" customFormat="1" ht="15.5" outlineLevel="1" x14ac:dyDescent="0.35">
      <c r="A66" s="93" t="s">
        <v>100</v>
      </c>
      <c r="B66" s="21"/>
      <c r="C66" s="84"/>
      <c r="D66" s="84"/>
      <c r="E66" s="84"/>
      <c r="F66" s="83"/>
      <c r="G66" s="32"/>
      <c r="H66" s="32"/>
      <c r="I66" s="32"/>
      <c r="J66" s="32"/>
      <c r="K66" s="32"/>
      <c r="L66" s="20">
        <f ca="1">LOOKUP(1000,INDIRECT("L1:"&amp;CELL("address",INDIRECT("R[-1]C",FALSE))))+1</f>
        <v>2</v>
      </c>
      <c r="M66" s="301" t="s">
        <v>465</v>
      </c>
      <c r="N66" s="301"/>
      <c r="O66" s="5"/>
      <c r="P66" s="33"/>
      <c r="Q66" s="33"/>
      <c r="R66" s="33"/>
      <c r="S66" s="33"/>
      <c r="T66" s="167">
        <f>IF($S$6="Exclude", SUMIFS(S67:S69, J67:J69, "&lt;&gt;Yes", G67:G69, "&lt;&gt;Yes"), SUMIFS(S67:S69, J67:J69, "&lt;&gt;Yes"))</f>
        <v>10</v>
      </c>
      <c r="U66" s="33"/>
      <c r="V66" s="33"/>
      <c r="W66" s="33"/>
      <c r="X66" s="34"/>
      <c r="Y66" s="35"/>
      <c r="Z66" s="35"/>
      <c r="AA66" s="35"/>
      <c r="AB66" s="240"/>
      <c r="AC66" s="36"/>
      <c r="AD66" s="26" t="str">
        <f>IF(M66="", "Error: Task name cannot be empty.", "")</f>
        <v/>
      </c>
    </row>
    <row r="67" spans="1:30" s="15" customFormat="1" ht="1.5" customHeight="1" outlineLevel="2" x14ac:dyDescent="0.35">
      <c r="A67" s="93" t="s">
        <v>101</v>
      </c>
      <c r="B67" s="21"/>
      <c r="C67" s="84"/>
      <c r="D67" s="84"/>
      <c r="E67" s="84"/>
      <c r="F67" s="83"/>
      <c r="G67" s="32"/>
      <c r="H67" s="32"/>
      <c r="I67" s="32"/>
      <c r="J67" s="32"/>
      <c r="K67" s="32"/>
      <c r="L67" s="175">
        <f ca="1">L66</f>
        <v>2</v>
      </c>
      <c r="M67" s="176" t="s">
        <v>105</v>
      </c>
      <c r="N67" s="173"/>
      <c r="O67" s="174"/>
      <c r="P67" s="33"/>
      <c r="Q67" s="33"/>
      <c r="R67" s="33"/>
      <c r="S67" s="33"/>
      <c r="T67" s="167"/>
      <c r="U67" s="33"/>
      <c r="V67" s="33"/>
      <c r="W67" s="33"/>
      <c r="X67" s="34"/>
      <c r="Y67" s="35"/>
      <c r="Z67" s="35"/>
      <c r="AA67" s="35"/>
      <c r="AB67" s="36"/>
      <c r="AC67" s="36"/>
      <c r="AD67" s="26"/>
    </row>
    <row r="68" spans="1:30" ht="58" outlineLevel="2" x14ac:dyDescent="0.35">
      <c r="A68" s="93" t="s">
        <v>0</v>
      </c>
      <c r="B68" s="21"/>
      <c r="C68" s="85"/>
      <c r="D68" s="85"/>
      <c r="E68" s="85"/>
      <c r="F68" s="86"/>
      <c r="G68" s="22" t="s">
        <v>23</v>
      </c>
      <c r="H68" s="22" t="s">
        <v>23</v>
      </c>
      <c r="I68" s="23" t="s">
        <v>23</v>
      </c>
      <c r="J68" s="22" t="s">
        <v>23</v>
      </c>
      <c r="K68" s="38"/>
      <c r="L68" s="22"/>
      <c r="M68" s="286" t="str">
        <f ca="1">IFERROR(OFFSET(M68,-1,,1,1)+0.1,OFFSET(M68,-1,-1,1,1)&amp;".1")</f>
        <v>2.1</v>
      </c>
      <c r="N68" s="23" t="s">
        <v>592</v>
      </c>
      <c r="O68" s="23"/>
      <c r="P68" s="23" t="s">
        <v>600</v>
      </c>
      <c r="Q68" s="144">
        <v>2</v>
      </c>
      <c r="R68" s="137">
        <v>1</v>
      </c>
      <c r="S68" s="169">
        <f>CEILING((IF(J68="Yes", 0, IF(H68="-",AA68,AA68+AA68*VLOOKUP(H68,BUFFERS_BY_TYPE,2,FALSE)))) +
   (IF(J68="Yes", 0, IF(H68="-",AA68,AA68+AA68*VLOOKUP(H68,BUFFERS_BY_TYPE,2,FALSE))))*VLOOKUP($S$5, SALES_CALL_SCALE_ARRAY, 2,FALSE),0.25)</f>
        <v>10</v>
      </c>
      <c r="T68" s="170"/>
      <c r="U68" s="24">
        <v>0.3</v>
      </c>
      <c r="V68" s="24">
        <v>0.5</v>
      </c>
      <c r="W68" s="24">
        <v>0.2</v>
      </c>
      <c r="X68" s="168">
        <v>4.5</v>
      </c>
      <c r="Y68" s="169">
        <f>CEILING((IF(P68=AS_DEV_EFFORT, DEV_EFFORT*Q68%,
                           IF(P68=AS_DURATION_EFFORT, (MANUAL_DURATION*5)*Q68%,
                                    (IF(Q68&lt;=1,X68,
                                          IF(SUM(U68:W68)=0,(Q68*X68),
                                               (((Q68*U68)*(X68+(X68*EXTRA_FOR_H)))+
                                               ((Q68*V68)*X68)+
                                               ((Q68*W68)*(X68-(X68*LESS_FOR_L)))
                                    )*IF(R68=0,1,R68))))))+Z68), 0.25)</f>
        <v>10</v>
      </c>
      <c r="Z68" s="25"/>
      <c r="AA68" s="169">
        <f>Y68+Y68*VLOOKUP(I68,EXTRAS_ARRAY,2,FALSE)</f>
        <v>10</v>
      </c>
      <c r="AB68" s="23"/>
      <c r="AC68" s="37"/>
      <c r="AD68" s="26" t="str">
        <f>IF(J68&lt;&gt;"Yes",
IF(S68&lt;=0,"Error: Effort value is not defined or is invalid.",
IF(AND(SUM(U68:W68)&gt;0,SUM(U68:W68)&lt;&gt;1),"Error: Complexity % distribution should sum to 100%.",
IF(AND(P68=AS_DEV_EFFORT,X68&lt;&gt;0),"Error: PDs should not be defined when defining as dev effort %.",
IF(AND(P68=AS_DURATION_EFFORT,X68&lt;&gt;0),"Error: PDs should not be defined when defining as duration effort %.","")))))</f>
        <v/>
      </c>
    </row>
    <row r="69" spans="1:30" s="11" customFormat="1" ht="7.5" customHeight="1" outlineLevel="2" x14ac:dyDescent="0.35">
      <c r="A69" s="93" t="s">
        <v>132</v>
      </c>
      <c r="B69" s="18"/>
      <c r="C69" s="78"/>
      <c r="D69" s="78"/>
      <c r="E69" s="78"/>
      <c r="F69" s="78"/>
      <c r="G69" s="10"/>
      <c r="H69" s="10"/>
      <c r="I69" s="10"/>
      <c r="J69" s="10"/>
      <c r="K69" s="10"/>
      <c r="L69" s="10"/>
      <c r="M69" s="287"/>
      <c r="N69" s="10"/>
      <c r="O69" s="10"/>
      <c r="P69" s="10"/>
      <c r="Q69" s="10"/>
      <c r="R69" s="10"/>
      <c r="S69" s="10"/>
      <c r="T69" s="18"/>
      <c r="U69" s="10"/>
      <c r="V69" s="10"/>
      <c r="W69" s="10"/>
      <c r="X69" s="18"/>
      <c r="Y69" s="10"/>
      <c r="Z69" s="10"/>
      <c r="AA69" s="10"/>
      <c r="AB69" s="60"/>
      <c r="AC69" s="60"/>
      <c r="AD69" s="12"/>
    </row>
    <row r="70" spans="1:30" s="17" customFormat="1" ht="15.5" outlineLevel="1" x14ac:dyDescent="0.35">
      <c r="A70" s="93" t="s">
        <v>100</v>
      </c>
      <c r="B70" s="21"/>
      <c r="C70" s="84"/>
      <c r="D70" s="84"/>
      <c r="E70" s="84"/>
      <c r="F70" s="83"/>
      <c r="G70" s="32"/>
      <c r="H70" s="32"/>
      <c r="I70" s="32"/>
      <c r="J70" s="32"/>
      <c r="K70" s="32"/>
      <c r="L70" s="20">
        <f ca="1">LOOKUP(1000,INDIRECT("L1:"&amp;CELL("address",INDIRECT("R[-1]C",FALSE))))+1</f>
        <v>3</v>
      </c>
      <c r="M70" s="301" t="s">
        <v>473</v>
      </c>
      <c r="N70" s="301"/>
      <c r="O70" s="5"/>
      <c r="P70" s="33"/>
      <c r="Q70" s="33"/>
      <c r="R70" s="33"/>
      <c r="S70" s="33"/>
      <c r="T70" s="167">
        <f>IF($S$6="Exclude", SUMIFS(S71:S77, J71:J77, "&lt;&gt;Yes", G71:G77, "&lt;&gt;Yes"), SUMIFS(S71:S77, J71:J77, "&lt;&gt;Yes"))</f>
        <v>49.75</v>
      </c>
      <c r="U70" s="33"/>
      <c r="V70" s="33"/>
      <c r="W70" s="33"/>
      <c r="X70" s="34"/>
      <c r="Y70" s="35"/>
      <c r="Z70" s="35"/>
      <c r="AA70" s="35"/>
      <c r="AB70" s="240"/>
      <c r="AC70" s="36"/>
      <c r="AD70" s="26" t="str">
        <f>IF(M70="", "Error: Task name cannot be empty.", "")</f>
        <v/>
      </c>
    </row>
    <row r="71" spans="1:30" s="15" customFormat="1" ht="1.5" customHeight="1" outlineLevel="2" x14ac:dyDescent="0.35">
      <c r="A71" s="93" t="s">
        <v>101</v>
      </c>
      <c r="B71" s="21"/>
      <c r="C71" s="84"/>
      <c r="D71" s="84"/>
      <c r="E71" s="84"/>
      <c r="F71" s="83"/>
      <c r="G71" s="32"/>
      <c r="H71" s="32"/>
      <c r="I71" s="32"/>
      <c r="J71" s="32"/>
      <c r="K71" s="32"/>
      <c r="L71" s="175">
        <f ca="1">L70</f>
        <v>3</v>
      </c>
      <c r="M71" s="176" t="s">
        <v>105</v>
      </c>
      <c r="N71" s="173"/>
      <c r="O71" s="174"/>
      <c r="P71" s="33"/>
      <c r="Q71" s="33"/>
      <c r="R71" s="33"/>
      <c r="S71" s="33"/>
      <c r="T71" s="167"/>
      <c r="U71" s="33"/>
      <c r="V71" s="33"/>
      <c r="W71" s="33"/>
      <c r="X71" s="34"/>
      <c r="Y71" s="35"/>
      <c r="Z71" s="35"/>
      <c r="AA71" s="35"/>
      <c r="AB71" s="36"/>
      <c r="AC71" s="36"/>
      <c r="AD71" s="26"/>
    </row>
    <row r="72" spans="1:30" ht="43.5" outlineLevel="2" x14ac:dyDescent="0.35">
      <c r="A72" s="93" t="s">
        <v>0</v>
      </c>
      <c r="B72" s="21"/>
      <c r="C72" s="85"/>
      <c r="D72" s="85"/>
      <c r="E72" s="85"/>
      <c r="F72" s="86"/>
      <c r="G72" s="22" t="s">
        <v>23</v>
      </c>
      <c r="H72" s="22" t="s">
        <v>23</v>
      </c>
      <c r="I72" s="23" t="s">
        <v>23</v>
      </c>
      <c r="J72" s="22" t="s">
        <v>23</v>
      </c>
      <c r="K72" s="38"/>
      <c r="L72" s="22"/>
      <c r="M72" s="286" t="str">
        <f ca="1">IFERROR(OFFSET(M72,-1,,1,1)+0.1,OFFSET(M72,-1,-1,1,1)&amp;".1")</f>
        <v>3.1</v>
      </c>
      <c r="N72" s="23" t="s">
        <v>470</v>
      </c>
      <c r="O72" s="23"/>
      <c r="P72" s="23" t="s">
        <v>600</v>
      </c>
      <c r="Q72" s="144">
        <v>2</v>
      </c>
      <c r="R72" s="137">
        <v>2</v>
      </c>
      <c r="S72" s="169">
        <f>CEILING((IF(J72="Yes", 0, IF(H72="-",AA72,AA72+AA72*VLOOKUP(H72,BUFFERS_BY_TYPE,2,FALSE)))) +
   (IF(J72="Yes", 0, IF(H72="-",AA72,AA72+AA72*VLOOKUP(H72,BUFFERS_BY_TYPE,2,FALSE))))*VLOOKUP($S$5, SALES_CALL_SCALE_ARRAY, 2,FALSE),0.25)</f>
        <v>10</v>
      </c>
      <c r="T72" s="170"/>
      <c r="U72" s="24">
        <v>0</v>
      </c>
      <c r="V72" s="24">
        <v>1</v>
      </c>
      <c r="W72" s="24">
        <v>0</v>
      </c>
      <c r="X72" s="168">
        <v>2.5</v>
      </c>
      <c r="Y72" s="169">
        <f>CEILING((IF(P72=AS_DEV_EFFORT, DEV_EFFORT*Q72%,
                           IF(P72=AS_DURATION_EFFORT, (MANUAL_DURATION*5)*Q72%,
                                    (IF(Q72&lt;=1,X72,
                                          IF(SUM(U72:W72)=0,(Q72*X72),
                                               (((Q72*U72)*(X72+(X72*EXTRA_FOR_H)))+
                                               ((Q72*V72)*X72)+
                                               ((Q72*W72)*(X72-(X72*LESS_FOR_L)))
                                    )*IF(R72=0,1,R72))))))+Z72), 0.25)</f>
        <v>10</v>
      </c>
      <c r="Z72" s="25"/>
      <c r="AA72" s="169">
        <f>Y72+Y72*VLOOKUP(I72,EXTRAS_ARRAY,2,FALSE)</f>
        <v>10</v>
      </c>
      <c r="AB72" s="23"/>
      <c r="AC72" s="37"/>
      <c r="AD72" s="26" t="str">
        <f>IF(J72&lt;&gt;"Yes",
IF(S72&lt;=0,"Error: Effort value is not defined or is invalid.",
IF(AND(SUM(U72:W72)&gt;0,SUM(U72:W72)&lt;&gt;1),"Error: Complexity % distribution should sum to 100%.",
IF(AND(P72=AS_DEV_EFFORT,X72&lt;&gt;0),"Error: PDs should not be defined when defining as dev effort %.",
IF(AND(P72=AS_DURATION_EFFORT,X72&lt;&gt;0),"Error: PDs should not be defined when defining as duration effort %.","")))))</f>
        <v/>
      </c>
    </row>
    <row r="73" spans="1:30" ht="43.5" outlineLevel="2" x14ac:dyDescent="0.35">
      <c r="A73" s="93" t="s">
        <v>0</v>
      </c>
      <c r="B73" s="21"/>
      <c r="C73" s="85"/>
      <c r="D73" s="85"/>
      <c r="E73" s="85"/>
      <c r="F73" s="86"/>
      <c r="G73" s="22" t="s">
        <v>23</v>
      </c>
      <c r="H73" s="22" t="s">
        <v>23</v>
      </c>
      <c r="I73" s="23" t="s">
        <v>23</v>
      </c>
      <c r="J73" s="22" t="s">
        <v>23</v>
      </c>
      <c r="K73" s="38"/>
      <c r="L73" s="22"/>
      <c r="M73" s="286">
        <f ca="1">IFERROR(OFFSET(M73,-1,,1,1)+0.1,OFFSET(M73,-1,-1,1,1)&amp;".1")</f>
        <v>3.2</v>
      </c>
      <c r="N73" s="23" t="s">
        <v>471</v>
      </c>
      <c r="O73" s="23"/>
      <c r="P73" s="23" t="s">
        <v>600</v>
      </c>
      <c r="Q73" s="144">
        <v>3</v>
      </c>
      <c r="R73" s="137">
        <v>2</v>
      </c>
      <c r="S73" s="169">
        <f>CEILING((IF(J73="Yes", 0, IF(H73="-",AA73,AA73+AA73*VLOOKUP(H73,BUFFERS_BY_TYPE,2,FALSE)))) +
   (IF(J73="Yes", 0, IF(H73="-",AA73,AA73+AA73*VLOOKUP(H73,BUFFERS_BY_TYPE,2,FALSE))))*VLOOKUP($S$5, SALES_CALL_SCALE_ARRAY, 2,FALSE),0.25)</f>
        <v>18.5</v>
      </c>
      <c r="T73" s="170"/>
      <c r="U73" s="24">
        <v>0.2</v>
      </c>
      <c r="V73" s="24">
        <v>0.5</v>
      </c>
      <c r="W73" s="24">
        <v>0.3</v>
      </c>
      <c r="X73" s="168">
        <v>3</v>
      </c>
      <c r="Y73" s="169">
        <f>CEILING((IF(P73=AS_DEV_EFFORT, DEV_EFFORT*Q73%,
                           IF(P73=AS_DURATION_EFFORT, (MANUAL_DURATION*5)*Q73%,
                                    (IF(Q73&lt;=1,X73,
                                          IF(SUM(U73:W73)=0,(Q73*X73),
                                               (((Q73*U73)*(X73+(X73*EXTRA_FOR_H)))+
                                               ((Q73*V73)*X73)+
                                               ((Q73*W73)*(X73-(X73*LESS_FOR_L)))
                                    )*IF(R73=0,1,R73))))))+Z73), 0.25)</f>
        <v>18.5</v>
      </c>
      <c r="Z73" s="25"/>
      <c r="AA73" s="169">
        <f>Y73+Y73*VLOOKUP(I73,EXTRAS_ARRAY,2,FALSE)</f>
        <v>18.5</v>
      </c>
      <c r="AB73" s="23"/>
      <c r="AC73" s="37"/>
      <c r="AD73" s="26" t="str">
        <f>IF(J73&lt;&gt;"Yes",
IF(S73&lt;=0,"Error: Effort value is not defined or is invalid.",
IF(AND(SUM(U73:W73)&gt;0,SUM(U73:W73)&lt;&gt;1),"Error: Complexity % distribution should sum to 100%.",
IF(AND(P73=AS_DEV_EFFORT,X73&lt;&gt;0),"Error: PDs should not be defined when defining as dev effort %.",
IF(AND(P73=AS_DURATION_EFFORT,X73&lt;&gt;0),"Error: PDs should not be defined when defining as duration effort %.","")))))</f>
        <v/>
      </c>
    </row>
    <row r="74" spans="1:30" ht="72.5" outlineLevel="2" x14ac:dyDescent="0.35">
      <c r="A74" s="93" t="s">
        <v>0</v>
      </c>
      <c r="B74" s="21"/>
      <c r="C74" s="85"/>
      <c r="D74" s="85"/>
      <c r="E74" s="85"/>
      <c r="F74" s="86"/>
      <c r="G74" s="22" t="s">
        <v>23</v>
      </c>
      <c r="H74" s="22" t="s">
        <v>23</v>
      </c>
      <c r="I74" s="23" t="s">
        <v>23</v>
      </c>
      <c r="J74" s="22" t="s">
        <v>23</v>
      </c>
      <c r="K74" s="38"/>
      <c r="L74" s="22"/>
      <c r="M74" s="286">
        <f ca="1">IFERROR(OFFSET(M74,-1,,1,1)+0.1,OFFSET(M74,-1,-1,1,1)&amp;".1")</f>
        <v>3.3000000000000003</v>
      </c>
      <c r="N74" s="23" t="s">
        <v>593</v>
      </c>
      <c r="O74" s="23"/>
      <c r="P74" s="23" t="s">
        <v>600</v>
      </c>
      <c r="Q74" s="144">
        <v>2</v>
      </c>
      <c r="R74" s="137">
        <v>2</v>
      </c>
      <c r="S74" s="169">
        <f>CEILING((IF(J74="Yes", 0, IF(H74="-",AA74,AA74+AA74*VLOOKUP(H74,BUFFERS_BY_TYPE,2,FALSE)))) +
   (IF(J74="Yes", 0, IF(H74="-",AA74,AA74+AA74*VLOOKUP(H74,BUFFERS_BY_TYPE,2,FALSE))))*VLOOKUP($S$5, SALES_CALL_SCALE_ARRAY, 2,FALSE),0.25)</f>
        <v>10.25</v>
      </c>
      <c r="T74" s="170"/>
      <c r="U74" s="24">
        <v>0.2</v>
      </c>
      <c r="V74" s="24">
        <v>0.5</v>
      </c>
      <c r="W74" s="24">
        <v>0.3</v>
      </c>
      <c r="X74" s="168">
        <v>2.5</v>
      </c>
      <c r="Y74" s="169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>10.25</v>
      </c>
      <c r="Z74" s="25"/>
      <c r="AA74" s="169">
        <f>Y74+Y74*VLOOKUP(I74,EXTRAS_ARRAY,2,FALSE)</f>
        <v>10.25</v>
      </c>
      <c r="AB74" s="23"/>
      <c r="AC74" s="37"/>
      <c r="AD74" s="26" t="str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spans="1:30" ht="29" outlineLevel="2" x14ac:dyDescent="0.35">
      <c r="A75" s="93" t="s">
        <v>0</v>
      </c>
      <c r="B75" s="21"/>
      <c r="C75" s="85"/>
      <c r="D75" s="85"/>
      <c r="E75" s="85"/>
      <c r="F75" s="86"/>
      <c r="G75" s="22" t="s">
        <v>23</v>
      </c>
      <c r="H75" s="22" t="s">
        <v>23</v>
      </c>
      <c r="I75" s="23" t="s">
        <v>23</v>
      </c>
      <c r="J75" s="22" t="s">
        <v>23</v>
      </c>
      <c r="K75" s="38"/>
      <c r="L75" s="22"/>
      <c r="M75" s="286">
        <f ca="1">IFERROR(OFFSET(M75,-1,,1,1)+0.1,OFFSET(M75,-1,-1,1,1)&amp;".1")</f>
        <v>3.4000000000000004</v>
      </c>
      <c r="N75" s="23" t="s">
        <v>594</v>
      </c>
      <c r="O75" s="23"/>
      <c r="P75" s="23" t="s">
        <v>600</v>
      </c>
      <c r="Q75" s="144">
        <v>2</v>
      </c>
      <c r="R75" s="137">
        <v>1</v>
      </c>
      <c r="S75" s="169">
        <f>CEILING((IF(J75="Yes", 0, IF(H75="-",AA75,AA75+AA75*VLOOKUP(H75,BUFFERS_BY_TYPE,2,FALSE)))) +
   (IF(J75="Yes", 0, IF(H75="-",AA75,AA75+AA75*VLOOKUP(H75,BUFFERS_BY_TYPE,2,FALSE))))*VLOOKUP($S$5, SALES_CALL_SCALE_ARRAY, 2,FALSE),0.25)</f>
        <v>6</v>
      </c>
      <c r="T75" s="170"/>
      <c r="U75" s="24">
        <v>0</v>
      </c>
      <c r="V75" s="24">
        <v>1</v>
      </c>
      <c r="W75" s="24">
        <v>0</v>
      </c>
      <c r="X75" s="168">
        <v>3</v>
      </c>
      <c r="Y75" s="169">
        <f>CEILING((IF(P75=AS_DEV_EFFORT, DEV_EFFORT*Q75%,
                           IF(P75=AS_DURATION_EFFORT, (MANUAL_DURATION*5)*Q75%,
                                    (IF(Q75&lt;=1,X75,
                                          IF(SUM(U75:W75)=0,(Q75*X75),
                                               (((Q75*U75)*(X75+(X75*EXTRA_FOR_H)))+
                                               ((Q75*V75)*X75)+
                                               ((Q75*W75)*(X75-(X75*LESS_FOR_L)))
                                    )*IF(R75=0,1,R75))))))+Z75), 0.25)</f>
        <v>6</v>
      </c>
      <c r="Z75" s="25"/>
      <c r="AA75" s="169">
        <f>Y75+Y75*VLOOKUP(I75,EXTRAS_ARRAY,2,FALSE)</f>
        <v>6</v>
      </c>
      <c r="AB75" s="23" t="s">
        <v>445</v>
      </c>
      <c r="AC75" s="37"/>
      <c r="AD75" s="26" t="str">
        <f>IF(J75&lt;&gt;"Yes",
IF(S75&lt;=0,"Error: Effort value is not defined or is invalid.",
IF(AND(SUM(U75:W75)&gt;0,SUM(U75:W75)&lt;&gt;1),"Error: Complexity % distribution should sum to 100%.",
IF(AND(P75=AS_DEV_EFFORT,X75&lt;&gt;0),"Error: PDs should not be defined when defining as dev effort %.",
IF(AND(P75=AS_DURATION_EFFORT,X75&lt;&gt;0),"Error: PDs should not be defined when defining as duration effort %.","")))))</f>
        <v/>
      </c>
    </row>
    <row r="76" spans="1:30" ht="43.5" outlineLevel="2" x14ac:dyDescent="0.35">
      <c r="A76" s="93" t="s">
        <v>0</v>
      </c>
      <c r="B76" s="21"/>
      <c r="C76" s="85"/>
      <c r="D76" s="85"/>
      <c r="E76" s="85"/>
      <c r="F76" s="86"/>
      <c r="G76" s="22" t="s">
        <v>23</v>
      </c>
      <c r="H76" s="22" t="s">
        <v>23</v>
      </c>
      <c r="I76" s="23" t="s">
        <v>23</v>
      </c>
      <c r="J76" s="22" t="s">
        <v>23</v>
      </c>
      <c r="K76" s="38"/>
      <c r="L76" s="22"/>
      <c r="M76" s="286">
        <f ca="1">IFERROR(OFFSET(M76,-1,,1,1)+0.1,OFFSET(M76,-1,-1,1,1)&amp;".1")</f>
        <v>3.5000000000000004</v>
      </c>
      <c r="N76" s="23" t="s">
        <v>472</v>
      </c>
      <c r="O76" s="23"/>
      <c r="P76" s="23"/>
      <c r="Q76" s="144"/>
      <c r="R76" s="137"/>
      <c r="S76" s="169">
        <f>CEILING((IF(J76="Yes", 0, IF(H76="-",AA76,AA76+AA76*VLOOKUP(H76,BUFFERS_BY_TYPE,2,FALSE)))) +
   (IF(J76="Yes", 0, IF(H76="-",AA76,AA76+AA76*VLOOKUP(H76,BUFFERS_BY_TYPE,2,FALSE))))*VLOOKUP($S$5, SALES_CALL_SCALE_ARRAY, 2,FALSE),0.25)</f>
        <v>5</v>
      </c>
      <c r="T76" s="170"/>
      <c r="U76" s="24">
        <v>0</v>
      </c>
      <c r="V76" s="24">
        <v>1</v>
      </c>
      <c r="W76" s="24">
        <v>0</v>
      </c>
      <c r="X76" s="168">
        <v>5</v>
      </c>
      <c r="Y76" s="169">
        <f>CEILING((IF(P76=AS_DEV_EFFORT, DEV_EFFORT*Q76%,
                           IF(P76=AS_DURATION_EFFORT, (MANUAL_DURATION*5)*Q76%,
                                    (IF(Q76&lt;=1,X76,
                                          IF(SUM(U76:W76)=0,(Q76*X76),
                                               (((Q76*U76)*(X76+(X76*EXTRA_FOR_H)))+
                                               ((Q76*V76)*X76)+
                                               ((Q76*W76)*(X76-(X76*LESS_FOR_L)))
                                    )*IF(R76=0,1,R76))))))+Z76), 0.25)</f>
        <v>5</v>
      </c>
      <c r="Z76" s="25"/>
      <c r="AA76" s="169">
        <f>Y76+Y76*VLOOKUP(I76,EXTRAS_ARRAY,2,FALSE)</f>
        <v>5</v>
      </c>
      <c r="AB76" s="23"/>
      <c r="AC76" s="37"/>
      <c r="AD76" s="26" t="str">
        <f>IF(J76&lt;&gt;"Yes",
IF(S76&lt;=0,"Error: Effort value is not defined or is invalid.",
IF(AND(SUM(U76:W76)&gt;0,SUM(U76:W76)&lt;&gt;1),"Error: Complexity % distribution should sum to 100%.",
IF(AND(P76=AS_DEV_EFFORT,X76&lt;&gt;0),"Error: PDs should not be defined when defining as dev effort %.",
IF(AND(P76=AS_DURATION_EFFORT,X76&lt;&gt;0),"Error: PDs should not be defined when defining as duration effort %.","")))))</f>
        <v/>
      </c>
    </row>
    <row r="77" spans="1:30" s="11" customFormat="1" ht="7.5" customHeight="1" outlineLevel="2" x14ac:dyDescent="0.35">
      <c r="A77" s="93" t="s">
        <v>132</v>
      </c>
      <c r="B77" s="18"/>
      <c r="C77" s="78"/>
      <c r="D77" s="78"/>
      <c r="E77" s="78"/>
      <c r="F77" s="78"/>
      <c r="G77" s="10"/>
      <c r="H77" s="10"/>
      <c r="I77" s="10"/>
      <c r="J77" s="10"/>
      <c r="K77" s="10"/>
      <c r="L77" s="10"/>
      <c r="M77" s="287"/>
      <c r="N77" s="10"/>
      <c r="O77" s="10"/>
      <c r="P77" s="10"/>
      <c r="Q77" s="10"/>
      <c r="R77" s="10"/>
      <c r="S77" s="10"/>
      <c r="T77" s="18"/>
      <c r="U77" s="10"/>
      <c r="V77" s="10"/>
      <c r="W77" s="10"/>
      <c r="X77" s="18"/>
      <c r="Y77" s="10"/>
      <c r="Z77" s="10"/>
      <c r="AA77" s="10"/>
      <c r="AB77" s="60"/>
      <c r="AC77" s="60"/>
      <c r="AD77" s="12"/>
    </row>
    <row r="78" spans="1:30" s="17" customFormat="1" ht="15.5" outlineLevel="1" x14ac:dyDescent="0.35">
      <c r="A78" s="93" t="s">
        <v>100</v>
      </c>
      <c r="B78" s="21"/>
      <c r="C78" s="84"/>
      <c r="D78" s="84"/>
      <c r="E78" s="84"/>
      <c r="F78" s="83"/>
      <c r="G78" s="32"/>
      <c r="H78" s="32"/>
      <c r="I78" s="32"/>
      <c r="J78" s="32"/>
      <c r="K78" s="32"/>
      <c r="L78" s="20">
        <f ca="1">LOOKUP(1000,INDIRECT("L1:"&amp;CELL("address",INDIRECT("R[-1]C",FALSE))))+1</f>
        <v>4</v>
      </c>
      <c r="M78" s="301" t="s">
        <v>466</v>
      </c>
      <c r="N78" s="301"/>
      <c r="O78" s="5"/>
      <c r="P78" s="33"/>
      <c r="Q78" s="33"/>
      <c r="R78" s="33"/>
      <c r="S78" s="33"/>
      <c r="T78" s="167">
        <f>IF($S$6="Exclude", SUMIFS(S79:S85, J79:J85, "&lt;&gt;Yes", G79:G85, "&lt;&gt;Yes"), SUMIFS(S79:S85, J79:J85, "&lt;&gt;Yes"))</f>
        <v>55</v>
      </c>
      <c r="U78" s="33"/>
      <c r="V78" s="33"/>
      <c r="W78" s="33"/>
      <c r="X78" s="34"/>
      <c r="Y78" s="35"/>
      <c r="Z78" s="35"/>
      <c r="AA78" s="35"/>
      <c r="AB78" s="240"/>
      <c r="AC78" s="36"/>
      <c r="AD78" s="26" t="str">
        <f>IF(M78="", "Error: Task name cannot be empty.", "")</f>
        <v/>
      </c>
    </row>
    <row r="79" spans="1:30" s="15" customFormat="1" ht="1.5" customHeight="1" outlineLevel="2" x14ac:dyDescent="0.35">
      <c r="A79" s="93" t="s">
        <v>101</v>
      </c>
      <c r="B79" s="21"/>
      <c r="C79" s="84"/>
      <c r="D79" s="84"/>
      <c r="E79" s="84"/>
      <c r="F79" s="83"/>
      <c r="G79" s="32"/>
      <c r="H79" s="32"/>
      <c r="I79" s="32"/>
      <c r="J79" s="32"/>
      <c r="K79" s="32"/>
      <c r="L79" s="175">
        <f ca="1">L78</f>
        <v>4</v>
      </c>
      <c r="M79" s="176" t="s">
        <v>105</v>
      </c>
      <c r="N79" s="173"/>
      <c r="O79" s="174"/>
      <c r="P79" s="33"/>
      <c r="Q79" s="33"/>
      <c r="R79" s="33"/>
      <c r="S79" s="33"/>
      <c r="T79" s="167"/>
      <c r="U79" s="33"/>
      <c r="V79" s="33"/>
      <c r="W79" s="33"/>
      <c r="X79" s="34"/>
      <c r="Y79" s="35"/>
      <c r="Z79" s="35"/>
      <c r="AA79" s="35"/>
      <c r="AB79" s="36"/>
      <c r="AC79" s="36"/>
      <c r="AD79" s="26"/>
    </row>
    <row r="80" spans="1:30" ht="72.5" outlineLevel="2" x14ac:dyDescent="0.35">
      <c r="A80" s="93" t="s">
        <v>0</v>
      </c>
      <c r="B80" s="21"/>
      <c r="C80" s="85"/>
      <c r="D80" s="85"/>
      <c r="E80" s="85"/>
      <c r="F80" s="86"/>
      <c r="G80" s="22" t="s">
        <v>23</v>
      </c>
      <c r="H80" s="22" t="s">
        <v>23</v>
      </c>
      <c r="I80" s="23" t="s">
        <v>23</v>
      </c>
      <c r="J80" s="22" t="s">
        <v>23</v>
      </c>
      <c r="K80" s="38"/>
      <c r="L80" s="22"/>
      <c r="M80" s="286" t="str">
        <f t="shared" ref="M80:M85" ca="1" si="5">IFERROR(OFFSET(M80,-1,,1,1)+0.1,OFFSET(M80,-1,-1,1,1)&amp;".1")</f>
        <v>4.1</v>
      </c>
      <c r="N80" s="23" t="s">
        <v>595</v>
      </c>
      <c r="O80" s="23"/>
      <c r="P80" s="23" t="s">
        <v>600</v>
      </c>
      <c r="Q80" s="144">
        <v>2</v>
      </c>
      <c r="R80" s="137">
        <v>3</v>
      </c>
      <c r="S80" s="169">
        <f t="shared" ref="S80:S84" si="6">CEILING((IF(J80="Yes", 0, IF(H80="-",AA80,AA80+AA80*VLOOKUP(H80,BUFFERS_BY_TYPE,2,FALSE)))) +
   (IF(J80="Yes", 0, IF(H80="-",AA80,AA80+AA80*VLOOKUP(H80,BUFFERS_BY_TYPE,2,FALSE))))*VLOOKUP($S$5, SALES_CALL_SCALE_ARRAY, 2,FALSE),0.25)</f>
        <v>16.5</v>
      </c>
      <c r="T80" s="170"/>
      <c r="U80" s="24">
        <v>0.3</v>
      </c>
      <c r="V80" s="24">
        <v>0.5</v>
      </c>
      <c r="W80" s="24">
        <v>0.2</v>
      </c>
      <c r="X80" s="168">
        <v>2.5</v>
      </c>
      <c r="Y80" s="169">
        <f t="shared" ref="Y80:Y84" si="7"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>16.5</v>
      </c>
      <c r="Z80" s="25"/>
      <c r="AA80" s="169">
        <f t="shared" ref="AA80:AA84" si="8">Y80+Y80*VLOOKUP(I80,EXTRAS_ARRAY,2,FALSE)</f>
        <v>16.5</v>
      </c>
      <c r="AB80" s="23" t="s">
        <v>603</v>
      </c>
      <c r="AC80" s="37"/>
      <c r="AD80" s="26" t="str">
        <f t="shared" ref="AD80:AD84" si="9"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spans="1:30" ht="72.5" outlineLevel="2" x14ac:dyDescent="0.35">
      <c r="A81" s="93" t="s">
        <v>0</v>
      </c>
      <c r="B81" s="21"/>
      <c r="C81" s="85"/>
      <c r="D81" s="85"/>
      <c r="E81" s="85"/>
      <c r="F81" s="86"/>
      <c r="G81" s="22" t="s">
        <v>23</v>
      </c>
      <c r="H81" s="22" t="s">
        <v>23</v>
      </c>
      <c r="I81" s="23" t="s">
        <v>23</v>
      </c>
      <c r="J81" s="22" t="s">
        <v>23</v>
      </c>
      <c r="K81" s="38"/>
      <c r="L81" s="22"/>
      <c r="M81" s="286">
        <f t="shared" ca="1" si="5"/>
        <v>4.1999999999999993</v>
      </c>
      <c r="N81" s="23" t="s">
        <v>596</v>
      </c>
      <c r="O81" s="23"/>
      <c r="P81" s="23" t="s">
        <v>600</v>
      </c>
      <c r="Q81" s="144">
        <v>2</v>
      </c>
      <c r="R81" s="137">
        <v>2</v>
      </c>
      <c r="S81" s="169">
        <f t="shared" si="6"/>
        <v>8</v>
      </c>
      <c r="T81" s="170"/>
      <c r="U81" s="24">
        <v>0</v>
      </c>
      <c r="V81" s="24">
        <v>1</v>
      </c>
      <c r="W81" s="24">
        <v>0</v>
      </c>
      <c r="X81" s="168">
        <v>2</v>
      </c>
      <c r="Y81" s="169">
        <f t="shared" si="7"/>
        <v>8</v>
      </c>
      <c r="Z81" s="25"/>
      <c r="AA81" s="169">
        <f t="shared" si="8"/>
        <v>8</v>
      </c>
      <c r="AB81" s="23"/>
      <c r="AC81" s="37"/>
      <c r="AD81" s="26" t="str">
        <f t="shared" si="9"/>
        <v/>
      </c>
    </row>
    <row r="82" spans="1:30" ht="101.5" outlineLevel="2" x14ac:dyDescent="0.35">
      <c r="A82" s="93" t="s">
        <v>0</v>
      </c>
      <c r="B82" s="21"/>
      <c r="C82" s="85"/>
      <c r="D82" s="85"/>
      <c r="E82" s="85"/>
      <c r="F82" s="86"/>
      <c r="G82" s="22" t="s">
        <v>23</v>
      </c>
      <c r="H82" s="22" t="s">
        <v>23</v>
      </c>
      <c r="I82" s="23" t="s">
        <v>23</v>
      </c>
      <c r="J82" s="22" t="s">
        <v>23</v>
      </c>
      <c r="K82" s="38"/>
      <c r="L82" s="22"/>
      <c r="M82" s="286">
        <f t="shared" ca="1" si="5"/>
        <v>4.2999999999999989</v>
      </c>
      <c r="N82" s="23" t="s">
        <v>597</v>
      </c>
      <c r="O82" s="23"/>
      <c r="P82" s="23" t="s">
        <v>600</v>
      </c>
      <c r="Q82" s="144">
        <v>1</v>
      </c>
      <c r="R82" s="137">
        <v>2</v>
      </c>
      <c r="S82" s="169">
        <f t="shared" si="6"/>
        <v>5</v>
      </c>
      <c r="T82" s="170"/>
      <c r="U82" s="24">
        <v>0</v>
      </c>
      <c r="V82" s="24">
        <v>1</v>
      </c>
      <c r="W82" s="24">
        <v>0</v>
      </c>
      <c r="X82" s="168">
        <v>5</v>
      </c>
      <c r="Y82" s="169">
        <f t="shared" si="7"/>
        <v>5</v>
      </c>
      <c r="Z82" s="25"/>
      <c r="AA82" s="169">
        <f t="shared" si="8"/>
        <v>5</v>
      </c>
      <c r="AB82" s="23" t="s">
        <v>603</v>
      </c>
      <c r="AC82" s="37"/>
      <c r="AD82" s="26" t="str">
        <f t="shared" si="9"/>
        <v/>
      </c>
    </row>
    <row r="83" spans="1:30" ht="29" outlineLevel="2" x14ac:dyDescent="0.35">
      <c r="A83" s="93" t="s">
        <v>0</v>
      </c>
      <c r="B83" s="21"/>
      <c r="C83" s="85"/>
      <c r="D83" s="85"/>
      <c r="E83" s="85"/>
      <c r="F83" s="86"/>
      <c r="G83" s="22" t="s">
        <v>23</v>
      </c>
      <c r="H83" s="22" t="s">
        <v>23</v>
      </c>
      <c r="I83" s="23" t="s">
        <v>23</v>
      </c>
      <c r="J83" s="22" t="s">
        <v>23</v>
      </c>
      <c r="K83" s="38"/>
      <c r="L83" s="22"/>
      <c r="M83" s="286">
        <f t="shared" ca="1" si="5"/>
        <v>4.3999999999999986</v>
      </c>
      <c r="N83" s="23" t="s">
        <v>474</v>
      </c>
      <c r="O83" s="23"/>
      <c r="P83" s="23" t="s">
        <v>600</v>
      </c>
      <c r="Q83" s="144">
        <v>1</v>
      </c>
      <c r="R83" s="137">
        <v>2</v>
      </c>
      <c r="S83" s="169">
        <f t="shared" si="6"/>
        <v>5</v>
      </c>
      <c r="T83" s="170"/>
      <c r="U83" s="24">
        <v>0</v>
      </c>
      <c r="V83" s="24">
        <v>1</v>
      </c>
      <c r="W83" s="24">
        <v>0</v>
      </c>
      <c r="X83" s="168">
        <v>5</v>
      </c>
      <c r="Y83" s="169">
        <f t="shared" si="7"/>
        <v>5</v>
      </c>
      <c r="Z83" s="25"/>
      <c r="AA83" s="169">
        <f t="shared" si="8"/>
        <v>5</v>
      </c>
      <c r="AB83" s="23"/>
      <c r="AC83" s="37"/>
      <c r="AD83" s="26" t="str">
        <f t="shared" si="9"/>
        <v/>
      </c>
    </row>
    <row r="84" spans="1:30" ht="87" outlineLevel="2" x14ac:dyDescent="0.35">
      <c r="A84" s="93" t="s">
        <v>0</v>
      </c>
      <c r="B84" s="21"/>
      <c r="C84" s="85"/>
      <c r="D84" s="85"/>
      <c r="E84" s="85"/>
      <c r="F84" s="86"/>
      <c r="G84" s="22" t="s">
        <v>23</v>
      </c>
      <c r="H84" s="22" t="s">
        <v>23</v>
      </c>
      <c r="I84" s="23" t="s">
        <v>23</v>
      </c>
      <c r="J84" s="22" t="s">
        <v>23</v>
      </c>
      <c r="K84" s="38"/>
      <c r="L84" s="22"/>
      <c r="M84" s="286">
        <f t="shared" ca="1" si="5"/>
        <v>4.4999999999999982</v>
      </c>
      <c r="N84" s="23" t="s">
        <v>598</v>
      </c>
      <c r="O84" s="23"/>
      <c r="P84" s="23" t="s">
        <v>600</v>
      </c>
      <c r="Q84" s="144">
        <v>2</v>
      </c>
      <c r="R84" s="137">
        <v>2</v>
      </c>
      <c r="S84" s="169">
        <f t="shared" si="6"/>
        <v>20.5</v>
      </c>
      <c r="T84" s="170"/>
      <c r="U84" s="24">
        <v>0.2</v>
      </c>
      <c r="V84" s="24">
        <v>0.5</v>
      </c>
      <c r="W84" s="24">
        <v>0.3</v>
      </c>
      <c r="X84" s="168">
        <v>5</v>
      </c>
      <c r="Y84" s="169">
        <f t="shared" si="7"/>
        <v>20.5</v>
      </c>
      <c r="Z84" s="25"/>
      <c r="AA84" s="169">
        <f t="shared" si="8"/>
        <v>20.5</v>
      </c>
      <c r="AB84" s="23" t="s">
        <v>603</v>
      </c>
      <c r="AC84" s="37"/>
      <c r="AD84" s="26" t="str">
        <f t="shared" si="9"/>
        <v/>
      </c>
    </row>
    <row r="85" spans="1:30" s="11" customFormat="1" ht="7.5" customHeight="1" outlineLevel="2" x14ac:dyDescent="0.35">
      <c r="A85" s="93" t="s">
        <v>132</v>
      </c>
      <c r="B85" s="18"/>
      <c r="C85" s="78"/>
      <c r="D85" s="78"/>
      <c r="E85" s="78"/>
      <c r="F85" s="78"/>
      <c r="G85" s="10"/>
      <c r="H85" s="10"/>
      <c r="I85" s="10"/>
      <c r="J85" s="10"/>
      <c r="K85" s="10"/>
      <c r="L85" s="10"/>
      <c r="M85" s="287"/>
      <c r="N85" s="10"/>
      <c r="O85" s="10"/>
      <c r="P85" s="10"/>
      <c r="Q85" s="10"/>
      <c r="R85" s="10"/>
      <c r="S85" s="10"/>
      <c r="T85" s="18"/>
      <c r="U85" s="10"/>
      <c r="V85" s="10"/>
      <c r="W85" s="10"/>
      <c r="X85" s="18"/>
      <c r="Y85" s="10"/>
      <c r="Z85" s="10"/>
      <c r="AA85" s="10"/>
      <c r="AB85" s="60"/>
      <c r="AC85" s="60"/>
      <c r="AD85" s="12"/>
    </row>
    <row r="86" spans="1:30" s="11" customFormat="1" ht="3" customHeight="1" outlineLevel="1" x14ac:dyDescent="0.35">
      <c r="A86" s="93" t="s">
        <v>102</v>
      </c>
      <c r="B86" s="10"/>
      <c r="C86" s="78"/>
      <c r="D86" s="78"/>
      <c r="E86" s="78"/>
      <c r="F86" s="78"/>
      <c r="G86" s="59"/>
      <c r="H86" s="59"/>
      <c r="I86" s="59"/>
      <c r="J86" s="59"/>
      <c r="K86" s="59"/>
      <c r="L86" s="61"/>
      <c r="M86" s="288"/>
      <c r="N86" s="62"/>
      <c r="O86" s="62"/>
      <c r="P86" s="61"/>
      <c r="Q86" s="61"/>
      <c r="R86" s="61"/>
      <c r="S86" s="61"/>
      <c r="T86" s="61"/>
      <c r="U86" s="61"/>
      <c r="V86" s="61"/>
      <c r="W86" s="61"/>
      <c r="X86" s="61"/>
      <c r="Y86" s="61"/>
      <c r="Z86" s="61"/>
      <c r="AA86" s="61"/>
      <c r="AB86" s="62"/>
      <c r="AC86" s="62"/>
      <c r="AD86" s="12"/>
    </row>
    <row r="87" spans="1:30" s="17" customFormat="1" ht="18.5" x14ac:dyDescent="0.35">
      <c r="A87" s="93" t="s">
        <v>98</v>
      </c>
      <c r="B87" s="14"/>
      <c r="C87" s="79"/>
      <c r="D87" s="79"/>
      <c r="E87" s="79"/>
      <c r="F87" s="78"/>
      <c r="G87" s="55"/>
      <c r="H87" s="55"/>
      <c r="I87" s="55"/>
      <c r="J87" s="55"/>
      <c r="K87" s="55"/>
      <c r="L87" s="55" t="s">
        <v>69</v>
      </c>
      <c r="M87" s="284" t="s">
        <v>73</v>
      </c>
      <c r="N87" s="56"/>
      <c r="O87" s="57"/>
      <c r="P87" s="58"/>
      <c r="Q87" s="58"/>
      <c r="R87" s="58"/>
      <c r="S87" s="302">
        <f>CEILING(SUMIF(J88:J126, "&lt;&gt;Yes", T88:T126),1)</f>
        <v>96</v>
      </c>
      <c r="T87" s="302"/>
      <c r="U87" s="58"/>
      <c r="V87" s="58"/>
      <c r="W87" s="58"/>
      <c r="X87" s="181"/>
      <c r="Y87" s="181"/>
      <c r="Z87" s="58"/>
      <c r="AA87" s="181"/>
      <c r="AB87" s="58"/>
      <c r="AC87" s="58"/>
      <c r="AD87" s="16"/>
    </row>
    <row r="88" spans="1:30" s="11" customFormat="1" ht="3" customHeight="1" outlineLevel="1" x14ac:dyDescent="0.35">
      <c r="A88" s="93" t="s">
        <v>99</v>
      </c>
      <c r="B88" s="18"/>
      <c r="C88" s="78"/>
      <c r="D88" s="78"/>
      <c r="E88" s="78"/>
      <c r="F88" s="78"/>
      <c r="G88" s="28"/>
      <c r="H88" s="28"/>
      <c r="I88" s="28"/>
      <c r="J88" s="28"/>
      <c r="K88" s="28"/>
      <c r="L88" s="29">
        <v>0</v>
      </c>
      <c r="M88" s="285"/>
      <c r="N88" s="28"/>
      <c r="O88" s="28"/>
      <c r="P88" s="28"/>
      <c r="Q88" s="28"/>
      <c r="R88" s="28"/>
      <c r="S88" s="28"/>
      <c r="T88" s="30"/>
      <c r="U88" s="28"/>
      <c r="V88" s="28"/>
      <c r="W88" s="28"/>
      <c r="X88" s="30"/>
      <c r="Y88" s="28"/>
      <c r="Z88" s="28"/>
      <c r="AA88" s="28"/>
      <c r="AB88" s="31"/>
      <c r="AC88" s="31"/>
      <c r="AD88" s="12"/>
    </row>
    <row r="89" spans="1:30" s="17" customFormat="1" ht="15.5" outlineLevel="1" x14ac:dyDescent="0.35">
      <c r="A89" s="93" t="s">
        <v>100</v>
      </c>
      <c r="B89" s="21"/>
      <c r="C89" s="84"/>
      <c r="D89" s="84"/>
      <c r="E89" s="84"/>
      <c r="F89" s="83"/>
      <c r="G89" s="32"/>
      <c r="H89" s="32"/>
      <c r="I89" s="32"/>
      <c r="J89" s="32"/>
      <c r="K89" s="32"/>
      <c r="L89" s="20">
        <f ca="1">LOOKUP(1000,INDIRECT("L1:"&amp;CELL("address",INDIRECT("R[-1]C",FALSE))))+1</f>
        <v>1</v>
      </c>
      <c r="M89" s="301" t="s">
        <v>448</v>
      </c>
      <c r="N89" s="301"/>
      <c r="O89" s="5"/>
      <c r="P89" s="33"/>
      <c r="Q89" s="33"/>
      <c r="R89" s="33"/>
      <c r="S89" s="33"/>
      <c r="T89" s="167">
        <f>IF($S$6="Exclude", SUMIFS(S90:S95, J90:J95, "&lt;&gt;Yes", G90:G95, "&lt;&gt;Yes"), SUMIFS(S90:S95, J90:J95, "&lt;&gt;Yes"))</f>
        <v>45.75</v>
      </c>
      <c r="U89" s="33"/>
      <c r="V89" s="33"/>
      <c r="W89" s="33"/>
      <c r="X89" s="34"/>
      <c r="Y89" s="35"/>
      <c r="Z89" s="35"/>
      <c r="AA89" s="35"/>
      <c r="AB89" s="240"/>
      <c r="AC89" s="36"/>
      <c r="AD89" s="26" t="str">
        <f>IF(M89="", "Error: Task name cannot be empty.", "")</f>
        <v/>
      </c>
    </row>
    <row r="90" spans="1:30" s="15" customFormat="1" ht="1.5" customHeight="1" outlineLevel="2" x14ac:dyDescent="0.35">
      <c r="A90" s="93" t="s">
        <v>101</v>
      </c>
      <c r="B90" s="21"/>
      <c r="C90" s="84"/>
      <c r="D90" s="84"/>
      <c r="E90" s="84"/>
      <c r="F90" s="83"/>
      <c r="G90" s="32"/>
      <c r="H90" s="32"/>
      <c r="I90" s="32"/>
      <c r="J90" s="32"/>
      <c r="K90" s="32"/>
      <c r="L90" s="175">
        <f ca="1">L89</f>
        <v>1</v>
      </c>
      <c r="M90" s="176" t="s">
        <v>105</v>
      </c>
      <c r="N90" s="173"/>
      <c r="O90" s="174"/>
      <c r="P90" s="33"/>
      <c r="Q90" s="33"/>
      <c r="R90" s="33"/>
      <c r="S90" s="33"/>
      <c r="T90" s="167"/>
      <c r="U90" s="33"/>
      <c r="V90" s="33"/>
      <c r="W90" s="33"/>
      <c r="X90" s="34"/>
      <c r="Y90" s="35"/>
      <c r="Z90" s="35"/>
      <c r="AA90" s="35"/>
      <c r="AB90" s="36"/>
      <c r="AC90" s="36"/>
      <c r="AD90" s="26"/>
    </row>
    <row r="91" spans="1:30" ht="29" outlineLevel="2" x14ac:dyDescent="0.35">
      <c r="A91" s="93" t="s">
        <v>0</v>
      </c>
      <c r="B91" s="21"/>
      <c r="C91" s="85"/>
      <c r="D91" s="85"/>
      <c r="E91" s="85"/>
      <c r="F91" s="86"/>
      <c r="G91" s="22" t="s">
        <v>23</v>
      </c>
      <c r="H91" s="22" t="s">
        <v>23</v>
      </c>
      <c r="I91" s="23" t="s">
        <v>23</v>
      </c>
      <c r="J91" s="22" t="s">
        <v>23</v>
      </c>
      <c r="K91" s="38"/>
      <c r="L91" s="22"/>
      <c r="M91" s="286" t="str">
        <f ca="1">IFERROR(OFFSET(M91,-1,,1,1)+0.1,OFFSET(M91,-1,-1,1,1)&amp;".1")</f>
        <v>1.1</v>
      </c>
      <c r="N91" s="23" t="s">
        <v>482</v>
      </c>
      <c r="O91" s="23"/>
      <c r="P91" s="23" t="s">
        <v>600</v>
      </c>
      <c r="Q91" s="144">
        <v>8</v>
      </c>
      <c r="R91" s="137">
        <v>2</v>
      </c>
      <c r="S91" s="169">
        <f>CEILING((IF(J91="Yes", 0, IF(H91="-",AA91,AA91+AA91*VLOOKUP(H91,BUFFERS_BY_TYPE,2,FALSE)))) +
   (IF(J91="Yes", 0, IF(H91="-",AA91,AA91+AA91*VLOOKUP(H91,BUFFERS_BY_TYPE,2,FALSE))))*VLOOKUP($S$5, SALES_CALL_SCALE_ARRAY, 2,FALSE),0.25)</f>
        <v>16.5</v>
      </c>
      <c r="T91" s="170"/>
      <c r="U91" s="24">
        <v>0.2</v>
      </c>
      <c r="V91" s="24">
        <v>0.5</v>
      </c>
      <c r="W91" s="24">
        <v>0.3</v>
      </c>
      <c r="X91" s="168">
        <v>1</v>
      </c>
      <c r="Y91" s="169">
        <f>CEILING((IF(P91=AS_DEV_EFFORT, DEV_EFFORT*Q91%,
                           IF(P91=AS_DURATION_EFFORT, (MANUAL_DURATION*5)*Q91%,
                                    (IF(Q91&lt;=1,X91,
                                          IF(SUM(U91:W91)=0,(Q91*X91),
                                               (((Q91*U91)*(X91+(X91*EXTRA_FOR_H)))+
                                               ((Q91*V91)*X91)+
                                               ((Q91*W91)*(X91-(X91*LESS_FOR_L)))
                                    )*IF(R91=0,1,R91))))))+Z91), 0.25)</f>
        <v>16.5</v>
      </c>
      <c r="Z91" s="25"/>
      <c r="AA91" s="169">
        <f>Y91+Y91*VLOOKUP(I91,EXTRAS_ARRAY,2,FALSE)</f>
        <v>16.5</v>
      </c>
      <c r="AB91" s="23"/>
      <c r="AC91" s="37"/>
      <c r="AD91" s="26" t="str">
        <f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/>
      </c>
    </row>
    <row r="92" spans="1:30" ht="29" outlineLevel="2" x14ac:dyDescent="0.35">
      <c r="A92" s="93" t="s">
        <v>0</v>
      </c>
      <c r="B92" s="21"/>
      <c r="C92" s="85"/>
      <c r="D92" s="85"/>
      <c r="E92" s="85"/>
      <c r="F92" s="86"/>
      <c r="G92" s="22" t="s">
        <v>23</v>
      </c>
      <c r="H92" s="22" t="s">
        <v>23</v>
      </c>
      <c r="I92" s="23" t="s">
        <v>23</v>
      </c>
      <c r="J92" s="22" t="s">
        <v>23</v>
      </c>
      <c r="K92" s="38"/>
      <c r="L92" s="22"/>
      <c r="M92" s="286">
        <f ca="1">IFERROR(OFFSET(M92,-1,,1,1)+0.1,OFFSET(M92,-1,-1,1,1)&amp;".1")</f>
        <v>1.2000000000000002</v>
      </c>
      <c r="N92" s="23" t="s">
        <v>483</v>
      </c>
      <c r="O92" s="23"/>
      <c r="P92" s="23" t="s">
        <v>600</v>
      </c>
      <c r="Q92" s="144">
        <v>4</v>
      </c>
      <c r="R92" s="137">
        <v>2</v>
      </c>
      <c r="S92" s="169">
        <f>CEILING((IF(J92="Yes", 0, IF(H92="-",AA92,AA92+AA92*VLOOKUP(H92,BUFFERS_BY_TYPE,2,FALSE)))) +
   (IF(J92="Yes", 0, IF(H92="-",AA92,AA92+AA92*VLOOKUP(H92,BUFFERS_BY_TYPE,2,FALSE))))*VLOOKUP($S$5, SALES_CALL_SCALE_ARRAY, 2,FALSE),0.25)</f>
        <v>8.75</v>
      </c>
      <c r="T92" s="170"/>
      <c r="U92" s="24">
        <v>0.3</v>
      </c>
      <c r="V92" s="24">
        <v>0.4</v>
      </c>
      <c r="W92" s="24">
        <v>0.3</v>
      </c>
      <c r="X92" s="168">
        <v>1</v>
      </c>
      <c r="Y92" s="169">
        <f>CEILING((IF(P92=AS_DEV_EFFORT, DEV_EFFORT*Q92%,
                           IF(P92=AS_DURATION_EFFORT, (MANUAL_DURATION*5)*Q92%,
                                    (IF(Q92&lt;=1,X92,
                                          IF(SUM(U92:W92)=0,(Q92*X92),
                                               (((Q92*U92)*(X92+(X92*EXTRA_FOR_H)))+
                                               ((Q92*V92)*X92)+
                                               ((Q92*W92)*(X92-(X92*LESS_FOR_L)))
                                    )*IF(R92=0,1,R92))))))+Z92), 0.25)</f>
        <v>8.75</v>
      </c>
      <c r="Z92" s="25"/>
      <c r="AA92" s="169">
        <f>Y92+Y92*VLOOKUP(I92,EXTRAS_ARRAY,2,FALSE)</f>
        <v>8.75</v>
      </c>
      <c r="AB92" s="23"/>
      <c r="AC92" s="37"/>
      <c r="AD92" s="26" t="str">
        <f>IF(J92&lt;&gt;"Yes",
IF(S92&lt;=0,"Error: Effort value is not defined or is invalid.",
IF(AND(SUM(U92:W92)&gt;0,SUM(U92:W92)&lt;&gt;1),"Error: Complexity % distribution should sum to 100%.",
IF(AND(P92=AS_DEV_EFFORT,X92&lt;&gt;0),"Error: PDs should not be defined when defining as dev effort %.",
IF(AND(P92=AS_DURATION_EFFORT,X92&lt;&gt;0),"Error: PDs should not be defined when defining as duration effort %.","")))))</f>
        <v/>
      </c>
    </row>
    <row r="93" spans="1:30" ht="29" outlineLevel="2" x14ac:dyDescent="0.35">
      <c r="A93" s="93" t="s">
        <v>0</v>
      </c>
      <c r="B93" s="21"/>
      <c r="C93" s="85"/>
      <c r="D93" s="85"/>
      <c r="E93" s="85"/>
      <c r="F93" s="86"/>
      <c r="G93" s="22" t="s">
        <v>23</v>
      </c>
      <c r="H93" s="22" t="s">
        <v>23</v>
      </c>
      <c r="I93" s="23" t="s">
        <v>23</v>
      </c>
      <c r="J93" s="22" t="s">
        <v>23</v>
      </c>
      <c r="K93" s="38"/>
      <c r="L93" s="22"/>
      <c r="M93" s="286">
        <f ca="1">IFERROR(OFFSET(M93,-1,,1,1)+0.1,OFFSET(M93,-1,-1,1,1)&amp;".1")</f>
        <v>1.3000000000000003</v>
      </c>
      <c r="N93" s="23" t="s">
        <v>484</v>
      </c>
      <c r="O93" s="23"/>
      <c r="P93" s="23" t="s">
        <v>600</v>
      </c>
      <c r="Q93" s="144">
        <v>8</v>
      </c>
      <c r="R93" s="137">
        <v>2</v>
      </c>
      <c r="S93" s="169">
        <f>CEILING((IF(J93="Yes", 0, IF(H93="-",AA93,AA93+AA93*VLOOKUP(H93,BUFFERS_BY_TYPE,2,FALSE)))) +
   (IF(J93="Yes", 0, IF(H93="-",AA93,AA93+AA93*VLOOKUP(H93,BUFFERS_BY_TYPE,2,FALSE))))*VLOOKUP($S$5, SALES_CALL_SCALE_ARRAY, 2,FALSE),0.25)</f>
        <v>10.5</v>
      </c>
      <c r="T93" s="170"/>
      <c r="U93" s="24">
        <v>0.3</v>
      </c>
      <c r="V93" s="24">
        <v>0.4</v>
      </c>
      <c r="W93" s="24">
        <v>0.3</v>
      </c>
      <c r="X93" s="168">
        <v>0.6</v>
      </c>
      <c r="Y93" s="169">
        <f>CEILING((IF(P93=AS_DEV_EFFORT, DEV_EFFORT*Q93%,
                           IF(P93=AS_DURATION_EFFORT, (MANUAL_DURATION*5)*Q93%,
                                    (IF(Q93&lt;=1,X93,
                                          IF(SUM(U93:W93)=0,(Q93*X93),
                                               (((Q93*U93)*(X93+(X93*EXTRA_FOR_H)))+
                                               ((Q93*V93)*X93)+
                                               ((Q93*W93)*(X93-(X93*LESS_FOR_L)))
                                    )*IF(R93=0,1,R93))))))+Z93), 0.25)</f>
        <v>10.5</v>
      </c>
      <c r="Z93" s="25"/>
      <c r="AA93" s="169">
        <f>Y93+Y93*VLOOKUP(I93,EXTRAS_ARRAY,2,FALSE)</f>
        <v>10.5</v>
      </c>
      <c r="AB93" s="23"/>
      <c r="AC93" s="37"/>
      <c r="AD93" s="26" t="str">
        <f>IF(J93&lt;&gt;"Yes",
IF(S93&lt;=0,"Error: Effort value is not defined or is invalid.",
IF(AND(SUM(U93:W93)&gt;0,SUM(U93:W93)&lt;&gt;1),"Error: Complexity % distribution should sum to 100%.",
IF(AND(P93=AS_DEV_EFFORT,X93&lt;&gt;0),"Error: PDs should not be defined when defining as dev effort %.",
IF(AND(P93=AS_DURATION_EFFORT,X93&lt;&gt;0),"Error: PDs should not be defined when defining as duration effort %.","")))))</f>
        <v/>
      </c>
    </row>
    <row r="94" spans="1:30" ht="29" outlineLevel="2" x14ac:dyDescent="0.35">
      <c r="A94" s="93" t="s">
        <v>0</v>
      </c>
      <c r="B94" s="21"/>
      <c r="C94" s="85"/>
      <c r="D94" s="85"/>
      <c r="E94" s="85"/>
      <c r="F94" s="86"/>
      <c r="G94" s="22" t="s">
        <v>23</v>
      </c>
      <c r="H94" s="22" t="s">
        <v>23</v>
      </c>
      <c r="I94" s="23" t="s">
        <v>23</v>
      </c>
      <c r="J94" s="22" t="s">
        <v>23</v>
      </c>
      <c r="K94" s="38"/>
      <c r="L94" s="22"/>
      <c r="M94" s="286">
        <f ca="1">IFERROR(OFFSET(M94,-1,,1,1)+0.1,OFFSET(M94,-1,-1,1,1)&amp;".1")</f>
        <v>1.4000000000000004</v>
      </c>
      <c r="N94" s="23" t="s">
        <v>485</v>
      </c>
      <c r="O94" s="23"/>
      <c r="P94" s="23" t="s">
        <v>600</v>
      </c>
      <c r="Q94" s="144">
        <v>5</v>
      </c>
      <c r="R94" s="137">
        <v>1</v>
      </c>
      <c r="S94" s="169">
        <f>CEILING((IF(J94="Yes", 0, IF(H94="-",AA94,AA94+AA94*VLOOKUP(H94,BUFFERS_BY_TYPE,2,FALSE)))) +
   (IF(J94="Yes", 0, IF(H94="-",AA94,AA94+AA94*VLOOKUP(H94,BUFFERS_BY_TYPE,2,FALSE))))*VLOOKUP($S$5, SALES_CALL_SCALE_ARRAY, 2,FALSE),0.25)</f>
        <v>10</v>
      </c>
      <c r="T94" s="170"/>
      <c r="U94" s="24">
        <v>0</v>
      </c>
      <c r="V94" s="24">
        <v>1</v>
      </c>
      <c r="W94" s="24">
        <v>0</v>
      </c>
      <c r="X94" s="168">
        <v>2</v>
      </c>
      <c r="Y94" s="169">
        <f>CEILING((IF(P94=AS_DEV_EFFORT, DEV_EFFORT*Q94%,
                           IF(P94=AS_DURATION_EFFORT, (MANUAL_DURATION*5)*Q94%,
                                    (IF(Q94&lt;=1,X94,
                                          IF(SUM(U94:W94)=0,(Q94*X94),
                                               (((Q94*U94)*(X94+(X94*EXTRA_FOR_H)))+
                                               ((Q94*V94)*X94)+
                                               ((Q94*W94)*(X94-(X94*LESS_FOR_L)))
                                    )*IF(R94=0,1,R94))))))+Z94), 0.25)</f>
        <v>10</v>
      </c>
      <c r="Z94" s="25"/>
      <c r="AA94" s="169">
        <f>Y94+Y94*VLOOKUP(I94,EXTRAS_ARRAY,2,FALSE)</f>
        <v>10</v>
      </c>
      <c r="AB94" s="23"/>
      <c r="AC94" s="37"/>
      <c r="AD94" s="26" t="str">
        <f>IF(J94&lt;&gt;"Yes",
IF(S94&lt;=0,"Error: Effort value is not defined or is invalid.",
IF(AND(SUM(U94:W94)&gt;0,SUM(U94:W94)&lt;&gt;1),"Error: Complexity % distribution should sum to 100%.",
IF(AND(P94=AS_DEV_EFFORT,X94&lt;&gt;0),"Error: PDs should not be defined when defining as dev effort %.",
IF(AND(P94=AS_DURATION_EFFORT,X94&lt;&gt;0),"Error: PDs should not be defined when defining as duration effort %.","")))))</f>
        <v/>
      </c>
    </row>
    <row r="95" spans="1:30" s="11" customFormat="1" ht="7.5" customHeight="1" outlineLevel="2" x14ac:dyDescent="0.35">
      <c r="A95" s="93" t="s">
        <v>132</v>
      </c>
      <c r="B95" s="18"/>
      <c r="C95" s="78"/>
      <c r="D95" s="78"/>
      <c r="E95" s="78"/>
      <c r="F95" s="78"/>
      <c r="G95" s="10"/>
      <c r="H95" s="10"/>
      <c r="I95" s="10"/>
      <c r="J95" s="10"/>
      <c r="K95" s="10"/>
      <c r="L95" s="10"/>
      <c r="M95" s="287"/>
      <c r="N95" s="10"/>
      <c r="O95" s="10"/>
      <c r="P95" s="10"/>
      <c r="Q95" s="10"/>
      <c r="R95" s="10"/>
      <c r="S95" s="10"/>
      <c r="T95" s="18"/>
      <c r="U95" s="10"/>
      <c r="V95" s="10"/>
      <c r="W95" s="10"/>
      <c r="X95" s="18"/>
      <c r="Y95" s="10"/>
      <c r="Z95" s="10"/>
      <c r="AA95" s="10"/>
      <c r="AB95" s="60"/>
      <c r="AC95" s="60"/>
      <c r="AD95" s="12"/>
    </row>
    <row r="96" spans="1:30" s="17" customFormat="1" ht="15.5" outlineLevel="1" x14ac:dyDescent="0.35">
      <c r="A96" s="93" t="s">
        <v>100</v>
      </c>
      <c r="B96" s="21"/>
      <c r="C96" s="84"/>
      <c r="D96" s="84"/>
      <c r="E96" s="84"/>
      <c r="F96" s="83"/>
      <c r="G96" s="32"/>
      <c r="H96" s="32"/>
      <c r="I96" s="32"/>
      <c r="J96" s="32"/>
      <c r="K96" s="32"/>
      <c r="L96" s="20">
        <f ca="1">LOOKUP(1000,INDIRECT("L1:"&amp;CELL("address",INDIRECT("R[-1]C",FALSE))))+1</f>
        <v>2</v>
      </c>
      <c r="M96" s="301" t="s">
        <v>449</v>
      </c>
      <c r="N96" s="301"/>
      <c r="O96" s="5"/>
      <c r="P96" s="33"/>
      <c r="Q96" s="33"/>
      <c r="R96" s="33"/>
      <c r="S96" s="33"/>
      <c r="T96" s="167">
        <f>IF($S$6="Exclude", SUMIFS(S97:S103, J97:J103, "&lt;&gt;Yes", G97:G103, "&lt;&gt;Yes"), SUMIFS(S97:S103, J97:J103, "&lt;&gt;Yes"))</f>
        <v>50</v>
      </c>
      <c r="U96" s="33"/>
      <c r="V96" s="33"/>
      <c r="W96" s="33"/>
      <c r="X96" s="34"/>
      <c r="Y96" s="35"/>
      <c r="Z96" s="35"/>
      <c r="AA96" s="35"/>
      <c r="AB96" s="240"/>
      <c r="AC96" s="36"/>
      <c r="AD96" s="26" t="str">
        <f>IF(M96="", "Error: Task name cannot be empty.", "")</f>
        <v/>
      </c>
    </row>
    <row r="97" spans="1:30" s="15" customFormat="1" ht="1.5" customHeight="1" outlineLevel="2" x14ac:dyDescent="0.35">
      <c r="A97" s="93" t="s">
        <v>101</v>
      </c>
      <c r="B97" s="21"/>
      <c r="C97" s="84"/>
      <c r="D97" s="84"/>
      <c r="E97" s="84"/>
      <c r="F97" s="83"/>
      <c r="G97" s="32"/>
      <c r="H97" s="32"/>
      <c r="I97" s="32"/>
      <c r="J97" s="32"/>
      <c r="K97" s="32"/>
      <c r="L97" s="175">
        <f ca="1">L96</f>
        <v>2</v>
      </c>
      <c r="M97" s="176" t="s">
        <v>105</v>
      </c>
      <c r="N97" s="173"/>
      <c r="O97" s="174"/>
      <c r="P97" s="33"/>
      <c r="Q97" s="33"/>
      <c r="R97" s="33"/>
      <c r="S97" s="33"/>
      <c r="T97" s="167"/>
      <c r="U97" s="33"/>
      <c r="V97" s="33"/>
      <c r="W97" s="33"/>
      <c r="X97" s="34"/>
      <c r="Y97" s="35"/>
      <c r="Z97" s="35"/>
      <c r="AA97" s="35"/>
      <c r="AB97" s="36"/>
      <c r="AC97" s="36"/>
      <c r="AD97" s="26"/>
    </row>
    <row r="98" spans="1:30" ht="43.5" outlineLevel="2" x14ac:dyDescent="0.35">
      <c r="A98" s="93" t="s">
        <v>0</v>
      </c>
      <c r="B98" s="21"/>
      <c r="C98" s="85"/>
      <c r="D98" s="85"/>
      <c r="E98" s="85"/>
      <c r="F98" s="86"/>
      <c r="G98" s="22" t="s">
        <v>23</v>
      </c>
      <c r="H98" s="22" t="s">
        <v>23</v>
      </c>
      <c r="I98" s="23" t="s">
        <v>23</v>
      </c>
      <c r="J98" s="22" t="s">
        <v>23</v>
      </c>
      <c r="K98" s="38"/>
      <c r="L98" s="22"/>
      <c r="M98" s="286" t="str">
        <f ca="1">IFERROR(OFFSET(M98,-1,,1,1)+0.1,OFFSET(M98,-1,-1,1,1)&amp;".1")</f>
        <v>2.1</v>
      </c>
      <c r="N98" s="23" t="s">
        <v>486</v>
      </c>
      <c r="O98" s="23"/>
      <c r="P98" s="23" t="s">
        <v>600</v>
      </c>
      <c r="Q98" s="144">
        <v>1</v>
      </c>
      <c r="R98" s="137">
        <v>1</v>
      </c>
      <c r="S98" s="169">
        <f>CEILING((IF(J98="Yes", 0, IF(H98="-",AA98,AA98+AA98*VLOOKUP(H98,BUFFERS_BY_TYPE,2,FALSE)))) +
   (IF(J98="Yes", 0, IF(H98="-",AA98,AA98+AA98*VLOOKUP(H98,BUFFERS_BY_TYPE,2,FALSE))))*VLOOKUP($S$5, SALES_CALL_SCALE_ARRAY, 2,FALSE),0.25)</f>
        <v>15</v>
      </c>
      <c r="T98" s="170"/>
      <c r="U98" s="24">
        <v>0</v>
      </c>
      <c r="V98" s="24">
        <v>1</v>
      </c>
      <c r="W98" s="24">
        <v>0</v>
      </c>
      <c r="X98" s="168">
        <v>15</v>
      </c>
      <c r="Y98" s="169">
        <f>CEILING((IF(P98=AS_DEV_EFFORT, DEV_EFFORT*Q98%,
                           IF(P98=AS_DURATION_EFFORT, (MANUAL_DURATION*5)*Q98%,
                                    (IF(Q98&lt;=1,X98,
                                          IF(SUM(U98:W98)=0,(Q98*X98),
                                               (((Q98*U98)*(X98+(X98*EXTRA_FOR_H)))+
                                               ((Q98*V98)*X98)+
                                               ((Q98*W98)*(X98-(X98*LESS_FOR_L)))
                                    )*IF(R98=0,1,R98))))))+Z98), 0.25)</f>
        <v>15</v>
      </c>
      <c r="Z98" s="25"/>
      <c r="AA98" s="169">
        <f>Y98+Y98*VLOOKUP(I98,EXTRAS_ARRAY,2,FALSE)</f>
        <v>15</v>
      </c>
      <c r="AB98" s="23" t="s">
        <v>599</v>
      </c>
      <c r="AC98" s="37"/>
      <c r="AD98" s="26" t="str">
        <f>IF(J98&lt;&gt;"Yes",
IF(S98&lt;=0,"Error: Effort value is not defined or is invalid.",
IF(AND(SUM(U98:W98)&gt;0,SUM(U98:W98)&lt;&gt;1),"Error: Complexity % distribution should sum to 100%.",
IF(AND(P98=AS_DEV_EFFORT,X98&lt;&gt;0),"Error: PDs should not be defined when defining as dev effort %.",
IF(AND(P98=AS_DURATION_EFFORT,X98&lt;&gt;0),"Error: PDs should not be defined when defining as duration effort %.","")))))</f>
        <v/>
      </c>
    </row>
    <row r="99" spans="1:30" ht="29" outlineLevel="2" x14ac:dyDescent="0.35">
      <c r="A99" s="93" t="s">
        <v>0</v>
      </c>
      <c r="B99" s="21"/>
      <c r="C99" s="85"/>
      <c r="D99" s="85"/>
      <c r="E99" s="85"/>
      <c r="F99" s="86"/>
      <c r="G99" s="22" t="s">
        <v>23</v>
      </c>
      <c r="H99" s="22" t="s">
        <v>23</v>
      </c>
      <c r="I99" s="23" t="s">
        <v>23</v>
      </c>
      <c r="J99" s="22" t="s">
        <v>23</v>
      </c>
      <c r="K99" s="38"/>
      <c r="L99" s="22"/>
      <c r="M99" s="286">
        <f ca="1">IFERROR(OFFSET(M99,-1,,1,1)+0.1,OFFSET(M99,-1,-1,1,1)&amp;".1")</f>
        <v>2.2000000000000002</v>
      </c>
      <c r="N99" s="23" t="s">
        <v>487</v>
      </c>
      <c r="O99" s="23"/>
      <c r="P99" s="23" t="s">
        <v>600</v>
      </c>
      <c r="Q99" s="144">
        <v>1</v>
      </c>
      <c r="R99" s="137">
        <v>1</v>
      </c>
      <c r="S99" s="169">
        <f>CEILING((IF(J99="Yes", 0, IF(H99="-",AA99,AA99+AA99*VLOOKUP(H99,BUFFERS_BY_TYPE,2,FALSE)))) +
   (IF(J99="Yes", 0, IF(H99="-",AA99,AA99+AA99*VLOOKUP(H99,BUFFERS_BY_TYPE,2,FALSE))))*VLOOKUP($S$5, SALES_CALL_SCALE_ARRAY, 2,FALSE),0.25)</f>
        <v>5</v>
      </c>
      <c r="T99" s="170"/>
      <c r="U99" s="24">
        <v>0</v>
      </c>
      <c r="V99" s="24">
        <v>1</v>
      </c>
      <c r="W99" s="24">
        <v>0</v>
      </c>
      <c r="X99" s="168">
        <v>5</v>
      </c>
      <c r="Y99" s="169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>5</v>
      </c>
      <c r="Z99" s="25"/>
      <c r="AA99" s="169">
        <f>Y99+Y99*VLOOKUP(I99,EXTRAS_ARRAY,2,FALSE)</f>
        <v>5</v>
      </c>
      <c r="AB99" s="23" t="s">
        <v>599</v>
      </c>
      <c r="AC99" s="37"/>
      <c r="AD99" s="26" t="str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spans="1:30" ht="29" outlineLevel="2" x14ac:dyDescent="0.35">
      <c r="A100" s="93" t="s">
        <v>0</v>
      </c>
      <c r="B100" s="21"/>
      <c r="C100" s="85"/>
      <c r="D100" s="85"/>
      <c r="E100" s="85"/>
      <c r="F100" s="86"/>
      <c r="G100" s="22" t="s">
        <v>23</v>
      </c>
      <c r="H100" s="22" t="s">
        <v>23</v>
      </c>
      <c r="I100" s="23" t="s">
        <v>23</v>
      </c>
      <c r="J100" s="22" t="s">
        <v>23</v>
      </c>
      <c r="K100" s="38"/>
      <c r="L100" s="22"/>
      <c r="M100" s="286">
        <f ca="1">IFERROR(OFFSET(M100,-1,,1,1)+0.1,OFFSET(M100,-1,-1,1,1)&amp;".1")</f>
        <v>2.3000000000000003</v>
      </c>
      <c r="N100" s="23" t="s">
        <v>488</v>
      </c>
      <c r="O100" s="23"/>
      <c r="P100" s="23" t="s">
        <v>600</v>
      </c>
      <c r="Q100" s="144">
        <v>2</v>
      </c>
      <c r="R100" s="137">
        <v>2</v>
      </c>
      <c r="S100" s="169">
        <f>CEILING((IF(J100="Yes", 0, IF(H100="-",AA100,AA100+AA100*VLOOKUP(H100,BUFFERS_BY_TYPE,2,FALSE)))) +
   (IF(J100="Yes", 0, IF(H100="-",AA100,AA100+AA100*VLOOKUP(H100,BUFFERS_BY_TYPE,2,FALSE))))*VLOOKUP($S$5, SALES_CALL_SCALE_ARRAY, 2,FALSE),0.25)</f>
        <v>16</v>
      </c>
      <c r="T100" s="170"/>
      <c r="U100" s="24">
        <v>0</v>
      </c>
      <c r="V100" s="24">
        <v>1</v>
      </c>
      <c r="W100" s="24">
        <v>0</v>
      </c>
      <c r="X100" s="168">
        <v>4</v>
      </c>
      <c r="Y100" s="169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>16</v>
      </c>
      <c r="Z100" s="25"/>
      <c r="AA100" s="169">
        <f>Y100+Y100*VLOOKUP(I100,EXTRAS_ARRAY,2,FALSE)</f>
        <v>16</v>
      </c>
      <c r="AB100" s="23" t="s">
        <v>599</v>
      </c>
      <c r="AC100" s="37"/>
      <c r="AD100" s="26" t="str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spans="1:30" ht="29" outlineLevel="2" x14ac:dyDescent="0.35">
      <c r="A101" s="93" t="s">
        <v>0</v>
      </c>
      <c r="B101" s="21"/>
      <c r="C101" s="85"/>
      <c r="D101" s="85"/>
      <c r="E101" s="85"/>
      <c r="F101" s="86"/>
      <c r="G101" s="22" t="s">
        <v>23</v>
      </c>
      <c r="H101" s="22" t="s">
        <v>23</v>
      </c>
      <c r="I101" s="23" t="s">
        <v>23</v>
      </c>
      <c r="J101" s="22" t="s">
        <v>23</v>
      </c>
      <c r="K101" s="38"/>
      <c r="L101" s="22"/>
      <c r="M101" s="286">
        <f ca="1">IFERROR(OFFSET(M101,-1,,1,1)+0.1,OFFSET(M101,-1,-1,1,1)&amp;".1")</f>
        <v>2.4000000000000004</v>
      </c>
      <c r="N101" s="23" t="s">
        <v>489</v>
      </c>
      <c r="O101" s="23"/>
      <c r="P101" s="23" t="s">
        <v>600</v>
      </c>
      <c r="Q101" s="144">
        <v>1</v>
      </c>
      <c r="R101" s="137">
        <v>2</v>
      </c>
      <c r="S101" s="169">
        <f>CEILING((IF(J101="Yes", 0, IF(H101="-",AA101,AA101+AA101*VLOOKUP(H101,BUFFERS_BY_TYPE,2,FALSE)))) +
   (IF(J101="Yes", 0, IF(H101="-",AA101,AA101+AA101*VLOOKUP(H101,BUFFERS_BY_TYPE,2,FALSE))))*VLOOKUP($S$5, SALES_CALL_SCALE_ARRAY, 2,FALSE),0.25)</f>
        <v>7</v>
      </c>
      <c r="T101" s="170"/>
      <c r="U101" s="24">
        <v>0</v>
      </c>
      <c r="V101" s="24">
        <v>1</v>
      </c>
      <c r="W101" s="24">
        <v>0</v>
      </c>
      <c r="X101" s="168">
        <v>7</v>
      </c>
      <c r="Y101" s="169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>7</v>
      </c>
      <c r="Z101" s="25"/>
      <c r="AA101" s="169">
        <f>Y101+Y101*VLOOKUP(I101,EXTRAS_ARRAY,2,FALSE)</f>
        <v>7</v>
      </c>
      <c r="AB101" s="23"/>
      <c r="AC101" s="37"/>
      <c r="AD101" s="26" t="str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spans="1:30" ht="29" outlineLevel="2" x14ac:dyDescent="0.35">
      <c r="A102" s="93" t="s">
        <v>0</v>
      </c>
      <c r="B102" s="21"/>
      <c r="C102" s="85"/>
      <c r="D102" s="85"/>
      <c r="E102" s="85"/>
      <c r="F102" s="86"/>
      <c r="G102" s="22" t="s">
        <v>23</v>
      </c>
      <c r="H102" s="22" t="s">
        <v>23</v>
      </c>
      <c r="I102" s="23" t="s">
        <v>23</v>
      </c>
      <c r="J102" s="22" t="s">
        <v>23</v>
      </c>
      <c r="K102" s="38"/>
      <c r="L102" s="22"/>
      <c r="M102" s="286">
        <f ca="1">IFERROR(OFFSET(M102,-1,,1,1)+0.1,OFFSET(M102,-1,-1,1,1)&amp;".1")</f>
        <v>2.5000000000000004</v>
      </c>
      <c r="N102" s="23" t="s">
        <v>490</v>
      </c>
      <c r="O102" s="23"/>
      <c r="P102" s="23" t="s">
        <v>600</v>
      </c>
      <c r="Q102" s="144">
        <v>1</v>
      </c>
      <c r="R102" s="137">
        <v>3</v>
      </c>
      <c r="S102" s="169">
        <f>CEILING((IF(J102="Yes", 0, IF(H102="-",AA102,AA102+AA102*VLOOKUP(H102,BUFFERS_BY_TYPE,2,FALSE)))) +
   (IF(J102="Yes", 0, IF(H102="-",AA102,AA102+AA102*VLOOKUP(H102,BUFFERS_BY_TYPE,2,FALSE))))*VLOOKUP($S$5, SALES_CALL_SCALE_ARRAY, 2,FALSE),0.25)</f>
        <v>7</v>
      </c>
      <c r="T102" s="170"/>
      <c r="U102" s="24">
        <v>0</v>
      </c>
      <c r="V102" s="24">
        <v>1</v>
      </c>
      <c r="W102" s="24">
        <v>0</v>
      </c>
      <c r="X102" s="168">
        <v>7</v>
      </c>
      <c r="Y102" s="169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>7</v>
      </c>
      <c r="Z102" s="25"/>
      <c r="AA102" s="169">
        <f>Y102+Y102*VLOOKUP(I102,EXTRAS_ARRAY,2,FALSE)</f>
        <v>7</v>
      </c>
      <c r="AB102" s="23" t="s">
        <v>599</v>
      </c>
      <c r="AC102" s="37"/>
      <c r="AD102" s="26" t="str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spans="1:30" s="11" customFormat="1" ht="7.5" customHeight="1" outlineLevel="2" x14ac:dyDescent="0.35">
      <c r="A103" s="93" t="s">
        <v>132</v>
      </c>
      <c r="B103" s="18"/>
      <c r="C103" s="78"/>
      <c r="D103" s="78"/>
      <c r="E103" s="78"/>
      <c r="F103" s="78"/>
      <c r="G103" s="10"/>
      <c r="H103" s="10"/>
      <c r="I103" s="10"/>
      <c r="J103" s="10"/>
      <c r="K103" s="10"/>
      <c r="L103" s="10"/>
      <c r="M103" s="287"/>
      <c r="N103" s="10"/>
      <c r="O103" s="10"/>
      <c r="P103" s="10"/>
      <c r="Q103" s="10"/>
      <c r="R103" s="10"/>
      <c r="S103" s="10"/>
      <c r="T103" s="18"/>
      <c r="U103" s="10"/>
      <c r="V103" s="10"/>
      <c r="W103" s="10"/>
      <c r="X103" s="18"/>
      <c r="Y103" s="10"/>
      <c r="Z103" s="10"/>
      <c r="AA103" s="10"/>
      <c r="AB103" s="60"/>
      <c r="AC103" s="60"/>
      <c r="AD103" s="12"/>
    </row>
    <row r="104" spans="1:30" s="17" customFormat="1" ht="15.5" outlineLevel="1" x14ac:dyDescent="0.35">
      <c r="A104" s="93" t="s">
        <v>107</v>
      </c>
      <c r="B104" s="21"/>
      <c r="C104" s="84"/>
      <c r="D104" s="84"/>
      <c r="E104" s="84"/>
      <c r="F104" s="83"/>
      <c r="G104" s="185"/>
      <c r="H104" s="185"/>
      <c r="I104" s="185"/>
      <c r="J104" s="185"/>
      <c r="K104" s="185"/>
      <c r="L104" s="92" t="s">
        <v>109</v>
      </c>
      <c r="M104" s="299" t="s">
        <v>124</v>
      </c>
      <c r="N104" s="299"/>
      <c r="O104" s="87"/>
      <c r="P104" s="88"/>
      <c r="Q104" s="88"/>
      <c r="R104" s="88"/>
      <c r="S104" s="300">
        <f>SUMGROUP(ROW(), "T")</f>
        <v>0</v>
      </c>
      <c r="T104" s="300"/>
      <c r="U104" s="298"/>
      <c r="V104" s="298"/>
      <c r="W104" s="298"/>
      <c r="X104" s="89"/>
      <c r="Y104" s="90"/>
      <c r="Z104" s="90"/>
      <c r="AA104" s="90"/>
      <c r="AB104" s="243"/>
      <c r="AC104" s="91"/>
      <c r="AD104" s="26" t="str">
        <f>IF(M104="", "Error: Module name cannot be empty.", "")</f>
        <v/>
      </c>
    </row>
    <row r="105" spans="1:30" s="17" customFormat="1" ht="15.5" outlineLevel="1" collapsed="1" x14ac:dyDescent="0.35">
      <c r="A105" s="93" t="s">
        <v>100</v>
      </c>
      <c r="B105" s="21"/>
      <c r="C105" s="84"/>
      <c r="D105" s="84"/>
      <c r="E105" s="84"/>
      <c r="F105" s="83"/>
      <c r="G105" s="32"/>
      <c r="H105" s="32"/>
      <c r="I105" s="32"/>
      <c r="J105" s="32"/>
      <c r="K105" s="32"/>
      <c r="L105" s="20">
        <f ca="1">LOOKUP(1000,INDIRECT("L1:"&amp;CELL("address",INDIRECT("R[-1]C",FALSE))))+1</f>
        <v>3</v>
      </c>
      <c r="M105" s="301" t="s">
        <v>108</v>
      </c>
      <c r="N105" s="301"/>
      <c r="O105" s="5"/>
      <c r="P105" s="33"/>
      <c r="Q105" s="33"/>
      <c r="R105" s="33"/>
      <c r="S105" s="33"/>
      <c r="T105" s="167">
        <f>IF($S$6="Exclude", SUMIFS(S106:S109, J106:J109, "&lt;&gt;Yes", G106:G109, "&lt;&gt;Yes"), SUMIFS(S106:S109, J106:J109, "&lt;&gt;Yes"))</f>
        <v>0</v>
      </c>
      <c r="U105" s="33"/>
      <c r="V105" s="33"/>
      <c r="W105" s="33"/>
      <c r="X105" s="34"/>
      <c r="Y105" s="35"/>
      <c r="Z105" s="35"/>
      <c r="AA105" s="35"/>
      <c r="AB105" s="240"/>
      <c r="AC105" s="36"/>
      <c r="AD105" s="26" t="str">
        <f>IF(M105="", "Error: Task name cannot be empty.", "")</f>
        <v/>
      </c>
    </row>
    <row r="106" spans="1:30" s="15" customFormat="1" ht="1.5" hidden="1" customHeight="1" outlineLevel="2" x14ac:dyDescent="0.35">
      <c r="A106" s="93" t="s">
        <v>101</v>
      </c>
      <c r="B106" s="21"/>
      <c r="C106" s="84"/>
      <c r="D106" s="84"/>
      <c r="E106" s="84"/>
      <c r="F106" s="83"/>
      <c r="G106" s="32"/>
      <c r="H106" s="32"/>
      <c r="I106" s="32"/>
      <c r="J106" s="32"/>
      <c r="K106" s="32"/>
      <c r="L106" s="175">
        <f ca="1">L105</f>
        <v>3</v>
      </c>
      <c r="M106" s="176" t="s">
        <v>105</v>
      </c>
      <c r="N106" s="173"/>
      <c r="O106" s="174"/>
      <c r="P106" s="33"/>
      <c r="Q106" s="33"/>
      <c r="R106" s="33"/>
      <c r="S106" s="33"/>
      <c r="T106" s="167"/>
      <c r="U106" s="33"/>
      <c r="V106" s="33"/>
      <c r="W106" s="33"/>
      <c r="X106" s="34"/>
      <c r="Y106" s="35"/>
      <c r="Z106" s="35"/>
      <c r="AA106" s="35"/>
      <c r="AB106" s="36"/>
      <c r="AC106" s="36"/>
      <c r="AD106" s="26"/>
    </row>
    <row r="107" spans="1:30" ht="43.5" hidden="1" outlineLevel="2" x14ac:dyDescent="0.35">
      <c r="A107" s="93" t="s">
        <v>0</v>
      </c>
      <c r="B107" s="21"/>
      <c r="C107" s="85"/>
      <c r="D107" s="85"/>
      <c r="E107" s="85"/>
      <c r="F107" s="86"/>
      <c r="G107" s="22" t="s">
        <v>23</v>
      </c>
      <c r="H107" s="22" t="s">
        <v>23</v>
      </c>
      <c r="I107" s="23" t="s">
        <v>23</v>
      </c>
      <c r="J107" s="22" t="s">
        <v>23</v>
      </c>
      <c r="K107" s="38"/>
      <c r="L107" s="22"/>
      <c r="M107" s="286" t="str">
        <f ca="1">IFERROR(OFFSET(M107,-1,,1,1)+0.1,OFFSET(M107,-1,-1,1,1)&amp;".1")</f>
        <v>3.1</v>
      </c>
      <c r="N107" s="23" t="s">
        <v>491</v>
      </c>
      <c r="O107" s="23"/>
      <c r="P107" s="23"/>
      <c r="Q107" s="144"/>
      <c r="R107" s="137"/>
      <c r="S107" s="169">
        <f>CEILING((IF(J107="Yes", 0, IF(H107="-",AA107,AA107+AA107*VLOOKUP(H107,BUFFERS_BY_TYPE,2,FALSE)))) +
   (IF(J107="Yes", 0, IF(H107="-",AA107,AA107+AA107*VLOOKUP(H107,BUFFERS_BY_TYPE,2,FALSE))))*VLOOKUP($S$5, SALES_CALL_SCALE_ARRAY, 2,FALSE),0.25)</f>
        <v>0</v>
      </c>
      <c r="T107" s="170"/>
      <c r="U107" s="24">
        <v>0</v>
      </c>
      <c r="V107" s="24">
        <v>1</v>
      </c>
      <c r="W107" s="24">
        <v>0</v>
      </c>
      <c r="X107" s="168"/>
      <c r="Y107" s="169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>0</v>
      </c>
      <c r="Z107" s="25"/>
      <c r="AA107" s="169">
        <f>Y107+Y107*VLOOKUP(I107,EXTRAS_ARRAY,2,FALSE)</f>
        <v>0</v>
      </c>
      <c r="AB107" s="23"/>
      <c r="AC107" s="37"/>
      <c r="AD107" s="26" t="str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>Error: Effort value is not defined or is invalid.</v>
      </c>
    </row>
    <row r="108" spans="1:30" ht="43.5" hidden="1" outlineLevel="2" x14ac:dyDescent="0.35">
      <c r="A108" s="93" t="s">
        <v>0</v>
      </c>
      <c r="B108" s="21"/>
      <c r="C108" s="85"/>
      <c r="D108" s="85"/>
      <c r="E108" s="85"/>
      <c r="F108" s="86"/>
      <c r="G108" s="22" t="s">
        <v>23</v>
      </c>
      <c r="H108" s="22" t="s">
        <v>23</v>
      </c>
      <c r="I108" s="23" t="s">
        <v>23</v>
      </c>
      <c r="J108" s="22" t="s">
        <v>23</v>
      </c>
      <c r="K108" s="38"/>
      <c r="L108" s="22"/>
      <c r="M108" s="286">
        <f ca="1">IFERROR(OFFSET(M108,-1,,1,1)+0.1,OFFSET(M108,-1,-1,1,1)&amp;".1")</f>
        <v>3.2</v>
      </c>
      <c r="N108" s="23" t="s">
        <v>492</v>
      </c>
      <c r="O108" s="23"/>
      <c r="P108" s="23"/>
      <c r="Q108" s="144"/>
      <c r="R108" s="137"/>
      <c r="S108" s="169">
        <f>CEILING((IF(J108="Yes", 0, IF(H108="-",AA108,AA108+AA108*VLOOKUP(H108,BUFFERS_BY_TYPE,2,FALSE)))) +
   (IF(J108="Yes", 0, IF(H108="-",AA108,AA108+AA108*VLOOKUP(H108,BUFFERS_BY_TYPE,2,FALSE))))*VLOOKUP($S$5, SALES_CALL_SCALE_ARRAY, 2,FALSE),0.25)</f>
        <v>0</v>
      </c>
      <c r="T108" s="170"/>
      <c r="U108" s="24">
        <v>0</v>
      </c>
      <c r="V108" s="24">
        <v>1</v>
      </c>
      <c r="W108" s="24">
        <v>0</v>
      </c>
      <c r="X108" s="168"/>
      <c r="Y108" s="169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>0</v>
      </c>
      <c r="Z108" s="25"/>
      <c r="AA108" s="169">
        <f>Y108+Y108*VLOOKUP(I108,EXTRAS_ARRAY,2,FALSE)</f>
        <v>0</v>
      </c>
      <c r="AB108" s="23"/>
      <c r="AC108" s="37"/>
      <c r="AD108" s="26" t="str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>Error: Effort value is not defined or is invalid.</v>
      </c>
    </row>
    <row r="109" spans="1:30" s="11" customFormat="1" ht="7.5" hidden="1" customHeight="1" outlineLevel="2" x14ac:dyDescent="0.35">
      <c r="A109" s="93" t="s">
        <v>132</v>
      </c>
      <c r="B109" s="18"/>
      <c r="C109" s="78"/>
      <c r="D109" s="78"/>
      <c r="E109" s="78"/>
      <c r="F109" s="78"/>
      <c r="G109" s="10"/>
      <c r="H109" s="10"/>
      <c r="I109" s="10"/>
      <c r="J109" s="10"/>
      <c r="K109" s="10"/>
      <c r="L109" s="10"/>
      <c r="M109" s="287"/>
      <c r="N109" s="10"/>
      <c r="O109" s="10"/>
      <c r="P109" s="10"/>
      <c r="Q109" s="10"/>
      <c r="R109" s="10"/>
      <c r="S109" s="10"/>
      <c r="T109" s="18"/>
      <c r="U109" s="10"/>
      <c r="V109" s="10"/>
      <c r="W109" s="10"/>
      <c r="X109" s="18"/>
      <c r="Y109" s="10"/>
      <c r="Z109" s="10"/>
      <c r="AA109" s="10"/>
      <c r="AB109" s="60"/>
      <c r="AC109" s="60"/>
      <c r="AD109" s="12"/>
    </row>
    <row r="110" spans="1:30" s="17" customFormat="1" ht="15.5" outlineLevel="1" x14ac:dyDescent="0.35">
      <c r="A110" s="93" t="s">
        <v>107</v>
      </c>
      <c r="B110" s="21"/>
      <c r="C110" s="84"/>
      <c r="D110" s="84"/>
      <c r="E110" s="84"/>
      <c r="F110" s="83"/>
      <c r="G110" s="185"/>
      <c r="H110" s="185"/>
      <c r="I110" s="185"/>
      <c r="J110" s="185"/>
      <c r="K110" s="185"/>
      <c r="L110" s="92" t="s">
        <v>109</v>
      </c>
      <c r="M110" s="299" t="s">
        <v>450</v>
      </c>
      <c r="N110" s="299"/>
      <c r="O110" s="87"/>
      <c r="P110" s="88"/>
      <c r="Q110" s="88"/>
      <c r="R110" s="88"/>
      <c r="S110" s="300">
        <f>SUMGROUP(ROW(), "T")</f>
        <v>0</v>
      </c>
      <c r="T110" s="300"/>
      <c r="U110" s="298"/>
      <c r="V110" s="298"/>
      <c r="W110" s="298"/>
      <c r="X110" s="89"/>
      <c r="Y110" s="90"/>
      <c r="Z110" s="90"/>
      <c r="AA110" s="90"/>
      <c r="AB110" s="243"/>
      <c r="AC110" s="91"/>
      <c r="AD110" s="26" t="str">
        <f>IF(M110="", "Error: Module name cannot be empty.", "")</f>
        <v/>
      </c>
    </row>
    <row r="111" spans="1:30" s="17" customFormat="1" ht="15.5" outlineLevel="1" collapsed="1" x14ac:dyDescent="0.35">
      <c r="A111" s="93" t="s">
        <v>100</v>
      </c>
      <c r="B111" s="21"/>
      <c r="C111" s="84"/>
      <c r="D111" s="84"/>
      <c r="E111" s="84"/>
      <c r="F111" s="83"/>
      <c r="G111" s="32"/>
      <c r="H111" s="32"/>
      <c r="I111" s="32"/>
      <c r="J111" s="32"/>
      <c r="K111" s="32"/>
      <c r="L111" s="20">
        <f ca="1">LOOKUP(1000,INDIRECT("L1:"&amp;CELL("address",INDIRECT("R[-1]C",FALSE))))+1</f>
        <v>4</v>
      </c>
      <c r="M111" s="301" t="s">
        <v>451</v>
      </c>
      <c r="N111" s="301"/>
      <c r="O111" s="5"/>
      <c r="P111" s="33"/>
      <c r="Q111" s="33"/>
      <c r="R111" s="33"/>
      <c r="S111" s="33"/>
      <c r="T111" s="167">
        <f>IF($S$6="Exclude", SUMIFS(S112:S115, J112:J115, "&lt;&gt;Yes", G112:G115, "&lt;&gt;Yes"), SUMIFS(S112:S115, J112:J115, "&lt;&gt;Yes"))</f>
        <v>0</v>
      </c>
      <c r="U111" s="33"/>
      <c r="V111" s="33"/>
      <c r="W111" s="33"/>
      <c r="X111" s="34"/>
      <c r="Y111" s="35"/>
      <c r="Z111" s="35"/>
      <c r="AA111" s="35"/>
      <c r="AB111" s="240"/>
      <c r="AC111" s="36"/>
      <c r="AD111" s="26" t="str">
        <f>IF(M111="", "Error: Task name cannot be empty.", "")</f>
        <v/>
      </c>
    </row>
    <row r="112" spans="1:30" s="15" customFormat="1" ht="1.5" hidden="1" customHeight="1" outlineLevel="2" x14ac:dyDescent="0.35">
      <c r="A112" s="93" t="s">
        <v>101</v>
      </c>
      <c r="B112" s="21"/>
      <c r="C112" s="84"/>
      <c r="D112" s="84"/>
      <c r="E112" s="84"/>
      <c r="F112" s="83"/>
      <c r="G112" s="32"/>
      <c r="H112" s="32"/>
      <c r="I112" s="32"/>
      <c r="J112" s="32"/>
      <c r="K112" s="32"/>
      <c r="L112" s="175">
        <f ca="1">L111</f>
        <v>4</v>
      </c>
      <c r="M112" s="176" t="s">
        <v>105</v>
      </c>
      <c r="N112" s="173"/>
      <c r="O112" s="174"/>
      <c r="P112" s="33"/>
      <c r="Q112" s="33"/>
      <c r="R112" s="33"/>
      <c r="S112" s="33"/>
      <c r="T112" s="167"/>
      <c r="U112" s="33"/>
      <c r="V112" s="33"/>
      <c r="W112" s="33"/>
      <c r="X112" s="34"/>
      <c r="Y112" s="35"/>
      <c r="Z112" s="35"/>
      <c r="AA112" s="35"/>
      <c r="AB112" s="36"/>
      <c r="AC112" s="36"/>
      <c r="AD112" s="26"/>
    </row>
    <row r="113" spans="1:30" ht="43.5" hidden="1" outlineLevel="2" x14ac:dyDescent="0.35">
      <c r="A113" s="93" t="s">
        <v>0</v>
      </c>
      <c r="B113" s="21"/>
      <c r="C113" s="85"/>
      <c r="D113" s="85"/>
      <c r="E113" s="85"/>
      <c r="F113" s="86"/>
      <c r="G113" s="22" t="s">
        <v>23</v>
      </c>
      <c r="H113" s="22" t="s">
        <v>23</v>
      </c>
      <c r="I113" s="23" t="s">
        <v>23</v>
      </c>
      <c r="J113" s="22" t="s">
        <v>23</v>
      </c>
      <c r="K113" s="38"/>
      <c r="L113" s="22"/>
      <c r="M113" s="286" t="str">
        <f ca="1">IFERROR(OFFSET(M113,-1,,1,1)+0.1,OFFSET(M113,-1,-1,1,1)&amp;".1")</f>
        <v>4.1</v>
      </c>
      <c r="N113" s="23" t="s">
        <v>494</v>
      </c>
      <c r="O113" s="23"/>
      <c r="P113" s="23"/>
      <c r="Q113" s="144"/>
      <c r="R113" s="137"/>
      <c r="S113" s="169">
        <f>CEILING((IF(J113="Yes", 0, IF(H113="-",AA113,AA113+AA113*VLOOKUP(H113,BUFFERS_BY_TYPE,2,FALSE)))) +
   (IF(J113="Yes", 0, IF(H113="-",AA113,AA113+AA113*VLOOKUP(H113,BUFFERS_BY_TYPE,2,FALSE))))*VLOOKUP($S$5, SALES_CALL_SCALE_ARRAY, 2,FALSE),0.25)</f>
        <v>0</v>
      </c>
      <c r="T113" s="170"/>
      <c r="U113" s="24">
        <v>0</v>
      </c>
      <c r="V113" s="24">
        <v>1</v>
      </c>
      <c r="W113" s="24">
        <v>0</v>
      </c>
      <c r="X113" s="168"/>
      <c r="Y113" s="169">
        <f>CEILING((IF(P113=AS_DEV_EFFORT, DEV_EFFORT*Q113%,
                           IF(P113=AS_DURATION_EFFORT, (MANUAL_DURATION*5)*Q113%,
                                    (IF(Q113&lt;=1,X113,
                                          IF(SUM(U113:W113)=0,(Q113*X113),
                                               (((Q113*U113)*(X113+(X113*EXTRA_FOR_H)))+
                                               ((Q113*V113)*X113)+
                                               ((Q113*W113)*(X113-(X113*LESS_FOR_L)))
                                    )*IF(R113=0,1,R113))))))+Z113), 0.25)</f>
        <v>0</v>
      </c>
      <c r="Z113" s="25"/>
      <c r="AA113" s="169">
        <f>Y113+Y113*VLOOKUP(I113,EXTRAS_ARRAY,2,FALSE)</f>
        <v>0</v>
      </c>
      <c r="AB113" s="23"/>
      <c r="AC113" s="37"/>
      <c r="AD113" s="26" t="str">
        <f>IF(J113&lt;&gt;"Yes",
IF(S113&lt;=0,"Error: Effort value is not defined or is invalid.",
IF(AND(SUM(U113:W113)&gt;0,SUM(U113:W113)&lt;&gt;1),"Error: Complexity % distribution should sum to 100%.",
IF(AND(P113=AS_DEV_EFFORT,X113&lt;&gt;0),"Error: PDs should not be defined when defining as dev effort %.",
IF(AND(P113=AS_DURATION_EFFORT,X113&lt;&gt;0),"Error: PDs should not be defined when defining as duration effort %.","")))))</f>
        <v>Error: Effort value is not defined or is invalid.</v>
      </c>
    </row>
    <row r="114" spans="1:30" ht="58" hidden="1" outlineLevel="2" x14ac:dyDescent="0.35">
      <c r="A114" s="93" t="s">
        <v>0</v>
      </c>
      <c r="B114" s="21"/>
      <c r="C114" s="85"/>
      <c r="D114" s="85"/>
      <c r="E114" s="85"/>
      <c r="F114" s="86"/>
      <c r="G114" s="22" t="s">
        <v>23</v>
      </c>
      <c r="H114" s="22" t="s">
        <v>23</v>
      </c>
      <c r="I114" s="23" t="s">
        <v>23</v>
      </c>
      <c r="J114" s="22" t="s">
        <v>23</v>
      </c>
      <c r="K114" s="38"/>
      <c r="L114" s="22"/>
      <c r="M114" s="286">
        <f ca="1">IFERROR(OFFSET(M114,-1,,1,1)+0.1,OFFSET(M114,-1,-1,1,1)&amp;".1")</f>
        <v>4.1999999999999993</v>
      </c>
      <c r="N114" s="23" t="s">
        <v>442</v>
      </c>
      <c r="O114" s="23"/>
      <c r="P114" s="23"/>
      <c r="Q114" s="144"/>
      <c r="R114" s="137"/>
      <c r="S114" s="169">
        <f>CEILING((IF(J114="Yes", 0, IF(H114="-",AA114,AA114+AA114*VLOOKUP(H114,BUFFERS_BY_TYPE,2,FALSE)))) +
   (IF(J114="Yes", 0, IF(H114="-",AA114,AA114+AA114*VLOOKUP(H114,BUFFERS_BY_TYPE,2,FALSE))))*VLOOKUP($S$5, SALES_CALL_SCALE_ARRAY, 2,FALSE),0.25)</f>
        <v>0</v>
      </c>
      <c r="T114" s="170"/>
      <c r="U114" s="24">
        <v>0</v>
      </c>
      <c r="V114" s="24">
        <v>1</v>
      </c>
      <c r="W114" s="24">
        <v>0</v>
      </c>
      <c r="X114" s="168"/>
      <c r="Y114" s="169">
        <f>CEILING((IF(P114=AS_DEV_EFFORT, DEV_EFFORT*Q114%,
                           IF(P114=AS_DURATION_EFFORT, (MANUAL_DURATION*5)*Q114%,
                                    (IF(Q114&lt;=1,X114,
                                          IF(SUM(U114:W114)=0,(Q114*X114),
                                               (((Q114*U114)*(X114+(X114*EXTRA_FOR_H)))+
                                               ((Q114*V114)*X114)+
                                               ((Q114*W114)*(X114-(X114*LESS_FOR_L)))
                                    )*IF(R114=0,1,R114))))))+Z114), 0.25)</f>
        <v>0</v>
      </c>
      <c r="Z114" s="25"/>
      <c r="AA114" s="169">
        <f>Y114+Y114*VLOOKUP(I114,EXTRAS_ARRAY,2,FALSE)</f>
        <v>0</v>
      </c>
      <c r="AB114" s="23"/>
      <c r="AC114" s="37"/>
      <c r="AD114" s="26" t="str">
        <f>IF(J114&lt;&gt;"Yes",
IF(S114&lt;=0,"Error: Effort value is not defined or is invalid.",
IF(AND(SUM(U114:W114)&gt;0,SUM(U114:W114)&lt;&gt;1),"Error: Complexity % distribution should sum to 100%.",
IF(AND(P114=AS_DEV_EFFORT,X114&lt;&gt;0),"Error: PDs should not be defined when defining as dev effort %.",
IF(AND(P114=AS_DURATION_EFFORT,X114&lt;&gt;0),"Error: PDs should not be defined when defining as duration effort %.","")))))</f>
        <v>Error: Effort value is not defined or is invalid.</v>
      </c>
    </row>
    <row r="115" spans="1:30" s="11" customFormat="1" ht="7.5" hidden="1" customHeight="1" outlineLevel="2" x14ac:dyDescent="0.35">
      <c r="A115" s="93" t="s">
        <v>132</v>
      </c>
      <c r="B115" s="18"/>
      <c r="C115" s="78"/>
      <c r="D115" s="78"/>
      <c r="E115" s="78"/>
      <c r="F115" s="78"/>
      <c r="G115" s="10"/>
      <c r="H115" s="10"/>
      <c r="I115" s="10"/>
      <c r="J115" s="10"/>
      <c r="K115" s="10"/>
      <c r="L115" s="10"/>
      <c r="M115" s="287"/>
      <c r="N115" s="10"/>
      <c r="O115" s="10"/>
      <c r="P115" s="10"/>
      <c r="Q115" s="10"/>
      <c r="R115" s="10"/>
      <c r="S115" s="10"/>
      <c r="T115" s="18"/>
      <c r="U115" s="10"/>
      <c r="V115" s="10"/>
      <c r="W115" s="10"/>
      <c r="X115" s="18"/>
      <c r="Y115" s="10"/>
      <c r="Z115" s="10"/>
      <c r="AA115" s="10"/>
      <c r="AB115" s="60"/>
      <c r="AC115" s="60"/>
      <c r="AD115" s="12"/>
    </row>
    <row r="116" spans="1:30" s="17" customFormat="1" ht="15.5" outlineLevel="1" collapsed="1" x14ac:dyDescent="0.35">
      <c r="A116" s="93" t="s">
        <v>100</v>
      </c>
      <c r="B116" s="21"/>
      <c r="C116" s="84"/>
      <c r="D116" s="84"/>
      <c r="E116" s="84"/>
      <c r="F116" s="83"/>
      <c r="G116" s="32"/>
      <c r="H116" s="32"/>
      <c r="I116" s="32"/>
      <c r="J116" s="32"/>
      <c r="K116" s="32"/>
      <c r="L116" s="20">
        <f ca="1">LOOKUP(1000,INDIRECT("L1:"&amp;CELL("address",INDIRECT("R[-1]C",FALSE))))+1</f>
        <v>5</v>
      </c>
      <c r="M116" s="301" t="s">
        <v>452</v>
      </c>
      <c r="N116" s="301"/>
      <c r="O116" s="5"/>
      <c r="P116" s="33"/>
      <c r="Q116" s="33"/>
      <c r="R116" s="33"/>
      <c r="S116" s="33"/>
      <c r="T116" s="167">
        <f>IF($S$6="Exclude", SUMIFS(S117:S119, J117:J119, "&lt;&gt;Yes", G117:G119, "&lt;&gt;Yes"), SUMIFS(S117:S119, J117:J119, "&lt;&gt;Yes"))</f>
        <v>0</v>
      </c>
      <c r="U116" s="33"/>
      <c r="V116" s="33"/>
      <c r="W116" s="33"/>
      <c r="X116" s="34"/>
      <c r="Y116" s="35"/>
      <c r="Z116" s="35"/>
      <c r="AA116" s="35"/>
      <c r="AB116" s="240"/>
      <c r="AC116" s="36"/>
      <c r="AD116" s="26" t="str">
        <f>IF(M116="", "Error: Task name cannot be empty.", "")</f>
        <v/>
      </c>
    </row>
    <row r="117" spans="1:30" s="15" customFormat="1" ht="1.5" hidden="1" customHeight="1" outlineLevel="2" x14ac:dyDescent="0.35">
      <c r="A117" s="93" t="s">
        <v>101</v>
      </c>
      <c r="B117" s="21"/>
      <c r="C117" s="84"/>
      <c r="D117" s="84"/>
      <c r="E117" s="84"/>
      <c r="F117" s="83"/>
      <c r="G117" s="32"/>
      <c r="H117" s="32"/>
      <c r="I117" s="32"/>
      <c r="J117" s="32"/>
      <c r="K117" s="32"/>
      <c r="L117" s="175">
        <f ca="1">L116</f>
        <v>5</v>
      </c>
      <c r="M117" s="176" t="s">
        <v>105</v>
      </c>
      <c r="N117" s="173"/>
      <c r="O117" s="174"/>
      <c r="P117" s="33"/>
      <c r="Q117" s="33"/>
      <c r="R117" s="33"/>
      <c r="S117" s="33"/>
      <c r="T117" s="167"/>
      <c r="U117" s="33"/>
      <c r="V117" s="33"/>
      <c r="W117" s="33"/>
      <c r="X117" s="34"/>
      <c r="Y117" s="35"/>
      <c r="Z117" s="35"/>
      <c r="AA117" s="35"/>
      <c r="AB117" s="36"/>
      <c r="AC117" s="36"/>
      <c r="AD117" s="26"/>
    </row>
    <row r="118" spans="1:30" ht="43.5" hidden="1" outlineLevel="2" x14ac:dyDescent="0.35">
      <c r="A118" s="93" t="s">
        <v>0</v>
      </c>
      <c r="B118" s="21"/>
      <c r="C118" s="85"/>
      <c r="D118" s="85"/>
      <c r="E118" s="85"/>
      <c r="F118" s="86"/>
      <c r="G118" s="22" t="s">
        <v>23</v>
      </c>
      <c r="H118" s="22" t="s">
        <v>23</v>
      </c>
      <c r="I118" s="23" t="s">
        <v>23</v>
      </c>
      <c r="J118" s="22" t="s">
        <v>23</v>
      </c>
      <c r="K118" s="38"/>
      <c r="L118" s="22"/>
      <c r="M118" s="286" t="str">
        <f ca="1">IFERROR(OFFSET(M118,-1,,1,1)+0.1,OFFSET(M118,-1,-1,1,1)&amp;".1")</f>
        <v>5.1</v>
      </c>
      <c r="N118" s="23" t="s">
        <v>493</v>
      </c>
      <c r="O118" s="23"/>
      <c r="P118" s="23"/>
      <c r="Q118" s="144"/>
      <c r="R118" s="137"/>
      <c r="S118" s="169">
        <f>CEILING((IF(J118="Yes", 0, IF(H118="-",AA118,AA118+AA118*VLOOKUP(H118,BUFFERS_BY_TYPE,2,FALSE)))) +
   (IF(J118="Yes", 0, IF(H118="-",AA118,AA118+AA118*VLOOKUP(H118,BUFFERS_BY_TYPE,2,FALSE))))*VLOOKUP($S$5, SALES_CALL_SCALE_ARRAY, 2,FALSE),0.25)</f>
        <v>0</v>
      </c>
      <c r="T118" s="170"/>
      <c r="U118" s="24">
        <v>0</v>
      </c>
      <c r="V118" s="24">
        <v>1</v>
      </c>
      <c r="W118" s="24">
        <v>0</v>
      </c>
      <c r="X118" s="168"/>
      <c r="Y118" s="169">
        <f>CEILING((IF(P118=AS_DEV_EFFORT, DEV_EFFORT*Q118%,
                           IF(P118=AS_DURATION_EFFORT, (MANUAL_DURATION*5)*Q118%,
                                    (IF(Q118&lt;=1,X118,
                                          IF(SUM(U118:W118)=0,(Q118*X118),
                                               (((Q118*U118)*(X118+(X118*EXTRA_FOR_H)))+
                                               ((Q118*V118)*X118)+
                                               ((Q118*W118)*(X118-(X118*LESS_FOR_L)))
                                    )*IF(R118=0,1,R118))))))+Z118), 0.25)</f>
        <v>0</v>
      </c>
      <c r="Z118" s="25"/>
      <c r="AA118" s="169">
        <f>Y118+Y118*VLOOKUP(I118,EXTRAS_ARRAY,2,FALSE)</f>
        <v>0</v>
      </c>
      <c r="AB118" s="23"/>
      <c r="AC118" s="37"/>
      <c r="AD118" s="26" t="str">
        <f>IF(J118&lt;&gt;"Yes",
IF(S118&lt;=0,"Error: Effort value is not defined or is invalid.",
IF(AND(SUM(U118:W118)&gt;0,SUM(U118:W118)&lt;&gt;1),"Error: Complexity % distribution should sum to 100%.",
IF(AND(P118=AS_DEV_EFFORT,X118&lt;&gt;0),"Error: PDs should not be defined when defining as dev effort %.",
IF(AND(P118=AS_DURATION_EFFORT,X118&lt;&gt;0),"Error: PDs should not be defined when defining as duration effort %.","")))))</f>
        <v>Error: Effort value is not defined or is invalid.</v>
      </c>
    </row>
    <row r="119" spans="1:30" s="11" customFormat="1" ht="7.5" hidden="1" customHeight="1" outlineLevel="2" x14ac:dyDescent="0.35">
      <c r="A119" s="93" t="s">
        <v>132</v>
      </c>
      <c r="B119" s="18"/>
      <c r="C119" s="78"/>
      <c r="D119" s="78"/>
      <c r="E119" s="78"/>
      <c r="F119" s="78"/>
      <c r="G119" s="10"/>
      <c r="H119" s="10"/>
      <c r="I119" s="10"/>
      <c r="J119" s="10"/>
      <c r="K119" s="10"/>
      <c r="L119" s="10"/>
      <c r="M119" s="287"/>
      <c r="N119" s="10"/>
      <c r="O119" s="10"/>
      <c r="P119" s="10"/>
      <c r="Q119" s="10"/>
      <c r="R119" s="10"/>
      <c r="S119" s="10"/>
      <c r="T119" s="18"/>
      <c r="U119" s="10"/>
      <c r="V119" s="10"/>
      <c r="W119" s="10"/>
      <c r="X119" s="18"/>
      <c r="Y119" s="10"/>
      <c r="Z119" s="10"/>
      <c r="AA119" s="10"/>
      <c r="AB119" s="60"/>
      <c r="AC119" s="60"/>
      <c r="AD119" s="12"/>
    </row>
    <row r="120" spans="1:30" s="17" customFormat="1" ht="15.5" outlineLevel="1" x14ac:dyDescent="0.35">
      <c r="A120" s="93" t="s">
        <v>107</v>
      </c>
      <c r="B120" s="21"/>
      <c r="C120" s="84"/>
      <c r="D120" s="84"/>
      <c r="E120" s="84"/>
      <c r="F120" s="83"/>
      <c r="G120" s="185"/>
      <c r="H120" s="185"/>
      <c r="I120" s="185"/>
      <c r="J120" s="185"/>
      <c r="K120" s="185"/>
      <c r="L120" s="92" t="s">
        <v>109</v>
      </c>
      <c r="M120" s="299" t="s">
        <v>509</v>
      </c>
      <c r="N120" s="299"/>
      <c r="O120" s="87"/>
      <c r="P120" s="88"/>
      <c r="Q120" s="88"/>
      <c r="R120" s="88"/>
      <c r="S120" s="300">
        <f>SUMGROUP(ROW(), "T")</f>
        <v>0</v>
      </c>
      <c r="T120" s="300"/>
      <c r="U120" s="298"/>
      <c r="V120" s="298"/>
      <c r="W120" s="298"/>
      <c r="X120" s="89"/>
      <c r="Y120" s="90"/>
      <c r="Z120" s="90"/>
      <c r="AA120" s="90"/>
      <c r="AB120" s="243"/>
      <c r="AC120" s="91"/>
      <c r="AD120" s="26" t="str">
        <f>IF(M120="", "Error: Module name cannot be empty.", "")</f>
        <v/>
      </c>
    </row>
    <row r="121" spans="1:30" s="17" customFormat="1" ht="15.5" outlineLevel="1" collapsed="1" x14ac:dyDescent="0.35">
      <c r="A121" s="93" t="s">
        <v>100</v>
      </c>
      <c r="B121" s="21"/>
      <c r="C121" s="84"/>
      <c r="D121" s="84"/>
      <c r="E121" s="84"/>
      <c r="F121" s="83"/>
      <c r="G121" s="32"/>
      <c r="H121" s="32"/>
      <c r="I121" s="32"/>
      <c r="J121" s="32"/>
      <c r="K121" s="32"/>
      <c r="L121" s="20">
        <f ca="1">LOOKUP(1000,INDIRECT("L1:"&amp;CELL("address",INDIRECT("R[-1]C",FALSE))))+1</f>
        <v>6</v>
      </c>
      <c r="M121" s="301" t="s">
        <v>509</v>
      </c>
      <c r="N121" s="301"/>
      <c r="O121" s="5"/>
      <c r="P121" s="33"/>
      <c r="Q121" s="33"/>
      <c r="R121" s="33"/>
      <c r="S121" s="33"/>
      <c r="T121" s="167">
        <f>IF($S$6="Exclude", SUMIFS(S122:S125, J122:J125, "&lt;&gt;Yes", G122:G125, "&lt;&gt;Yes"), SUMIFS(S122:S125, J122:J125, "&lt;&gt;Yes"))</f>
        <v>0</v>
      </c>
      <c r="U121" s="33"/>
      <c r="V121" s="33"/>
      <c r="W121" s="33"/>
      <c r="X121" s="34"/>
      <c r="Y121" s="35"/>
      <c r="Z121" s="35"/>
      <c r="AA121" s="35"/>
      <c r="AB121" s="240"/>
      <c r="AC121" s="36"/>
      <c r="AD121" s="26" t="str">
        <f>IF(M121="", "Error: Task name cannot be empty.", "")</f>
        <v/>
      </c>
    </row>
    <row r="122" spans="1:30" s="15" customFormat="1" ht="1.5" hidden="1" customHeight="1" outlineLevel="2" x14ac:dyDescent="0.35">
      <c r="A122" s="93" t="s">
        <v>101</v>
      </c>
      <c r="B122" s="21"/>
      <c r="C122" s="84"/>
      <c r="D122" s="84"/>
      <c r="E122" s="84"/>
      <c r="F122" s="83"/>
      <c r="G122" s="32"/>
      <c r="H122" s="32"/>
      <c r="I122" s="32"/>
      <c r="J122" s="32"/>
      <c r="K122" s="32"/>
      <c r="L122" s="175">
        <f ca="1">L121</f>
        <v>6</v>
      </c>
      <c r="M122" s="176" t="s">
        <v>105</v>
      </c>
      <c r="N122" s="173"/>
      <c r="O122" s="174"/>
      <c r="P122" s="33"/>
      <c r="Q122" s="33"/>
      <c r="R122" s="33"/>
      <c r="S122" s="33"/>
      <c r="T122" s="167"/>
      <c r="U122" s="33"/>
      <c r="V122" s="33"/>
      <c r="W122" s="33"/>
      <c r="X122" s="34"/>
      <c r="Y122" s="35"/>
      <c r="Z122" s="35"/>
      <c r="AA122" s="35"/>
      <c r="AB122" s="36"/>
      <c r="AC122" s="36"/>
      <c r="AD122" s="26"/>
    </row>
    <row r="123" spans="1:30" ht="43.5" hidden="1" outlineLevel="2" x14ac:dyDescent="0.35">
      <c r="A123" s="93" t="s">
        <v>0</v>
      </c>
      <c r="B123" s="21"/>
      <c r="C123" s="85"/>
      <c r="D123" s="85"/>
      <c r="E123" s="85"/>
      <c r="F123" s="86"/>
      <c r="G123" s="22" t="s">
        <v>23</v>
      </c>
      <c r="H123" s="22" t="s">
        <v>23</v>
      </c>
      <c r="I123" s="23" t="s">
        <v>23</v>
      </c>
      <c r="J123" s="22" t="s">
        <v>23</v>
      </c>
      <c r="K123" s="38"/>
      <c r="L123" s="22"/>
      <c r="M123" s="286" t="str">
        <f ca="1">IFERROR(OFFSET(M123,-1,,1,1)+0.1,OFFSET(M123,-1,-1,1,1)&amp;".1")</f>
        <v>6.1</v>
      </c>
      <c r="N123" s="23" t="s">
        <v>510</v>
      </c>
      <c r="O123" s="23"/>
      <c r="P123" s="23"/>
      <c r="Q123" s="144"/>
      <c r="R123" s="137"/>
      <c r="S123" s="169">
        <f>CEILING((IF(J123="Yes", 0, IF(H123="-",AA123,AA123+AA123*VLOOKUP(H123,BUFFERS_BY_TYPE,2,FALSE)))) +
   (IF(J123="Yes", 0, IF(H123="-",AA123,AA123+AA123*VLOOKUP(H123,BUFFERS_BY_TYPE,2,FALSE))))*VLOOKUP($S$5, SALES_CALL_SCALE_ARRAY, 2,FALSE),0.25)</f>
        <v>0</v>
      </c>
      <c r="T123" s="170"/>
      <c r="U123" s="24">
        <v>0</v>
      </c>
      <c r="V123" s="24">
        <v>1</v>
      </c>
      <c r="W123" s="24">
        <v>0</v>
      </c>
      <c r="X123" s="168"/>
      <c r="Y123" s="169">
        <f>CEILING((IF(P123=AS_DEV_EFFORT, DEV_EFFORT*Q123%,
                           IF(P123=AS_DURATION_EFFORT, (MANUAL_DURATION*5)*Q123%,
                                    (IF(Q123&lt;=1,X123,
                                          IF(SUM(U123:W123)=0,(Q123*X123),
                                               (((Q123*U123)*(X123+(X123*EXTRA_FOR_H)))+
                                               ((Q123*V123)*X123)+
                                               ((Q123*W123)*(X123-(X123*LESS_FOR_L)))
                                    )*IF(R123=0,1,R123))))))+Z123), 0.25)</f>
        <v>0</v>
      </c>
      <c r="Z123" s="25"/>
      <c r="AA123" s="169">
        <f>Y123+Y123*VLOOKUP(I123,EXTRAS_ARRAY,2,FALSE)</f>
        <v>0</v>
      </c>
      <c r="AB123" s="23"/>
      <c r="AC123" s="37"/>
      <c r="AD123" s="26" t="str">
        <f>IF(J123&lt;&gt;"Yes",
IF(S123&lt;=0,"Error: Effort value is not defined or is invalid.",
IF(AND(SUM(U123:W123)&gt;0,SUM(U123:W123)&lt;&gt;1),"Error: Complexity % distribution should sum to 100%.",
IF(AND(P123=AS_DEV_EFFORT,X123&lt;&gt;0),"Error: PDs should not be defined when defining as dev effort %.",
IF(AND(P123=AS_DURATION_EFFORT,X123&lt;&gt;0),"Error: PDs should not be defined when defining as duration effort %.","")))))</f>
        <v>Error: Effort value is not defined or is invalid.</v>
      </c>
    </row>
    <row r="124" spans="1:30" ht="43.5" hidden="1" outlineLevel="2" x14ac:dyDescent="0.35">
      <c r="A124" s="93" t="s">
        <v>0</v>
      </c>
      <c r="B124" s="21"/>
      <c r="C124" s="85"/>
      <c r="D124" s="85"/>
      <c r="E124" s="85"/>
      <c r="F124" s="86"/>
      <c r="G124" s="22" t="s">
        <v>23</v>
      </c>
      <c r="H124" s="22" t="s">
        <v>23</v>
      </c>
      <c r="I124" s="23" t="s">
        <v>23</v>
      </c>
      <c r="J124" s="22" t="s">
        <v>23</v>
      </c>
      <c r="K124" s="38" t="s">
        <v>557</v>
      </c>
      <c r="L124" s="22"/>
      <c r="M124" s="286">
        <f ca="1">IFERROR(OFFSET(M124,-1,,1,1)+0.1,OFFSET(M124,-1,-1,1,1)&amp;".1")</f>
        <v>6.1999999999999993</v>
      </c>
      <c r="N124" s="23" t="s">
        <v>511</v>
      </c>
      <c r="O124" s="23"/>
      <c r="P124" s="23"/>
      <c r="Q124" s="144"/>
      <c r="R124" s="137"/>
      <c r="S124" s="169">
        <f>CEILING((IF(J124="Yes", 0, IF(H124="-",AA124,AA124+AA124*VLOOKUP(H124,BUFFERS_BY_TYPE,2,FALSE)))) +
   (IF(J124="Yes", 0, IF(H124="-",AA124,AA124+AA124*VLOOKUP(H124,BUFFERS_BY_TYPE,2,FALSE))))*VLOOKUP($S$5, SALES_CALL_SCALE_ARRAY, 2,FALSE),0.25)</f>
        <v>0</v>
      </c>
      <c r="T124" s="170"/>
      <c r="U124" s="24">
        <v>0</v>
      </c>
      <c r="V124" s="24">
        <v>1</v>
      </c>
      <c r="W124" s="24">
        <v>0</v>
      </c>
      <c r="X124" s="168"/>
      <c r="Y124" s="169">
        <f>CEILING((IF(P124=AS_DEV_EFFORT, DEV_EFFORT*Q124%,
                           IF(P124=AS_DURATION_EFFORT, (MANUAL_DURATION*5)*Q124%,
                                    (IF(Q124&lt;=1,X124,
                                          IF(SUM(U124:W124)=0,(Q124*X124),
                                               (((Q124*U124)*(X124+(X124*EXTRA_FOR_H)))+
                                               ((Q124*V124)*X124)+
                                               ((Q124*W124)*(X124-(X124*LESS_FOR_L)))
                                    )*IF(R124=0,1,R124))))))+Z124), 0.25)</f>
        <v>0</v>
      </c>
      <c r="Z124" s="25"/>
      <c r="AA124" s="169">
        <f>Y124+Y124*VLOOKUP(I124,EXTRAS_ARRAY,2,FALSE)</f>
        <v>0</v>
      </c>
      <c r="AB124" s="23"/>
      <c r="AC124" s="37"/>
      <c r="AD124" s="26" t="str">
        <f>IF(J124&lt;&gt;"Yes",
IF(S124&lt;=0,"Error: Effort value is not defined or is invalid.",
IF(AND(SUM(U124:W124)&gt;0,SUM(U124:W124)&lt;&gt;1),"Error: Complexity % distribution should sum to 100%.",
IF(AND(P124=AS_DEV_EFFORT,X124&lt;&gt;0),"Error: PDs should not be defined when defining as dev effort %.",
IF(AND(P124=AS_DURATION_EFFORT,X124&lt;&gt;0),"Error: PDs should not be defined when defining as duration effort %.","")))))</f>
        <v>Error: Effort value is not defined or is invalid.</v>
      </c>
    </row>
    <row r="125" spans="1:30" s="11" customFormat="1" ht="7.5" hidden="1" customHeight="1" outlineLevel="2" x14ac:dyDescent="0.35">
      <c r="A125" s="93" t="s">
        <v>132</v>
      </c>
      <c r="B125" s="18"/>
      <c r="C125" s="78"/>
      <c r="D125" s="78"/>
      <c r="E125" s="78"/>
      <c r="F125" s="78"/>
      <c r="G125" s="10"/>
      <c r="H125" s="10"/>
      <c r="I125" s="10"/>
      <c r="J125" s="10"/>
      <c r="K125" s="10"/>
      <c r="L125" s="10"/>
      <c r="M125" s="287"/>
      <c r="N125" s="10"/>
      <c r="O125" s="10"/>
      <c r="P125" s="10"/>
      <c r="Q125" s="10"/>
      <c r="R125" s="10"/>
      <c r="S125" s="10"/>
      <c r="T125" s="18"/>
      <c r="U125" s="10"/>
      <c r="V125" s="10"/>
      <c r="W125" s="10"/>
      <c r="X125" s="18"/>
      <c r="Y125" s="10"/>
      <c r="Z125" s="10"/>
      <c r="AA125" s="10"/>
      <c r="AB125" s="60"/>
      <c r="AC125" s="60"/>
      <c r="AD125" s="12"/>
    </row>
    <row r="126" spans="1:30" s="11" customFormat="1" ht="3" customHeight="1" outlineLevel="1" x14ac:dyDescent="0.35">
      <c r="A126" s="93" t="s">
        <v>102</v>
      </c>
      <c r="B126" s="10"/>
      <c r="C126" s="78"/>
      <c r="D126" s="78"/>
      <c r="E126" s="78"/>
      <c r="F126" s="78"/>
      <c r="G126" s="59"/>
      <c r="H126" s="59"/>
      <c r="I126" s="59"/>
      <c r="J126" s="59"/>
      <c r="K126" s="59"/>
      <c r="L126" s="61"/>
      <c r="M126" s="288"/>
      <c r="N126" s="62"/>
      <c r="O126" s="62"/>
      <c r="P126" s="61"/>
      <c r="Q126" s="61"/>
      <c r="R126" s="61"/>
      <c r="S126" s="61"/>
      <c r="T126" s="61"/>
      <c r="U126" s="61"/>
      <c r="V126" s="61"/>
      <c r="W126" s="61"/>
      <c r="X126" s="61"/>
      <c r="Y126" s="61"/>
      <c r="Z126" s="61"/>
      <c r="AA126" s="61"/>
      <c r="AB126" s="62"/>
      <c r="AC126" s="62"/>
      <c r="AD126" s="12"/>
    </row>
    <row r="127" spans="1:30" s="17" customFormat="1" ht="18.5" x14ac:dyDescent="0.35">
      <c r="A127" s="93" t="s">
        <v>98</v>
      </c>
      <c r="B127" s="14"/>
      <c r="C127" s="79"/>
      <c r="D127" s="79"/>
      <c r="E127" s="79"/>
      <c r="F127" s="78"/>
      <c r="G127" s="55"/>
      <c r="H127" s="55"/>
      <c r="I127" s="55"/>
      <c r="J127" s="55"/>
      <c r="K127" s="55"/>
      <c r="L127" s="55" t="s">
        <v>70</v>
      </c>
      <c r="M127" s="284" t="s">
        <v>74</v>
      </c>
      <c r="N127" s="56"/>
      <c r="O127" s="57"/>
      <c r="P127" s="58"/>
      <c r="Q127" s="58"/>
      <c r="R127" s="58"/>
      <c r="S127" s="302">
        <f>CEILING(SUMIF(J128:J164, "&lt;&gt;Yes", T128:T164),1)</f>
        <v>1</v>
      </c>
      <c r="T127" s="302"/>
      <c r="U127" s="58"/>
      <c r="V127" s="58"/>
      <c r="W127" s="58"/>
      <c r="X127" s="58"/>
      <c r="Y127" s="58"/>
      <c r="Z127" s="58"/>
      <c r="AA127" s="58"/>
      <c r="AB127" s="58"/>
      <c r="AC127" s="58"/>
      <c r="AD127" s="16"/>
    </row>
    <row r="128" spans="1:30" s="11" customFormat="1" ht="3" customHeight="1" outlineLevel="1" x14ac:dyDescent="0.35">
      <c r="A128" s="93" t="s">
        <v>99</v>
      </c>
      <c r="B128" s="18"/>
      <c r="C128" s="78"/>
      <c r="D128" s="78"/>
      <c r="E128" s="78"/>
      <c r="F128" s="78"/>
      <c r="G128" s="28"/>
      <c r="H128" s="28"/>
      <c r="I128" s="28"/>
      <c r="J128" s="28"/>
      <c r="K128" s="28"/>
      <c r="L128" s="29">
        <v>0</v>
      </c>
      <c r="M128" s="285"/>
      <c r="N128" s="28"/>
      <c r="O128" s="28"/>
      <c r="P128" s="28"/>
      <c r="Q128" s="28"/>
      <c r="R128" s="28"/>
      <c r="S128" s="28"/>
      <c r="T128" s="30"/>
      <c r="U128" s="28"/>
      <c r="V128" s="28"/>
      <c r="W128" s="28"/>
      <c r="X128" s="30"/>
      <c r="Y128" s="28"/>
      <c r="Z128" s="28"/>
      <c r="AA128" s="28"/>
      <c r="AB128" s="31"/>
      <c r="AC128" s="31"/>
      <c r="AD128" s="12"/>
    </row>
    <row r="129" spans="1:30" s="17" customFormat="1" ht="15.5" outlineLevel="1" x14ac:dyDescent="0.35">
      <c r="A129" s="93" t="s">
        <v>107</v>
      </c>
      <c r="B129" s="21"/>
      <c r="C129" s="84"/>
      <c r="D129" s="84"/>
      <c r="E129" s="84"/>
      <c r="F129" s="83"/>
      <c r="G129" s="185"/>
      <c r="H129" s="185"/>
      <c r="I129" s="185"/>
      <c r="J129" s="185"/>
      <c r="K129" s="185"/>
      <c r="L129" s="92" t="s">
        <v>109</v>
      </c>
      <c r="M129" s="299" t="s">
        <v>558</v>
      </c>
      <c r="N129" s="299"/>
      <c r="O129" s="87"/>
      <c r="P129" s="88"/>
      <c r="Q129" s="88"/>
      <c r="R129" s="88"/>
      <c r="S129" s="300">
        <f>SUMGROUP(ROW(), "T")</f>
        <v>0</v>
      </c>
      <c r="T129" s="300"/>
      <c r="U129" s="298"/>
      <c r="V129" s="298"/>
      <c r="W129" s="298"/>
      <c r="X129" s="89"/>
      <c r="Y129" s="90"/>
      <c r="Z129" s="90"/>
      <c r="AA129" s="90"/>
      <c r="AB129" s="243"/>
      <c r="AC129" s="91"/>
      <c r="AD129" s="26" t="str">
        <f>IF(M129="", "Error: Module name cannot be empty.", "")</f>
        <v/>
      </c>
    </row>
    <row r="130" spans="1:30" s="17" customFormat="1" ht="15.5" outlineLevel="1" collapsed="1" x14ac:dyDescent="0.35">
      <c r="A130" s="93" t="s">
        <v>100</v>
      </c>
      <c r="B130" s="21"/>
      <c r="C130" s="84"/>
      <c r="D130" s="84"/>
      <c r="E130" s="84"/>
      <c r="F130" s="83"/>
      <c r="G130" s="32"/>
      <c r="H130" s="32"/>
      <c r="I130" s="32"/>
      <c r="J130" s="32"/>
      <c r="K130" s="32"/>
      <c r="L130" s="20">
        <f ca="1">LOOKUP(1000,INDIRECT("L1:"&amp;CELL("address",INDIRECT("R[-1]C",FALSE))))+1</f>
        <v>1</v>
      </c>
      <c r="M130" s="301" t="s">
        <v>559</v>
      </c>
      <c r="N130" s="301"/>
      <c r="O130" s="5"/>
      <c r="P130" s="33"/>
      <c r="Q130" s="33"/>
      <c r="R130" s="33"/>
      <c r="S130" s="33"/>
      <c r="T130" s="167">
        <f>IF($S$6="Exclude", SUMIFS(S131:S134, J131:J134, "&lt;&gt;Yes", G131:G134, "&lt;&gt;Yes"), SUMIFS(S131:S134, J131:J134, "&lt;&gt;Yes"))</f>
        <v>0</v>
      </c>
      <c r="U130" s="33"/>
      <c r="V130" s="33"/>
      <c r="W130" s="33"/>
      <c r="X130" s="34"/>
      <c r="Y130" s="35"/>
      <c r="Z130" s="35"/>
      <c r="AA130" s="35"/>
      <c r="AB130" s="240"/>
      <c r="AC130" s="36"/>
      <c r="AD130" s="26" t="str">
        <f>IF(M130="", "Error: Task name cannot be empty.", "")</f>
        <v/>
      </c>
    </row>
    <row r="131" spans="1:30" s="15" customFormat="1" ht="1.5" hidden="1" customHeight="1" outlineLevel="2" x14ac:dyDescent="0.35">
      <c r="A131" s="93" t="s">
        <v>101</v>
      </c>
      <c r="B131" s="21"/>
      <c r="C131" s="84"/>
      <c r="D131" s="84"/>
      <c r="E131" s="84"/>
      <c r="F131" s="83"/>
      <c r="G131" s="32"/>
      <c r="H131" s="32"/>
      <c r="I131" s="32"/>
      <c r="J131" s="32"/>
      <c r="K131" s="32"/>
      <c r="L131" s="175">
        <f ca="1">L130</f>
        <v>1</v>
      </c>
      <c r="M131" s="176" t="s">
        <v>105</v>
      </c>
      <c r="N131" s="173"/>
      <c r="O131" s="174"/>
      <c r="P131" s="33"/>
      <c r="Q131" s="33"/>
      <c r="R131" s="33"/>
      <c r="S131" s="33"/>
      <c r="T131" s="167"/>
      <c r="U131" s="33"/>
      <c r="V131" s="33"/>
      <c r="W131" s="33"/>
      <c r="X131" s="34"/>
      <c r="Y131" s="35"/>
      <c r="Z131" s="35"/>
      <c r="AA131" s="35"/>
      <c r="AB131" s="36"/>
      <c r="AC131" s="36"/>
      <c r="AD131" s="26"/>
    </row>
    <row r="132" spans="1:30" ht="43.5" hidden="1" outlineLevel="2" x14ac:dyDescent="0.35">
      <c r="A132" s="93" t="s">
        <v>0</v>
      </c>
      <c r="B132" s="21"/>
      <c r="C132" s="85"/>
      <c r="D132" s="85"/>
      <c r="E132" s="85"/>
      <c r="F132" s="86"/>
      <c r="G132" s="22" t="s">
        <v>23</v>
      </c>
      <c r="H132" s="22" t="s">
        <v>23</v>
      </c>
      <c r="I132" s="23" t="s">
        <v>23</v>
      </c>
      <c r="J132" s="22" t="s">
        <v>23</v>
      </c>
      <c r="K132" s="38"/>
      <c r="L132" s="22"/>
      <c r="M132" s="286" t="str">
        <f ca="1">IFERROR(OFFSET(M132,-1,,1,1)+0.1,OFFSET(M132,-1,-1,1,1)&amp;".1")</f>
        <v>1.1</v>
      </c>
      <c r="N132" s="23" t="s">
        <v>560</v>
      </c>
      <c r="O132" s="23"/>
      <c r="P132" s="23"/>
      <c r="Q132" s="144"/>
      <c r="R132" s="137"/>
      <c r="S132" s="169">
        <f>CEILING((IF(J132="Yes", 0, IF(H132="-",AA132,AA132+AA132*VLOOKUP(H132,BUFFERS_BY_TYPE,2,FALSE)))) +
   (IF(J132="Yes", 0, IF(H132="-",AA132,AA132+AA132*VLOOKUP(H132,BUFFERS_BY_TYPE,2,FALSE))))*VLOOKUP($S$5, SALES_CALL_SCALE_ARRAY, 2,FALSE),0.25)</f>
        <v>0</v>
      </c>
      <c r="T132" s="170"/>
      <c r="U132" s="24">
        <v>0</v>
      </c>
      <c r="V132" s="24">
        <v>1</v>
      </c>
      <c r="W132" s="24">
        <v>0</v>
      </c>
      <c r="X132" s="168"/>
      <c r="Y132" s="169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>0</v>
      </c>
      <c r="Z132" s="25"/>
      <c r="AA132" s="169">
        <f>Y132+Y132*VLOOKUP(I132,EXTRAS_ARRAY,2,FALSE)</f>
        <v>0</v>
      </c>
      <c r="AB132" s="23"/>
      <c r="AC132" s="37"/>
      <c r="AD132" s="26" t="str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>Error: Effort value is not defined or is invalid.</v>
      </c>
    </row>
    <row r="133" spans="1:30" ht="43.5" hidden="1" outlineLevel="2" x14ac:dyDescent="0.35">
      <c r="A133" s="93" t="s">
        <v>0</v>
      </c>
      <c r="B133" s="21"/>
      <c r="C133" s="85"/>
      <c r="D133" s="85"/>
      <c r="E133" s="85"/>
      <c r="F133" s="86"/>
      <c r="G133" s="22" t="s">
        <v>23</v>
      </c>
      <c r="H133" s="22" t="s">
        <v>23</v>
      </c>
      <c r="I133" s="23" t="s">
        <v>23</v>
      </c>
      <c r="J133" s="22" t="s">
        <v>23</v>
      </c>
      <c r="K133" s="38"/>
      <c r="L133" s="22"/>
      <c r="M133" s="286">
        <f ca="1">IFERROR(OFFSET(M133,-1,,1,1)+0.1,OFFSET(M133,-1,-1,1,1)&amp;".1")</f>
        <v>1.2000000000000002</v>
      </c>
      <c r="N133" s="23" t="s">
        <v>561</v>
      </c>
      <c r="O133" s="23"/>
      <c r="P133" s="23" t="s">
        <v>562</v>
      </c>
      <c r="Q133" s="144">
        <f>Total_Use_Cases</f>
        <v>0</v>
      </c>
      <c r="R133" s="137"/>
      <c r="S133" s="169">
        <f>CEILING((IF(J133="Yes", 0, IF(H133="-",AA133,AA133+AA133*VLOOKUP(H133,BUFFERS_BY_TYPE,2,FALSE)))) +
   (IF(J133="Yes", 0, IF(H133="-",AA133,AA133+AA133*VLOOKUP(H133,BUFFERS_BY_TYPE,2,FALSE))))*VLOOKUP($S$5, SALES_CALL_SCALE_ARRAY, 2,FALSE),0.25)</f>
        <v>0</v>
      </c>
      <c r="T133" s="170"/>
      <c r="U133" s="24">
        <v>0</v>
      </c>
      <c r="V133" s="24">
        <v>1</v>
      </c>
      <c r="W133" s="24">
        <v>0</v>
      </c>
      <c r="X133" s="168"/>
      <c r="Y133" s="169">
        <f>CEILING((IF(P133=AS_DEV_EFFORT, DEV_EFFORT*Q133%,
                           IF(P133=AS_DURATION_EFFORT, (MANUAL_DURATION*5)*Q133%,
                                    (IF(Q133&lt;=1,X133,
                                          IF(SUM(U133:W133)=0,(Q133*X133),
                                               (((Q133*U133)*(X133+(X133*EXTRA_FOR_H)))+
                                               ((Q133*V133)*X133)+
                                               ((Q133*W133)*(X133-(X133*LESS_FOR_L)))
                                    )*IF(R133=0,1,R133))))))+Z133), 0.25)</f>
        <v>0</v>
      </c>
      <c r="Z133" s="25"/>
      <c r="AA133" s="169">
        <f>Y133+Y133*VLOOKUP(I133,EXTRAS_ARRAY,2,FALSE)</f>
        <v>0</v>
      </c>
      <c r="AB133" s="23"/>
      <c r="AC133" s="37"/>
      <c r="AD133" s="26" t="str">
        <f>IF(J133&lt;&gt;"Yes",
IF(S133&lt;=0,"Error: Effort value is not defined or is invalid.",
IF(AND(SUM(U133:W133)&gt;0,SUM(U133:W133)&lt;&gt;1),"Error: Complexity % distribution should sum to 100%.",
IF(AND(P133=AS_DEV_EFFORT,X133&lt;&gt;0),"Error: PDs should not be defined when defining as dev effort %.",
IF(AND(P133=AS_DURATION_EFFORT,X133&lt;&gt;0),"Error: PDs should not be defined when defining as duration effort %.","")))))</f>
        <v>Error: Effort value is not defined or is invalid.</v>
      </c>
    </row>
    <row r="134" spans="1:30" s="11" customFormat="1" ht="7.5" hidden="1" customHeight="1" outlineLevel="2" x14ac:dyDescent="0.35">
      <c r="A134" s="93" t="s">
        <v>132</v>
      </c>
      <c r="B134" s="18"/>
      <c r="C134" s="78"/>
      <c r="D134" s="78"/>
      <c r="E134" s="78"/>
      <c r="F134" s="78"/>
      <c r="G134" s="10"/>
      <c r="H134" s="10"/>
      <c r="I134" s="10"/>
      <c r="J134" s="10"/>
      <c r="K134" s="10"/>
      <c r="L134" s="10"/>
      <c r="M134" s="287"/>
      <c r="N134" s="10"/>
      <c r="O134" s="10"/>
      <c r="P134" s="10"/>
      <c r="Q134" s="10"/>
      <c r="R134" s="10"/>
      <c r="S134" s="10"/>
      <c r="T134" s="18"/>
      <c r="U134" s="10"/>
      <c r="V134" s="10"/>
      <c r="W134" s="10"/>
      <c r="X134" s="18"/>
      <c r="Y134" s="10"/>
      <c r="Z134" s="10"/>
      <c r="AA134" s="10"/>
      <c r="AB134" s="60"/>
      <c r="AC134" s="60"/>
      <c r="AD134" s="12"/>
    </row>
    <row r="135" spans="1:30" s="17" customFormat="1" ht="15.5" outlineLevel="1" x14ac:dyDescent="0.35">
      <c r="A135" s="93" t="s">
        <v>107</v>
      </c>
      <c r="B135" s="21"/>
      <c r="C135" s="84"/>
      <c r="D135" s="84"/>
      <c r="E135" s="84"/>
      <c r="F135" s="83"/>
      <c r="G135" s="185"/>
      <c r="H135" s="185"/>
      <c r="I135" s="185"/>
      <c r="J135" s="185"/>
      <c r="K135" s="185"/>
      <c r="L135" s="92" t="s">
        <v>109</v>
      </c>
      <c r="M135" s="299" t="s">
        <v>563</v>
      </c>
      <c r="N135" s="299"/>
      <c r="O135" s="87"/>
      <c r="P135" s="88"/>
      <c r="Q135" s="88"/>
      <c r="R135" s="88"/>
      <c r="S135" s="300">
        <f>SUMGROUP(ROW(), "T")</f>
        <v>0.5</v>
      </c>
      <c r="T135" s="300"/>
      <c r="U135" s="298"/>
      <c r="V135" s="298"/>
      <c r="W135" s="298"/>
      <c r="X135" s="89"/>
      <c r="Y135" s="90"/>
      <c r="Z135" s="90"/>
      <c r="AA135" s="90"/>
      <c r="AB135" s="243"/>
      <c r="AC135" s="91"/>
      <c r="AD135" s="26" t="str">
        <f>IF(M135="", "Error: Module name cannot be empty.", "")</f>
        <v/>
      </c>
    </row>
    <row r="136" spans="1:30" s="17" customFormat="1" ht="15.5" outlineLevel="1" collapsed="1" x14ac:dyDescent="0.35">
      <c r="A136" s="93" t="s">
        <v>100</v>
      </c>
      <c r="B136" s="21"/>
      <c r="C136" s="84"/>
      <c r="D136" s="84"/>
      <c r="E136" s="84"/>
      <c r="F136" s="83"/>
      <c r="G136" s="32"/>
      <c r="H136" s="32"/>
      <c r="I136" s="32"/>
      <c r="J136" s="32"/>
      <c r="K136" s="32"/>
      <c r="L136" s="20">
        <f ca="1">LOOKUP(1000,INDIRECT("L1:"&amp;CELL("address",INDIRECT("R[-1]C",FALSE))))+1</f>
        <v>2</v>
      </c>
      <c r="M136" s="301" t="s">
        <v>467</v>
      </c>
      <c r="N136" s="301"/>
      <c r="O136" s="5"/>
      <c r="P136" s="33"/>
      <c r="Q136" s="33"/>
      <c r="R136" s="33"/>
      <c r="S136" s="33"/>
      <c r="T136" s="167">
        <f>IF($S$6="Exclude", SUMIFS(S137:S142, J137:J142, "&lt;&gt;Yes", G137:G142, "&lt;&gt;Yes"), SUMIFS(S137:S142, J137:J142, "&lt;&gt;Yes"))</f>
        <v>0</v>
      </c>
      <c r="U136" s="33"/>
      <c r="V136" s="33"/>
      <c r="W136" s="33"/>
      <c r="X136" s="34"/>
      <c r="Y136" s="35"/>
      <c r="Z136" s="35"/>
      <c r="AA136" s="35"/>
      <c r="AB136" s="240"/>
      <c r="AC136" s="36"/>
      <c r="AD136" s="26" t="str">
        <f>IF(M136="", "Error: Task name cannot be empty.", "")</f>
        <v/>
      </c>
    </row>
    <row r="137" spans="1:30" s="15" customFormat="1" ht="1.5" hidden="1" customHeight="1" outlineLevel="2" x14ac:dyDescent="0.35">
      <c r="A137" s="93" t="s">
        <v>101</v>
      </c>
      <c r="B137" s="21"/>
      <c r="C137" s="84"/>
      <c r="D137" s="84"/>
      <c r="E137" s="84"/>
      <c r="F137" s="83"/>
      <c r="G137" s="32"/>
      <c r="H137" s="32"/>
      <c r="I137" s="32"/>
      <c r="J137" s="32"/>
      <c r="K137" s="32"/>
      <c r="L137" s="175">
        <f ca="1">L136</f>
        <v>2</v>
      </c>
      <c r="M137" s="176" t="s">
        <v>105</v>
      </c>
      <c r="N137" s="173"/>
      <c r="O137" s="174"/>
      <c r="P137" s="33"/>
      <c r="Q137" s="33"/>
      <c r="R137" s="33"/>
      <c r="S137" s="33"/>
      <c r="T137" s="167"/>
      <c r="U137" s="33"/>
      <c r="V137" s="33"/>
      <c r="W137" s="33"/>
      <c r="X137" s="34"/>
      <c r="Y137" s="35"/>
      <c r="Z137" s="35"/>
      <c r="AA137" s="35"/>
      <c r="AB137" s="36"/>
      <c r="AC137" s="36"/>
      <c r="AD137" s="26"/>
    </row>
    <row r="138" spans="1:30" ht="43.5" hidden="1" outlineLevel="2" x14ac:dyDescent="0.35">
      <c r="A138" s="93" t="s">
        <v>0</v>
      </c>
      <c r="B138" s="21"/>
      <c r="C138" s="85"/>
      <c r="D138" s="85"/>
      <c r="E138" s="85"/>
      <c r="F138" s="86"/>
      <c r="G138" s="22" t="s">
        <v>23</v>
      </c>
      <c r="H138" s="22" t="s">
        <v>23</v>
      </c>
      <c r="I138" s="23" t="s">
        <v>23</v>
      </c>
      <c r="J138" s="22" t="s">
        <v>23</v>
      </c>
      <c r="K138" s="38"/>
      <c r="L138" s="22"/>
      <c r="M138" s="286" t="str">
        <f ca="1">IFERROR(OFFSET(M138,-1,,1,1)+0.1,OFFSET(M138,-1,-1,1,1)&amp;".1")</f>
        <v>2.1</v>
      </c>
      <c r="N138" s="23" t="s">
        <v>475</v>
      </c>
      <c r="O138" s="23"/>
      <c r="P138" s="23"/>
      <c r="Q138" s="144"/>
      <c r="R138" s="137"/>
      <c r="S138" s="169">
        <f>CEILING((IF(J138="Yes", 0, IF(H138="-",AA138,AA138+AA138*VLOOKUP(H138,BUFFERS_BY_TYPE,2,FALSE)))) +
   (IF(J138="Yes", 0, IF(H138="-",AA138,AA138+AA138*VLOOKUP(H138,BUFFERS_BY_TYPE,2,FALSE))))*VLOOKUP($S$5, SALES_CALL_SCALE_ARRAY, 2,FALSE),0.25)</f>
        <v>0</v>
      </c>
      <c r="T138" s="170"/>
      <c r="U138" s="24">
        <v>0</v>
      </c>
      <c r="V138" s="24">
        <v>1</v>
      </c>
      <c r="W138" s="24">
        <v>0</v>
      </c>
      <c r="X138" s="168"/>
      <c r="Y138" s="169">
        <f>CEILING((IF(P138=AS_DEV_EFFORT, DEV_EFFORT*Q138%,
                           IF(P138=AS_DURATION_EFFORT, (MANUAL_DURATION*5)*Q138%,
                                    (IF(Q138&lt;=1,X138,
                                          IF(SUM(U138:W138)=0,(Q138*X138),
                                               (((Q138*U138)*(X138+(X138*EXTRA_FOR_H)))+
                                               ((Q138*V138)*X138)+
                                               ((Q138*W138)*(X138-(X138*LESS_FOR_L)))
                                    )*IF(R138=0,1,R138))))))+Z138), 0.25)</f>
        <v>0</v>
      </c>
      <c r="Z138" s="25"/>
      <c r="AA138" s="169">
        <f>Y138+Y138*VLOOKUP(I138,EXTRAS_ARRAY,2,FALSE)</f>
        <v>0</v>
      </c>
      <c r="AB138" s="23"/>
      <c r="AC138" s="37"/>
      <c r="AD138" s="26" t="str">
        <f>IF(J138&lt;&gt;"Yes",
IF(S138&lt;=0,"Error: Effort value is not defined or is invalid.",
IF(AND(SUM(U138:W138)&gt;0,SUM(U138:W138)&lt;&gt;1),"Error: Complexity % distribution should sum to 100%.",
IF(AND(P138=AS_DEV_EFFORT,X138&lt;&gt;0),"Error: PDs should not be defined when defining as dev effort %.",
IF(AND(P138=AS_DURATION_EFFORT,X138&lt;&gt;0),"Error: PDs should not be defined when defining as duration effort %.","")))))</f>
        <v>Error: Effort value is not defined or is invalid.</v>
      </c>
    </row>
    <row r="139" spans="1:30" ht="87" hidden="1" outlineLevel="2" x14ac:dyDescent="0.35">
      <c r="A139" s="93" t="s">
        <v>0</v>
      </c>
      <c r="B139" s="21"/>
      <c r="C139" s="85"/>
      <c r="D139" s="85"/>
      <c r="E139" s="85"/>
      <c r="F139" s="86"/>
      <c r="G139" s="22" t="s">
        <v>23</v>
      </c>
      <c r="H139" s="22" t="s">
        <v>23</v>
      </c>
      <c r="I139" s="23" t="s">
        <v>23</v>
      </c>
      <c r="J139" s="22" t="s">
        <v>23</v>
      </c>
      <c r="K139" s="38" t="s">
        <v>479</v>
      </c>
      <c r="L139" s="22"/>
      <c r="M139" s="286">
        <f ca="1">IFERROR(OFFSET(M139,-1,,1,1)+0.1,OFFSET(M139,-1,-1,1,1)&amp;".1")</f>
        <v>2.2000000000000002</v>
      </c>
      <c r="N139" s="23" t="s">
        <v>476</v>
      </c>
      <c r="O139" s="23" t="s">
        <v>564</v>
      </c>
      <c r="P139" s="23">
        <f>Total_Use_Cases * R139</f>
        <v>0</v>
      </c>
      <c r="Q139" s="144">
        <f>Total_Use_Cases</f>
        <v>0</v>
      </c>
      <c r="R139" s="137">
        <v>5</v>
      </c>
      <c r="S139" s="169">
        <f>CEILING((IF(J139="Yes", 0, IF(H139="-",AA139,AA139+AA139*VLOOKUP(H139,BUFFERS_BY_TYPE,2,FALSE)))) +
   (IF(J139="Yes", 0, IF(H139="-",AA139,AA139+AA139*VLOOKUP(H139,BUFFERS_BY_TYPE,2,FALSE))))*VLOOKUP($S$5, SALES_CALL_SCALE_ARRAY, 2,FALSE),0.25)</f>
        <v>0</v>
      </c>
      <c r="T139" s="170"/>
      <c r="U139" s="24">
        <v>0</v>
      </c>
      <c r="V139" s="24">
        <v>1</v>
      </c>
      <c r="W139" s="24">
        <v>0</v>
      </c>
      <c r="X139" s="168"/>
      <c r="Y139" s="169">
        <f>CEILING((IF(P139=AS_DEV_EFFORT, DEV_EFFORT*Q139%,
                           IF(P139=AS_DURATION_EFFORT, (MANUAL_DURATION*5)*Q139%,
                                    (IF(Q139&lt;=1,X139,
                                          IF(SUM(U139:W139)=0,(Q139*X139),
                                               (((Q139*U139)*(X139+(X139*EXTRA_FOR_H)))+
                                               ((Q139*V139)*X139)+
                                               ((Q139*W139)*(X139-(X139*LESS_FOR_L)))
                                    )*IF(R139=0,1,R139))))))+Z139), 0.25)</f>
        <v>0</v>
      </c>
      <c r="Z139" s="25"/>
      <c r="AA139" s="169">
        <f>Y139+Y139*VLOOKUP(I139,EXTRAS_ARRAY,2,FALSE)</f>
        <v>0</v>
      </c>
      <c r="AB139" s="23"/>
      <c r="AC139" s="37"/>
      <c r="AD139" s="26" t="str">
        <f>IF(J139&lt;&gt;"Yes",
IF(S139&lt;=0,"Error: Effort value is not defined or is invalid.",
IF(AND(SUM(U139:W139)&gt;0,SUM(U139:W139)&lt;&gt;1),"Error: Complexity % distribution should sum to 100%.",
IF(AND(P139=AS_DEV_EFFORT,X139&lt;&gt;0),"Error: PDs should not be defined when defining as dev effort %.",
IF(AND(P139=AS_DURATION_EFFORT,X139&lt;&gt;0),"Error: PDs should not be defined when defining as duration effort %.","")))))</f>
        <v>Error: Effort value is not defined or is invalid.</v>
      </c>
    </row>
    <row r="140" spans="1:30" ht="87" hidden="1" outlineLevel="2" x14ac:dyDescent="0.35">
      <c r="A140" s="93" t="s">
        <v>0</v>
      </c>
      <c r="B140" s="21"/>
      <c r="C140" s="85"/>
      <c r="D140" s="85"/>
      <c r="E140" s="85"/>
      <c r="F140" s="86"/>
      <c r="G140" s="22" t="s">
        <v>23</v>
      </c>
      <c r="H140" s="22" t="s">
        <v>23</v>
      </c>
      <c r="I140" s="23" t="s">
        <v>23</v>
      </c>
      <c r="J140" s="22" t="s">
        <v>23</v>
      </c>
      <c r="K140" s="38" t="s">
        <v>480</v>
      </c>
      <c r="L140" s="22"/>
      <c r="M140" s="286">
        <f ca="1">IFERROR(OFFSET(M140,-1,,1,1)+0.1,OFFSET(M140,-1,-1,1,1)&amp;".1")</f>
        <v>2.3000000000000003</v>
      </c>
      <c r="N140" s="23" t="s">
        <v>477</v>
      </c>
      <c r="O140" s="23" t="s">
        <v>564</v>
      </c>
      <c r="P140" s="23">
        <f>Total_Use_Cases * R140</f>
        <v>0</v>
      </c>
      <c r="Q140" s="144">
        <f>Total_Use_Cases</f>
        <v>0</v>
      </c>
      <c r="R140" s="137">
        <v>5</v>
      </c>
      <c r="S140" s="169">
        <f>CEILING((IF(J140="Yes", 0, IF(H140="-",AA140,AA140+AA140*VLOOKUP(H140,BUFFERS_BY_TYPE,2,FALSE)))) +
   (IF(J140="Yes", 0, IF(H140="-",AA140,AA140+AA140*VLOOKUP(H140,BUFFERS_BY_TYPE,2,FALSE))))*VLOOKUP($S$5, SALES_CALL_SCALE_ARRAY, 2,FALSE),0.25)</f>
        <v>0</v>
      </c>
      <c r="T140" s="170"/>
      <c r="U140" s="24">
        <v>0</v>
      </c>
      <c r="V140" s="24">
        <v>1</v>
      </c>
      <c r="W140" s="24">
        <v>0</v>
      </c>
      <c r="X140" s="168"/>
      <c r="Y140" s="169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>0</v>
      </c>
      <c r="Z140" s="25"/>
      <c r="AA140" s="169">
        <f>Y140+Y140*VLOOKUP(I140,EXTRAS_ARRAY,2,FALSE)</f>
        <v>0</v>
      </c>
      <c r="AB140" s="23"/>
      <c r="AC140" s="37"/>
      <c r="AD140" s="26" t="str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>Error: Effort value is not defined or is invalid.</v>
      </c>
    </row>
    <row r="141" spans="1:30" ht="43.5" hidden="1" outlineLevel="2" x14ac:dyDescent="0.35">
      <c r="A141" s="93" t="s">
        <v>0</v>
      </c>
      <c r="B141" s="21"/>
      <c r="C141" s="85"/>
      <c r="D141" s="85"/>
      <c r="E141" s="85"/>
      <c r="F141" s="86"/>
      <c r="G141" s="22" t="s">
        <v>23</v>
      </c>
      <c r="H141" s="22" t="s">
        <v>23</v>
      </c>
      <c r="I141" s="23" t="s">
        <v>23</v>
      </c>
      <c r="J141" s="22" t="s">
        <v>23</v>
      </c>
      <c r="K141" s="38"/>
      <c r="L141" s="22"/>
      <c r="M141" s="286">
        <f ca="1">IFERROR(OFFSET(M141,-1,,1,1)+0.1,OFFSET(M141,-1,-1,1,1)&amp;".1")</f>
        <v>2.4000000000000004</v>
      </c>
      <c r="N141" s="23" t="s">
        <v>478</v>
      </c>
      <c r="O141" s="23"/>
      <c r="P141" s="23"/>
      <c r="Q141" s="144"/>
      <c r="R141" s="137"/>
      <c r="S141" s="169">
        <f>CEILING((IF(J141="Yes", 0, IF(H141="-",AA141,AA141+AA141*VLOOKUP(H141,BUFFERS_BY_TYPE,2,FALSE)))) +
   (IF(J141="Yes", 0, IF(H141="-",AA141,AA141+AA141*VLOOKUP(H141,BUFFERS_BY_TYPE,2,FALSE))))*VLOOKUP($S$5, SALES_CALL_SCALE_ARRAY, 2,FALSE),0.25)</f>
        <v>0</v>
      </c>
      <c r="T141" s="170"/>
      <c r="U141" s="24">
        <v>0</v>
      </c>
      <c r="V141" s="24">
        <v>1</v>
      </c>
      <c r="W141" s="24">
        <v>0</v>
      </c>
      <c r="X141" s="168"/>
      <c r="Y141" s="169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>0</v>
      </c>
      <c r="Z141" s="25"/>
      <c r="AA141" s="169">
        <f>Y141+Y141*VLOOKUP(I141,EXTRAS_ARRAY,2,FALSE)</f>
        <v>0</v>
      </c>
      <c r="AB141" s="23"/>
      <c r="AC141" s="37"/>
      <c r="AD141" s="26" t="str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>Error: Effort value is not defined or is invalid.</v>
      </c>
    </row>
    <row r="142" spans="1:30" s="11" customFormat="1" ht="7.5" hidden="1" customHeight="1" outlineLevel="2" x14ac:dyDescent="0.35">
      <c r="A142" s="93" t="s">
        <v>132</v>
      </c>
      <c r="B142" s="18"/>
      <c r="C142" s="78"/>
      <c r="D142" s="78"/>
      <c r="E142" s="78"/>
      <c r="F142" s="78"/>
      <c r="G142" s="10"/>
      <c r="H142" s="10"/>
      <c r="I142" s="10"/>
      <c r="J142" s="10"/>
      <c r="K142" s="10"/>
      <c r="L142" s="10"/>
      <c r="M142" s="287"/>
      <c r="N142" s="10"/>
      <c r="O142" s="10"/>
      <c r="P142" s="10"/>
      <c r="Q142" s="10"/>
      <c r="R142" s="10"/>
      <c r="S142" s="10"/>
      <c r="T142" s="18"/>
      <c r="U142" s="10"/>
      <c r="V142" s="10"/>
      <c r="W142" s="10"/>
      <c r="X142" s="18"/>
      <c r="Y142" s="10"/>
      <c r="Z142" s="10"/>
      <c r="AA142" s="10"/>
      <c r="AB142" s="60"/>
      <c r="AC142" s="60"/>
      <c r="AD142" s="12"/>
    </row>
    <row r="143" spans="1:30" s="17" customFormat="1" ht="15.5" outlineLevel="1" collapsed="1" x14ac:dyDescent="0.35">
      <c r="A143" s="93" t="s">
        <v>100</v>
      </c>
      <c r="B143" s="21"/>
      <c r="C143" s="84"/>
      <c r="D143" s="84"/>
      <c r="E143" s="84"/>
      <c r="F143" s="83"/>
      <c r="G143" s="32"/>
      <c r="H143" s="32"/>
      <c r="I143" s="32"/>
      <c r="J143" s="32"/>
      <c r="K143" s="32"/>
      <c r="L143" s="20">
        <f ca="1">LOOKUP(1000,INDIRECT("L1:"&amp;CELL("address",INDIRECT("R[-1]C",FALSE))))+1</f>
        <v>3</v>
      </c>
      <c r="M143" s="301" t="s">
        <v>495</v>
      </c>
      <c r="N143" s="301"/>
      <c r="O143" s="5"/>
      <c r="P143" s="33"/>
      <c r="Q143" s="33"/>
      <c r="R143" s="33"/>
      <c r="S143" s="33"/>
      <c r="T143" s="167">
        <f>IF($S$6="Exclude", SUMIFS(S144:S147, J144:J147, "&lt;&gt;Yes", G144:G147, "&lt;&gt;Yes"), SUMIFS(S144:S147, J144:J147, "&lt;&gt;Yes"))</f>
        <v>0</v>
      </c>
      <c r="U143" s="33"/>
      <c r="V143" s="33"/>
      <c r="W143" s="33"/>
      <c r="X143" s="34"/>
      <c r="Y143" s="35"/>
      <c r="Z143" s="35"/>
      <c r="AA143" s="35"/>
      <c r="AB143" s="240"/>
      <c r="AC143" s="36"/>
      <c r="AD143" s="26" t="str">
        <f>IF(M143="", "Error: Task name cannot be empty.", "")</f>
        <v/>
      </c>
    </row>
    <row r="144" spans="1:30" s="15" customFormat="1" ht="1.5" hidden="1" customHeight="1" outlineLevel="2" x14ac:dyDescent="0.35">
      <c r="A144" s="93" t="s">
        <v>101</v>
      </c>
      <c r="B144" s="21"/>
      <c r="C144" s="84"/>
      <c r="D144" s="84"/>
      <c r="E144" s="84"/>
      <c r="F144" s="83"/>
      <c r="G144" s="32"/>
      <c r="H144" s="32"/>
      <c r="I144" s="32"/>
      <c r="J144" s="32"/>
      <c r="K144" s="32"/>
      <c r="L144" s="175">
        <f ca="1">L143</f>
        <v>3</v>
      </c>
      <c r="M144" s="176" t="s">
        <v>105</v>
      </c>
      <c r="N144" s="173"/>
      <c r="O144" s="174"/>
      <c r="P144" s="33"/>
      <c r="Q144" s="33"/>
      <c r="R144" s="33"/>
      <c r="S144" s="33"/>
      <c r="T144" s="167"/>
      <c r="U144" s="33"/>
      <c r="V144" s="33"/>
      <c r="W144" s="33"/>
      <c r="X144" s="34"/>
      <c r="Y144" s="35"/>
      <c r="Z144" s="35"/>
      <c r="AA144" s="35"/>
      <c r="AB144" s="36"/>
      <c r="AC144" s="36"/>
      <c r="AD144" s="26"/>
    </row>
    <row r="145" spans="1:30" ht="43.5" hidden="1" outlineLevel="2" x14ac:dyDescent="0.35">
      <c r="A145" s="93" t="s">
        <v>0</v>
      </c>
      <c r="B145" s="21"/>
      <c r="C145" s="85"/>
      <c r="D145" s="85"/>
      <c r="E145" s="85"/>
      <c r="F145" s="86"/>
      <c r="G145" s="22" t="s">
        <v>23</v>
      </c>
      <c r="H145" s="22" t="s">
        <v>23</v>
      </c>
      <c r="I145" s="23" t="s">
        <v>23</v>
      </c>
      <c r="J145" s="22" t="s">
        <v>23</v>
      </c>
      <c r="K145" s="38"/>
      <c r="L145" s="22"/>
      <c r="M145" s="286" t="str">
        <f ca="1">IFERROR(OFFSET(M145,-1,,1,1)+0.1,OFFSET(M145,-1,-1,1,1)&amp;".1")</f>
        <v>3.1</v>
      </c>
      <c r="N145" s="23" t="s">
        <v>496</v>
      </c>
      <c r="O145" s="23"/>
      <c r="P145" s="23"/>
      <c r="Q145" s="144"/>
      <c r="R145" s="137"/>
      <c r="S145" s="169">
        <f>CEILING((IF(J145="Yes", 0, IF(H145="-",AA145,AA145+AA145*VLOOKUP(H145,BUFFERS_BY_TYPE,2,FALSE)))) +
   (IF(J145="Yes", 0, IF(H145="-",AA145,AA145+AA145*VLOOKUP(H145,BUFFERS_BY_TYPE,2,FALSE))))*VLOOKUP($S$5, SALES_CALL_SCALE_ARRAY, 2,FALSE),0.25)</f>
        <v>0</v>
      </c>
      <c r="T145" s="170"/>
      <c r="U145" s="24">
        <v>0</v>
      </c>
      <c r="V145" s="24">
        <v>1</v>
      </c>
      <c r="W145" s="24">
        <v>0</v>
      </c>
      <c r="X145" s="168"/>
      <c r="Y145" s="169">
        <f>CEILING((IF(P145=AS_DEV_EFFORT, DEV_EFFORT*Q145%,
                           IF(P145=AS_DURATION_EFFORT, (MANUAL_DURATION*5)*Q145%,
                                    (IF(Q145&lt;=1,X145,
                                          IF(SUM(U145:W145)=0,(Q145*X145),
                                               (((Q145*U145)*(X145+(X145*EXTRA_FOR_H)))+
                                               ((Q145*V145)*X145)+
                                               ((Q145*W145)*(X145-(X145*LESS_FOR_L)))
                                    )*IF(R145=0,1,R145))))))+Z145), 0.25)</f>
        <v>0</v>
      </c>
      <c r="Z145" s="25"/>
      <c r="AA145" s="169">
        <f>Y145+Y145*VLOOKUP(I145,EXTRAS_ARRAY,2,FALSE)</f>
        <v>0</v>
      </c>
      <c r="AB145" s="23"/>
      <c r="AC145" s="37"/>
      <c r="AD145" s="26" t="str">
        <f>IF(J145&lt;&gt;"Yes",
IF(S145&lt;=0,"Error: Effort value is not defined or is invalid.",
IF(AND(SUM(U145:W145)&gt;0,SUM(U145:W145)&lt;&gt;1),"Error: Complexity % distribution should sum to 100%.",
IF(AND(P145=AS_DEV_EFFORT,X145&lt;&gt;0),"Error: PDs should not be defined when defining as dev effort %.",
IF(AND(P145=AS_DURATION_EFFORT,X145&lt;&gt;0),"Error: PDs should not be defined when defining as duration effort %.","")))))</f>
        <v>Error: Effort value is not defined or is invalid.</v>
      </c>
    </row>
    <row r="146" spans="1:30" ht="43.5" hidden="1" outlineLevel="2" x14ac:dyDescent="0.35">
      <c r="A146" s="93" t="s">
        <v>0</v>
      </c>
      <c r="B146" s="21"/>
      <c r="C146" s="85"/>
      <c r="D146" s="85"/>
      <c r="E146" s="85"/>
      <c r="F146" s="86"/>
      <c r="G146" s="22" t="s">
        <v>23</v>
      </c>
      <c r="H146" s="22" t="s">
        <v>23</v>
      </c>
      <c r="I146" s="23" t="s">
        <v>23</v>
      </c>
      <c r="J146" s="22" t="s">
        <v>23</v>
      </c>
      <c r="K146" s="38" t="s">
        <v>566</v>
      </c>
      <c r="L146" s="22"/>
      <c r="M146" s="286">
        <f ca="1">IFERROR(OFFSET(M146,-1,,1,1)+0.1,OFFSET(M146,-1,-1,1,1)&amp;".1")</f>
        <v>3.2</v>
      </c>
      <c r="N146" s="23" t="s">
        <v>497</v>
      </c>
      <c r="O146" s="23" t="s">
        <v>565</v>
      </c>
      <c r="P146" s="274">
        <v>0.1</v>
      </c>
      <c r="Q146" s="144">
        <f>Total_Test_Cases * P146</f>
        <v>0</v>
      </c>
      <c r="R146" s="137"/>
      <c r="S146" s="169">
        <f>CEILING((IF(J146="Yes", 0, IF(H146="-",AA146,AA146+AA146*VLOOKUP(H146,BUFFERS_BY_TYPE,2,FALSE)))) +
   (IF(J146="Yes", 0, IF(H146="-",AA146,AA146+AA146*VLOOKUP(H146,BUFFERS_BY_TYPE,2,FALSE))))*VLOOKUP($S$5, SALES_CALL_SCALE_ARRAY, 2,FALSE),0.25)</f>
        <v>0</v>
      </c>
      <c r="T146" s="170"/>
      <c r="U146" s="24">
        <v>0</v>
      </c>
      <c r="V146" s="24">
        <v>1</v>
      </c>
      <c r="W146" s="24">
        <v>0</v>
      </c>
      <c r="X146" s="168"/>
      <c r="Y146" s="169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>0</v>
      </c>
      <c r="Z146" s="25"/>
      <c r="AA146" s="169">
        <f>Y146+Y146*VLOOKUP(I146,EXTRAS_ARRAY,2,FALSE)</f>
        <v>0</v>
      </c>
      <c r="AB146" s="23"/>
      <c r="AC146" s="37"/>
      <c r="AD146" s="26" t="str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>Error: Effort value is not defined or is invalid.</v>
      </c>
    </row>
    <row r="147" spans="1:30" s="11" customFormat="1" ht="7.5" hidden="1" customHeight="1" outlineLevel="2" x14ac:dyDescent="0.35">
      <c r="A147" s="93" t="s">
        <v>132</v>
      </c>
      <c r="B147" s="18"/>
      <c r="C147" s="78"/>
      <c r="D147" s="78"/>
      <c r="E147" s="78"/>
      <c r="F147" s="78"/>
      <c r="G147" s="10"/>
      <c r="H147" s="10"/>
      <c r="I147" s="10"/>
      <c r="J147" s="10"/>
      <c r="K147" s="10"/>
      <c r="L147" s="10"/>
      <c r="M147" s="287"/>
      <c r="N147" s="10"/>
      <c r="O147" s="10"/>
      <c r="P147" s="10"/>
      <c r="Q147" s="10"/>
      <c r="R147" s="10"/>
      <c r="S147" s="10"/>
      <c r="T147" s="18"/>
      <c r="U147" s="10"/>
      <c r="V147" s="10"/>
      <c r="W147" s="10"/>
      <c r="X147" s="18"/>
      <c r="Y147" s="10"/>
      <c r="Z147" s="10"/>
      <c r="AA147" s="10"/>
      <c r="AB147" s="60"/>
      <c r="AC147" s="60"/>
      <c r="AD147" s="12"/>
    </row>
    <row r="148" spans="1:30" s="17" customFormat="1" ht="15.5" outlineLevel="1" collapsed="1" x14ac:dyDescent="0.35">
      <c r="A148" s="93" t="s">
        <v>100</v>
      </c>
      <c r="B148" s="21"/>
      <c r="C148" s="84"/>
      <c r="D148" s="84"/>
      <c r="E148" s="84"/>
      <c r="F148" s="83"/>
      <c r="G148" s="32"/>
      <c r="H148" s="32"/>
      <c r="I148" s="32"/>
      <c r="J148" s="32"/>
      <c r="K148" s="32"/>
      <c r="L148" s="20">
        <f ca="1">LOOKUP(1000,INDIRECT("L1:"&amp;CELL("address",INDIRECT("R[-1]C",FALSE))))+1</f>
        <v>4</v>
      </c>
      <c r="M148" s="301" t="s">
        <v>498</v>
      </c>
      <c r="N148" s="301"/>
      <c r="O148" s="5"/>
      <c r="P148" s="33"/>
      <c r="Q148" s="33"/>
      <c r="R148" s="33"/>
      <c r="S148" s="33"/>
      <c r="T148" s="167">
        <f>IF($S$6="Exclude", SUMIFS(S149:S154, J149:J154, "&lt;&gt;Yes", G149:G154, "&lt;&gt;Yes"), SUMIFS(S149:S154, J149:J154, "&lt;&gt;Yes"))</f>
        <v>0.5</v>
      </c>
      <c r="U148" s="33"/>
      <c r="V148" s="33"/>
      <c r="W148" s="33"/>
      <c r="X148" s="34"/>
      <c r="Y148" s="35"/>
      <c r="Z148" s="35"/>
      <c r="AA148" s="35"/>
      <c r="AB148" s="240"/>
      <c r="AC148" s="36"/>
      <c r="AD148" s="26" t="str">
        <f>IF(M148="", "Error: Task name cannot be empty.", "")</f>
        <v/>
      </c>
    </row>
    <row r="149" spans="1:30" s="15" customFormat="1" ht="1.5" hidden="1" customHeight="1" outlineLevel="2" x14ac:dyDescent="0.35">
      <c r="A149" s="93" t="s">
        <v>101</v>
      </c>
      <c r="B149" s="21"/>
      <c r="C149" s="84"/>
      <c r="D149" s="84"/>
      <c r="E149" s="84"/>
      <c r="F149" s="83"/>
      <c r="G149" s="32"/>
      <c r="H149" s="32"/>
      <c r="I149" s="32"/>
      <c r="J149" s="32"/>
      <c r="K149" s="32"/>
      <c r="L149" s="175">
        <f ca="1">L148</f>
        <v>4</v>
      </c>
      <c r="M149" s="176" t="s">
        <v>105</v>
      </c>
      <c r="N149" s="173"/>
      <c r="O149" s="174"/>
      <c r="P149" s="33"/>
      <c r="Q149" s="33"/>
      <c r="R149" s="33"/>
      <c r="S149" s="33"/>
      <c r="T149" s="167"/>
      <c r="U149" s="33"/>
      <c r="V149" s="33"/>
      <c r="W149" s="33"/>
      <c r="X149" s="34"/>
      <c r="Y149" s="35"/>
      <c r="Z149" s="35"/>
      <c r="AA149" s="35"/>
      <c r="AB149" s="36"/>
      <c r="AC149" s="36"/>
      <c r="AD149" s="26"/>
    </row>
    <row r="150" spans="1:30" ht="43.5" hidden="1" outlineLevel="2" x14ac:dyDescent="0.35">
      <c r="A150" s="93" t="s">
        <v>0</v>
      </c>
      <c r="B150" s="21"/>
      <c r="C150" s="85"/>
      <c r="D150" s="85"/>
      <c r="E150" s="85"/>
      <c r="F150" s="86"/>
      <c r="G150" s="22" t="s">
        <v>23</v>
      </c>
      <c r="H150" s="22" t="s">
        <v>23</v>
      </c>
      <c r="I150" s="23" t="s">
        <v>23</v>
      </c>
      <c r="J150" s="22" t="s">
        <v>23</v>
      </c>
      <c r="K150" s="38"/>
      <c r="L150" s="22"/>
      <c r="M150" s="286" t="str">
        <f ca="1">IFERROR(OFFSET(M150,-1,,1,1)+0.1,OFFSET(M150,-1,-1,1,1)&amp;".1")</f>
        <v>4.1</v>
      </c>
      <c r="N150" s="23" t="s">
        <v>499</v>
      </c>
      <c r="O150" s="23"/>
      <c r="P150" s="23" t="s">
        <v>503</v>
      </c>
      <c r="Q150" s="144">
        <v>2</v>
      </c>
      <c r="R150" s="137"/>
      <c r="S150" s="169">
        <f>CEILING((IF(J150="Yes", 0, IF(H150="-",AA150,AA150+AA150*VLOOKUP(H150,BUFFERS_BY_TYPE,2,FALSE)))) +
   (IF(J150="Yes", 0, IF(H150="-",AA150,AA150+AA150*VLOOKUP(H150,BUFFERS_BY_TYPE,2,FALSE))))*VLOOKUP($S$5, SALES_CALL_SCALE_ARRAY, 2,FALSE),0.25)</f>
        <v>0</v>
      </c>
      <c r="T150" s="170"/>
      <c r="U150" s="24">
        <v>0</v>
      </c>
      <c r="V150" s="24">
        <v>1</v>
      </c>
      <c r="W150" s="24">
        <v>0</v>
      </c>
      <c r="X150" s="168"/>
      <c r="Y150" s="169">
        <f>CEILING((IF(P150=AS_DEV_EFFORT, DEV_EFFORT*Q150%,
                           IF(P150=AS_DURATION_EFFORT, (MANUAL_DURATION*5)*Q150%,
                                    (IF(Q150&lt;=1,X150,
                                          IF(SUM(U150:W150)=0,(Q150*X150),
                                               (((Q150*U150)*(X150+(X150*EXTRA_FOR_H)))+
                                               ((Q150*V150)*X150)+
                                               ((Q150*W150)*(X150-(X150*LESS_FOR_L)))
                                    )*IF(R150=0,1,R150))))))+Z150), 0.25)</f>
        <v>0</v>
      </c>
      <c r="Z150" s="25"/>
      <c r="AA150" s="169">
        <f>Y150+Y150*VLOOKUP(I150,EXTRAS_ARRAY,2,FALSE)</f>
        <v>0</v>
      </c>
      <c r="AB150" s="23"/>
      <c r="AC150" s="37"/>
      <c r="AD150" s="26" t="str">
        <f>IF(J150&lt;&gt;"Yes",
IF(S150&lt;=0,"Error: Effort value is not defined or is invalid.",
IF(AND(SUM(U150:W150)&gt;0,SUM(U150:W150)&lt;&gt;1),"Error: Complexity % distribution should sum to 100%.",
IF(AND(P150=AS_DEV_EFFORT,X150&lt;&gt;0),"Error: PDs should not be defined when defining as dev effort %.",
IF(AND(P150=AS_DURATION_EFFORT,X150&lt;&gt;0),"Error: PDs should not be defined when defining as duration effort %.","")))))</f>
        <v>Error: Effort value is not defined or is invalid.</v>
      </c>
    </row>
    <row r="151" spans="1:30" ht="29" hidden="1" outlineLevel="2" x14ac:dyDescent="0.35">
      <c r="A151" s="93" t="s">
        <v>0</v>
      </c>
      <c r="B151" s="21"/>
      <c r="C151" s="85"/>
      <c r="D151" s="85"/>
      <c r="E151" s="85"/>
      <c r="F151" s="86"/>
      <c r="G151" s="22" t="s">
        <v>23</v>
      </c>
      <c r="H151" s="22" t="s">
        <v>23</v>
      </c>
      <c r="I151" s="23" t="s">
        <v>23</v>
      </c>
      <c r="J151" s="22" t="s">
        <v>23</v>
      </c>
      <c r="K151" s="38"/>
      <c r="L151" s="22"/>
      <c r="M151" s="286">
        <f ca="1">IFERROR(OFFSET(M151,-1,,1,1)+0.1,OFFSET(M151,-1,-1,1,1)&amp;".1")</f>
        <v>4.1999999999999993</v>
      </c>
      <c r="N151" s="23" t="s">
        <v>500</v>
      </c>
      <c r="O151" s="23"/>
      <c r="P151" s="23" t="s">
        <v>481</v>
      </c>
      <c r="Q151" s="144">
        <f>Total_Test_Cases * 15%</f>
        <v>0</v>
      </c>
      <c r="R151" s="137"/>
      <c r="S151" s="169">
        <f>CEILING((IF(J151="Yes", 0, IF(H151="-",AA151,AA151+AA151*VLOOKUP(H151,BUFFERS_BY_TYPE,2,FALSE)))) +
   (IF(J151="Yes", 0, IF(H151="-",AA151,AA151+AA151*VLOOKUP(H151,BUFFERS_BY_TYPE,2,FALSE))))*VLOOKUP($S$5, SALES_CALL_SCALE_ARRAY, 2,FALSE),0.25)</f>
        <v>0.25</v>
      </c>
      <c r="T151" s="170"/>
      <c r="U151" s="24">
        <v>0</v>
      </c>
      <c r="V151" s="24">
        <v>1</v>
      </c>
      <c r="W151" s="24">
        <v>0</v>
      </c>
      <c r="X151" s="168">
        <f>2/8</f>
        <v>0.25</v>
      </c>
      <c r="Y151" s="169">
        <f>CEILING((IF(P151=AS_DEV_EFFORT, DEV_EFFORT*Q151%,
                           IF(P151=AS_DURATION_EFFORT, (MANUAL_DURATION*5)*Q151%,
                                    (IF(Q151&lt;=1,X151,
                                          IF(SUM(U151:W151)=0,(Q151*X151),
                                               (((Q151*U151)*(X151+(X151*EXTRA_FOR_H)))+
                                               ((Q151*V151)*X151)+
                                               ((Q151*W151)*(X151-(X151*LESS_FOR_L)))
                                    )*IF(R151=0,1,R151))))))+Z151), 0.25)</f>
        <v>0.25</v>
      </c>
      <c r="Z151" s="25"/>
      <c r="AA151" s="169">
        <f>Y151+Y151*VLOOKUP(I151,EXTRAS_ARRAY,2,FALSE)</f>
        <v>0.25</v>
      </c>
      <c r="AB151" s="23" t="s">
        <v>567</v>
      </c>
      <c r="AC151" s="37"/>
      <c r="AD151" s="26" t="str">
        <f>IF(J151&lt;&gt;"Yes",
IF(S151&lt;=0,"Error: Effort value is not defined or is invalid.",
IF(AND(SUM(U151:W151)&gt;0,SUM(U151:W151)&lt;&gt;1),"Error: Complexity % distribution should sum to 100%.",
IF(AND(P151=AS_DEV_EFFORT,X151&lt;&gt;0),"Error: PDs should not be defined when defining as dev effort %.",
IF(AND(P151=AS_DURATION_EFFORT,X151&lt;&gt;0),"Error: PDs should not be defined when defining as duration effort %.","")))))</f>
        <v/>
      </c>
    </row>
    <row r="152" spans="1:30" ht="15.5" hidden="1" outlineLevel="2" x14ac:dyDescent="0.35">
      <c r="A152" s="93" t="s">
        <v>0</v>
      </c>
      <c r="B152" s="21"/>
      <c r="C152" s="85"/>
      <c r="D152" s="85"/>
      <c r="E152" s="85"/>
      <c r="F152" s="86"/>
      <c r="G152" s="22" t="s">
        <v>23</v>
      </c>
      <c r="H152" s="22" t="s">
        <v>23</v>
      </c>
      <c r="I152" s="23" t="s">
        <v>23</v>
      </c>
      <c r="J152" s="22" t="s">
        <v>23</v>
      </c>
      <c r="K152" s="38"/>
      <c r="L152" s="22"/>
      <c r="M152" s="286">
        <f ca="1">IFERROR(OFFSET(M152,-1,,1,1)+0.1,OFFSET(M152,-1,-1,1,1)&amp;".1")</f>
        <v>4.2999999999999989</v>
      </c>
      <c r="N152" s="23" t="s">
        <v>501</v>
      </c>
      <c r="O152" s="23"/>
      <c r="P152" s="23" t="s">
        <v>481</v>
      </c>
      <c r="Q152" s="144">
        <f>Total_Test_Cases * 15%</f>
        <v>0</v>
      </c>
      <c r="R152" s="137">
        <v>3</v>
      </c>
      <c r="S152" s="169">
        <f>CEILING((IF(J152="Yes", 0, IF(H152="-",AA152,AA152+AA152*VLOOKUP(H152,BUFFERS_BY_TYPE,2,FALSE)))) +
   (IF(J152="Yes", 0, IF(H152="-",AA152,AA152+AA152*VLOOKUP(H152,BUFFERS_BY_TYPE,2,FALSE))))*VLOOKUP($S$5, SALES_CALL_SCALE_ARRAY, 2,FALSE),0.25)</f>
        <v>0.25</v>
      </c>
      <c r="T152" s="170"/>
      <c r="U152" s="24">
        <v>0</v>
      </c>
      <c r="V152" s="24">
        <v>1</v>
      </c>
      <c r="W152" s="24">
        <v>0</v>
      </c>
      <c r="X152" s="168">
        <f>10/60/8</f>
        <v>2.0833333333333332E-2</v>
      </c>
      <c r="Y152" s="169">
        <f>CEILING((IF(P152=AS_DEV_EFFORT, DEV_EFFORT*Q152%,
                           IF(P152=AS_DURATION_EFFORT, (MANUAL_DURATION*5)*Q152%,
                                    (IF(Q152&lt;=1,X152,
                                          IF(SUM(U152:W152)=0,(Q152*X152),
                                               (((Q152*U152)*(X152+(X152*EXTRA_FOR_H)))+
                                               ((Q152*V152)*X152)+
                                               ((Q152*W152)*(X152-(X152*LESS_FOR_L)))
                                    )*IF(R152=0,1,R152))))))+Z152), 0.25)</f>
        <v>0.25</v>
      </c>
      <c r="Z152" s="25"/>
      <c r="AA152" s="169">
        <f>Y152+Y152*VLOOKUP(I152,EXTRAS_ARRAY,2,FALSE)</f>
        <v>0.25</v>
      </c>
      <c r="AB152" s="23"/>
      <c r="AC152" s="37"/>
      <c r="AD152" s="26" t="str">
        <f>IF(J152&lt;&gt;"Yes",
IF(S152&lt;=0,"Error: Effort value is not defined or is invalid.",
IF(AND(SUM(U152:W152)&gt;0,SUM(U152:W152)&lt;&gt;1),"Error: Complexity % distribution should sum to 100%.",
IF(AND(P152=AS_DEV_EFFORT,X152&lt;&gt;0),"Error: PDs should not be defined when defining as dev effort %.",
IF(AND(P152=AS_DURATION_EFFORT,X152&lt;&gt;0),"Error: PDs should not be defined when defining as duration effort %.","")))))</f>
        <v/>
      </c>
    </row>
    <row r="153" spans="1:30" ht="43.5" hidden="1" outlineLevel="2" x14ac:dyDescent="0.35">
      <c r="A153" s="93" t="s">
        <v>0</v>
      </c>
      <c r="B153" s="21"/>
      <c r="C153" s="85"/>
      <c r="D153" s="85"/>
      <c r="E153" s="85"/>
      <c r="F153" s="86"/>
      <c r="G153" s="22" t="s">
        <v>23</v>
      </c>
      <c r="H153" s="22" t="s">
        <v>23</v>
      </c>
      <c r="I153" s="23" t="s">
        <v>23</v>
      </c>
      <c r="J153" s="22" t="s">
        <v>23</v>
      </c>
      <c r="K153" s="38"/>
      <c r="L153" s="22"/>
      <c r="M153" s="286">
        <f ca="1">IFERROR(OFFSET(M153,-1,,1,1)+0.1,OFFSET(M153,-1,-1,1,1)&amp;".1")</f>
        <v>4.3999999999999986</v>
      </c>
      <c r="N153" s="23" t="s">
        <v>502</v>
      </c>
      <c r="O153" s="23"/>
      <c r="P153" s="23"/>
      <c r="Q153" s="144"/>
      <c r="R153" s="137"/>
      <c r="S153" s="169">
        <f>CEILING((IF(J153="Yes", 0, IF(H153="-",AA153,AA153+AA153*VLOOKUP(H153,BUFFERS_BY_TYPE,2,FALSE)))) +
   (IF(J153="Yes", 0, IF(H153="-",AA153,AA153+AA153*VLOOKUP(H153,BUFFERS_BY_TYPE,2,FALSE))))*VLOOKUP($S$5, SALES_CALL_SCALE_ARRAY, 2,FALSE),0.25)</f>
        <v>0</v>
      </c>
      <c r="T153" s="170"/>
      <c r="U153" s="24">
        <v>0</v>
      </c>
      <c r="V153" s="24">
        <v>1</v>
      </c>
      <c r="W153" s="24">
        <v>0</v>
      </c>
      <c r="X153" s="168"/>
      <c r="Y153" s="169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>0</v>
      </c>
      <c r="Z153" s="25"/>
      <c r="AA153" s="169">
        <f>Y153+Y153*VLOOKUP(I153,EXTRAS_ARRAY,2,FALSE)</f>
        <v>0</v>
      </c>
      <c r="AB153" s="23"/>
      <c r="AC153" s="37"/>
      <c r="AD153" s="26" t="str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>Error: Effort value is not defined or is invalid.</v>
      </c>
    </row>
    <row r="154" spans="1:30" s="11" customFormat="1" ht="7.5" hidden="1" customHeight="1" outlineLevel="2" x14ac:dyDescent="0.35">
      <c r="A154" s="93" t="s">
        <v>132</v>
      </c>
      <c r="B154" s="18"/>
      <c r="C154" s="78"/>
      <c r="D154" s="78"/>
      <c r="E154" s="78"/>
      <c r="F154" s="78"/>
      <c r="G154" s="10"/>
      <c r="H154" s="10"/>
      <c r="I154" s="10"/>
      <c r="J154" s="10"/>
      <c r="K154" s="10"/>
      <c r="L154" s="10"/>
      <c r="M154" s="287"/>
      <c r="N154" s="10"/>
      <c r="O154" s="10"/>
      <c r="P154" s="10"/>
      <c r="Q154" s="10"/>
      <c r="R154" s="10"/>
      <c r="S154" s="10"/>
      <c r="T154" s="18"/>
      <c r="U154" s="10"/>
      <c r="V154" s="10"/>
      <c r="W154" s="10"/>
      <c r="X154" s="18"/>
      <c r="Y154" s="10"/>
      <c r="Z154" s="10"/>
      <c r="AA154" s="10"/>
      <c r="AB154" s="60"/>
      <c r="AC154" s="60"/>
      <c r="AD154" s="12"/>
    </row>
    <row r="155" spans="1:30" s="17" customFormat="1" ht="15.5" outlineLevel="1" collapsed="1" x14ac:dyDescent="0.35">
      <c r="A155" s="93" t="s">
        <v>100</v>
      </c>
      <c r="B155" s="21"/>
      <c r="C155" s="84"/>
      <c r="D155" s="84"/>
      <c r="E155" s="84"/>
      <c r="F155" s="83"/>
      <c r="G155" s="32"/>
      <c r="H155" s="32"/>
      <c r="I155" s="32"/>
      <c r="J155" s="32"/>
      <c r="K155" s="32"/>
      <c r="L155" s="20">
        <f ca="1">LOOKUP(1000,INDIRECT("L1:"&amp;CELL("address",INDIRECT("R[-1]C",FALSE))))+1</f>
        <v>5</v>
      </c>
      <c r="M155" s="301" t="s">
        <v>504</v>
      </c>
      <c r="N155" s="301"/>
      <c r="O155" s="5"/>
      <c r="P155" s="33"/>
      <c r="Q155" s="33"/>
      <c r="R155" s="33"/>
      <c r="S155" s="33"/>
      <c r="T155" s="167">
        <f>IF($S$6="Exclude", SUMIFS(S156:S163, J156:J163, "&lt;&gt;Yes", G156:G163, "&lt;&gt;Yes"), SUMIFS(S156:S163, J156:J163, "&lt;&gt;Yes"))</f>
        <v>0</v>
      </c>
      <c r="U155" s="33"/>
      <c r="V155" s="33"/>
      <c r="W155" s="33"/>
      <c r="X155" s="34"/>
      <c r="Y155" s="35"/>
      <c r="Z155" s="35"/>
      <c r="AA155" s="35"/>
      <c r="AB155" s="240"/>
      <c r="AC155" s="36"/>
      <c r="AD155" s="26" t="str">
        <f>IF(M155="", "Error: Task name cannot be empty.", "")</f>
        <v/>
      </c>
    </row>
    <row r="156" spans="1:30" s="15" customFormat="1" ht="1.5" hidden="1" customHeight="1" outlineLevel="2" x14ac:dyDescent="0.35">
      <c r="A156" s="93" t="s">
        <v>101</v>
      </c>
      <c r="B156" s="21"/>
      <c r="C156" s="84"/>
      <c r="D156" s="84"/>
      <c r="E156" s="84"/>
      <c r="F156" s="83"/>
      <c r="G156" s="32"/>
      <c r="H156" s="32"/>
      <c r="I156" s="32"/>
      <c r="J156" s="32"/>
      <c r="K156" s="32"/>
      <c r="L156" s="175">
        <f ca="1">L155</f>
        <v>5</v>
      </c>
      <c r="M156" s="176" t="s">
        <v>105</v>
      </c>
      <c r="N156" s="173"/>
      <c r="O156" s="174"/>
      <c r="P156" s="33"/>
      <c r="Q156" s="33"/>
      <c r="R156" s="33"/>
      <c r="S156" s="33"/>
      <c r="T156" s="167"/>
      <c r="U156" s="33"/>
      <c r="V156" s="33"/>
      <c r="W156" s="33"/>
      <c r="X156" s="34"/>
      <c r="Y156" s="35"/>
      <c r="Z156" s="35"/>
      <c r="AA156" s="35"/>
      <c r="AB156" s="36"/>
      <c r="AC156" s="36"/>
      <c r="AD156" s="26"/>
    </row>
    <row r="157" spans="1:30" ht="43.5" hidden="1" outlineLevel="2" x14ac:dyDescent="0.35">
      <c r="A157" s="93" t="s">
        <v>0</v>
      </c>
      <c r="B157" s="21"/>
      <c r="C157" s="85"/>
      <c r="D157" s="85"/>
      <c r="E157" s="85"/>
      <c r="F157" s="86"/>
      <c r="G157" s="22" t="s">
        <v>23</v>
      </c>
      <c r="H157" s="22" t="s">
        <v>23</v>
      </c>
      <c r="I157" s="23" t="s">
        <v>23</v>
      </c>
      <c r="J157" s="22" t="s">
        <v>23</v>
      </c>
      <c r="K157" s="38"/>
      <c r="L157" s="22"/>
      <c r="M157" s="286" t="str">
        <f t="shared" ref="M157:M162" ca="1" si="10">IFERROR(OFFSET(M157,-1,,1,1)+0.1,OFFSET(M157,-1,-1,1,1)&amp;".1")</f>
        <v>5.1</v>
      </c>
      <c r="N157" s="23" t="s">
        <v>505</v>
      </c>
      <c r="O157" s="23"/>
      <c r="P157" s="23" t="s">
        <v>568</v>
      </c>
      <c r="Q157" s="144"/>
      <c r="R157" s="137">
        <f>Total_Screens</f>
        <v>0</v>
      </c>
      <c r="S157" s="169">
        <f t="shared" ref="S157:S162" si="11">CEILING((IF(J157="Yes", 0, IF(H157="-",AA157,AA157+AA157*VLOOKUP(H157,BUFFERS_BY_TYPE,2,FALSE)))) +
   (IF(J157="Yes", 0, IF(H157="-",AA157,AA157+AA157*VLOOKUP(H157,BUFFERS_BY_TYPE,2,FALSE))))*VLOOKUP($S$5, SALES_CALL_SCALE_ARRAY, 2,FALSE),0.25)</f>
        <v>0</v>
      </c>
      <c r="T157" s="170"/>
      <c r="U157" s="24">
        <v>0</v>
      </c>
      <c r="V157" s="24">
        <v>1</v>
      </c>
      <c r="W157" s="24">
        <v>0</v>
      </c>
      <c r="X157" s="168"/>
      <c r="Y157" s="169">
        <f t="shared" ref="Y157:Y162" si="12">CEILING((IF(P157=AS_DEV_EFFORT, DEV_EFFORT*Q157%,
                           IF(P157=AS_DURATION_EFFORT, (MANUAL_DURATION*5)*Q157%,
                                    (IF(Q157&lt;=1,X157,
                                          IF(SUM(U157:W157)=0,(Q157*X157),
                                               (((Q157*U157)*(X157+(X157*EXTRA_FOR_H)))+
                                               ((Q157*V157)*X157)+
                                               ((Q157*W157)*(X157-(X157*LESS_FOR_L)))
                                    )*IF(R157=0,1,R157))))))+Z157), 0.25)</f>
        <v>0</v>
      </c>
      <c r="Z157" s="25"/>
      <c r="AA157" s="169">
        <f t="shared" ref="AA157:AA162" si="13">Y157+Y157*VLOOKUP(I157,EXTRAS_ARRAY,2,FALSE)</f>
        <v>0</v>
      </c>
      <c r="AB157" s="23"/>
      <c r="AC157" s="37"/>
      <c r="AD157" s="26" t="str">
        <f t="shared" ref="AD157:AD162" si="14">IF(J157&lt;&gt;"Yes",
IF(S157&lt;=0,"Error: Effort value is not defined or is invalid.",
IF(AND(SUM(U157:W157)&gt;0,SUM(U157:W157)&lt;&gt;1),"Error: Complexity % distribution should sum to 100%.",
IF(AND(P157=AS_DEV_EFFORT,X157&lt;&gt;0),"Error: PDs should not be defined when defining as dev effort %.",
IF(AND(P157=AS_DURATION_EFFORT,X157&lt;&gt;0),"Error: PDs should not be defined when defining as duration effort %.","")))))</f>
        <v>Error: Effort value is not defined or is invalid.</v>
      </c>
    </row>
    <row r="158" spans="1:30" ht="43.5" hidden="1" outlineLevel="2" x14ac:dyDescent="0.35">
      <c r="A158" s="93" t="s">
        <v>0</v>
      </c>
      <c r="B158" s="21"/>
      <c r="C158" s="85"/>
      <c r="D158" s="85"/>
      <c r="E158" s="85"/>
      <c r="F158" s="86"/>
      <c r="G158" s="22" t="s">
        <v>23</v>
      </c>
      <c r="H158" s="22" t="s">
        <v>23</v>
      </c>
      <c r="I158" s="23" t="s">
        <v>23</v>
      </c>
      <c r="J158" s="22" t="s">
        <v>23</v>
      </c>
      <c r="K158" s="38"/>
      <c r="L158" s="22"/>
      <c r="M158" s="286">
        <f t="shared" ca="1" si="10"/>
        <v>5.1999999999999993</v>
      </c>
      <c r="N158" s="23" t="s">
        <v>506</v>
      </c>
      <c r="O158" s="23"/>
      <c r="P158" s="23"/>
      <c r="Q158" s="144"/>
      <c r="R158" s="137"/>
      <c r="S158" s="169">
        <f t="shared" si="11"/>
        <v>0</v>
      </c>
      <c r="T158" s="170"/>
      <c r="U158" s="24">
        <v>0</v>
      </c>
      <c r="V158" s="24">
        <v>1</v>
      </c>
      <c r="W158" s="24">
        <v>0</v>
      </c>
      <c r="X158" s="168"/>
      <c r="Y158" s="169">
        <f t="shared" si="12"/>
        <v>0</v>
      </c>
      <c r="Z158" s="25"/>
      <c r="AA158" s="169">
        <f t="shared" si="13"/>
        <v>0</v>
      </c>
      <c r="AB158" s="23"/>
      <c r="AC158" s="37"/>
      <c r="AD158" s="26" t="str">
        <f t="shared" si="14"/>
        <v>Error: Effort value is not defined or is invalid.</v>
      </c>
    </row>
    <row r="159" spans="1:30" ht="43.5" hidden="1" outlineLevel="2" x14ac:dyDescent="0.35">
      <c r="A159" s="93" t="s">
        <v>0</v>
      </c>
      <c r="B159" s="21"/>
      <c r="C159" s="85"/>
      <c r="D159" s="85"/>
      <c r="E159" s="85"/>
      <c r="F159" s="86"/>
      <c r="G159" s="22" t="s">
        <v>23</v>
      </c>
      <c r="H159" s="22" t="s">
        <v>23</v>
      </c>
      <c r="I159" s="23" t="s">
        <v>23</v>
      </c>
      <c r="J159" s="22" t="s">
        <v>23</v>
      </c>
      <c r="K159" s="38"/>
      <c r="L159" s="22"/>
      <c r="M159" s="286">
        <f t="shared" ca="1" si="10"/>
        <v>5.2999999999999989</v>
      </c>
      <c r="N159" s="23" t="s">
        <v>507</v>
      </c>
      <c r="O159" s="23"/>
      <c r="P159" s="23" t="s">
        <v>569</v>
      </c>
      <c r="Q159" s="144"/>
      <c r="R159" s="137">
        <f>Total_Screens</f>
        <v>0</v>
      </c>
      <c r="S159" s="169">
        <f t="shared" si="11"/>
        <v>0</v>
      </c>
      <c r="T159" s="170"/>
      <c r="U159" s="24">
        <v>0</v>
      </c>
      <c r="V159" s="24">
        <v>1</v>
      </c>
      <c r="W159" s="24">
        <v>0</v>
      </c>
      <c r="X159" s="168"/>
      <c r="Y159" s="169">
        <f t="shared" si="12"/>
        <v>0</v>
      </c>
      <c r="Z159" s="25"/>
      <c r="AA159" s="169">
        <f t="shared" si="13"/>
        <v>0</v>
      </c>
      <c r="AB159" s="23"/>
      <c r="AC159" s="37"/>
      <c r="AD159" s="26" t="str">
        <f t="shared" si="14"/>
        <v>Error: Effort value is not defined or is invalid.</v>
      </c>
    </row>
    <row r="160" spans="1:30" ht="43.5" hidden="1" outlineLevel="2" x14ac:dyDescent="0.35">
      <c r="A160" s="93" t="s">
        <v>0</v>
      </c>
      <c r="B160" s="21"/>
      <c r="C160" s="85"/>
      <c r="D160" s="85"/>
      <c r="E160" s="85"/>
      <c r="F160" s="86"/>
      <c r="G160" s="22" t="s">
        <v>23</v>
      </c>
      <c r="H160" s="22" t="s">
        <v>23</v>
      </c>
      <c r="I160" s="23" t="s">
        <v>23</v>
      </c>
      <c r="J160" s="22" t="s">
        <v>23</v>
      </c>
      <c r="K160" s="38"/>
      <c r="L160" s="22"/>
      <c r="M160" s="286">
        <f t="shared" ca="1" si="10"/>
        <v>5.3999999999999986</v>
      </c>
      <c r="N160" s="23" t="s">
        <v>508</v>
      </c>
      <c r="O160" s="23"/>
      <c r="P160" s="23" t="s">
        <v>570</v>
      </c>
      <c r="Q160" s="144"/>
      <c r="R160" s="137">
        <f>Total_Screens</f>
        <v>0</v>
      </c>
      <c r="S160" s="169">
        <f t="shared" si="11"/>
        <v>0</v>
      </c>
      <c r="T160" s="170"/>
      <c r="U160" s="24">
        <v>0</v>
      </c>
      <c r="V160" s="24">
        <v>1</v>
      </c>
      <c r="W160" s="24">
        <v>0</v>
      </c>
      <c r="X160" s="168"/>
      <c r="Y160" s="169">
        <f t="shared" si="12"/>
        <v>0</v>
      </c>
      <c r="Z160" s="25"/>
      <c r="AA160" s="169">
        <f t="shared" si="13"/>
        <v>0</v>
      </c>
      <c r="AB160" s="23"/>
      <c r="AC160" s="37"/>
      <c r="AD160" s="26" t="str">
        <f t="shared" si="14"/>
        <v>Error: Effort value is not defined or is invalid.</v>
      </c>
    </row>
    <row r="161" spans="1:30" ht="43.5" hidden="1" outlineLevel="2" x14ac:dyDescent="0.35">
      <c r="A161" s="93" t="s">
        <v>0</v>
      </c>
      <c r="B161" s="21"/>
      <c r="C161" s="85"/>
      <c r="D161" s="85"/>
      <c r="E161" s="85"/>
      <c r="F161" s="86"/>
      <c r="G161" s="22" t="s">
        <v>6</v>
      </c>
      <c r="H161" s="22" t="s">
        <v>23</v>
      </c>
      <c r="I161" s="23" t="s">
        <v>23</v>
      </c>
      <c r="J161" s="22" t="s">
        <v>23</v>
      </c>
      <c r="K161" s="38"/>
      <c r="L161" s="22"/>
      <c r="M161" s="286">
        <f t="shared" ca="1" si="10"/>
        <v>5.4999999999999982</v>
      </c>
      <c r="N161" s="23" t="s">
        <v>572</v>
      </c>
      <c r="O161" s="23"/>
      <c r="P161" s="23" t="s">
        <v>574</v>
      </c>
      <c r="Q161" s="144"/>
      <c r="R161" s="137"/>
      <c r="S161" s="169">
        <f t="shared" si="11"/>
        <v>0</v>
      </c>
      <c r="T161" s="170"/>
      <c r="U161" s="24">
        <v>0</v>
      </c>
      <c r="V161" s="24">
        <v>1</v>
      </c>
      <c r="W161" s="24">
        <v>0</v>
      </c>
      <c r="X161" s="168"/>
      <c r="Y161" s="169">
        <f t="shared" si="12"/>
        <v>0</v>
      </c>
      <c r="Z161" s="25"/>
      <c r="AA161" s="169">
        <f t="shared" si="13"/>
        <v>0</v>
      </c>
      <c r="AB161" s="23"/>
      <c r="AC161" s="37"/>
      <c r="AD161" s="26" t="str">
        <f t="shared" si="14"/>
        <v>Error: Effort value is not defined or is invalid.</v>
      </c>
    </row>
    <row r="162" spans="1:30" ht="43.5" hidden="1" outlineLevel="2" x14ac:dyDescent="0.35">
      <c r="A162" s="93" t="s">
        <v>0</v>
      </c>
      <c r="B162" s="21"/>
      <c r="C162" s="85"/>
      <c r="D162" s="85"/>
      <c r="E162" s="85"/>
      <c r="F162" s="86"/>
      <c r="G162" s="22" t="s">
        <v>6</v>
      </c>
      <c r="H162" s="22" t="s">
        <v>23</v>
      </c>
      <c r="I162" s="23" t="s">
        <v>23</v>
      </c>
      <c r="J162" s="22" t="s">
        <v>23</v>
      </c>
      <c r="K162" s="38"/>
      <c r="L162" s="22"/>
      <c r="M162" s="286">
        <f t="shared" ca="1" si="10"/>
        <v>5.5999999999999979</v>
      </c>
      <c r="N162" s="23" t="s">
        <v>573</v>
      </c>
      <c r="O162" s="23"/>
      <c r="P162" s="23" t="s">
        <v>574</v>
      </c>
      <c r="Q162" s="144"/>
      <c r="R162" s="137"/>
      <c r="S162" s="169">
        <f t="shared" si="11"/>
        <v>0</v>
      </c>
      <c r="T162" s="170"/>
      <c r="U162" s="24">
        <v>0</v>
      </c>
      <c r="V162" s="24">
        <v>1</v>
      </c>
      <c r="W162" s="24">
        <v>0</v>
      </c>
      <c r="X162" s="168"/>
      <c r="Y162" s="169">
        <f t="shared" si="12"/>
        <v>0</v>
      </c>
      <c r="Z162" s="25"/>
      <c r="AA162" s="169">
        <f t="shared" si="13"/>
        <v>0</v>
      </c>
      <c r="AB162" s="23"/>
      <c r="AC162" s="37"/>
      <c r="AD162" s="26" t="str">
        <f t="shared" si="14"/>
        <v>Error: Effort value is not defined or is invalid.</v>
      </c>
    </row>
    <row r="163" spans="1:30" s="11" customFormat="1" ht="7.5" hidden="1" customHeight="1" outlineLevel="2" x14ac:dyDescent="0.35">
      <c r="A163" s="93" t="s">
        <v>132</v>
      </c>
      <c r="B163" s="18"/>
      <c r="C163" s="78"/>
      <c r="D163" s="78"/>
      <c r="E163" s="78"/>
      <c r="F163" s="78"/>
      <c r="G163" s="10"/>
      <c r="H163" s="10"/>
      <c r="I163" s="10"/>
      <c r="J163" s="10"/>
      <c r="K163" s="10"/>
      <c r="L163" s="10"/>
      <c r="M163" s="287"/>
      <c r="N163" s="10"/>
      <c r="O163" s="10"/>
      <c r="P163" s="10"/>
      <c r="Q163" s="10"/>
      <c r="R163" s="10"/>
      <c r="S163" s="10"/>
      <c r="T163" s="18"/>
      <c r="U163" s="10"/>
      <c r="V163" s="10"/>
      <c r="W163" s="10"/>
      <c r="X163" s="18"/>
      <c r="Y163" s="10"/>
      <c r="Z163" s="10"/>
      <c r="AA163" s="10"/>
      <c r="AB163" s="60"/>
      <c r="AC163" s="60"/>
      <c r="AD163" s="12"/>
    </row>
    <row r="164" spans="1:30" s="11" customFormat="1" ht="3" customHeight="1" outlineLevel="1" x14ac:dyDescent="0.35">
      <c r="A164" s="93" t="s">
        <v>102</v>
      </c>
      <c r="B164" s="10"/>
      <c r="C164" s="78"/>
      <c r="D164" s="78"/>
      <c r="E164" s="78"/>
      <c r="F164" s="78"/>
      <c r="G164" s="59"/>
      <c r="H164" s="59"/>
      <c r="I164" s="59"/>
      <c r="J164" s="59"/>
      <c r="K164" s="59"/>
      <c r="L164" s="61"/>
      <c r="M164" s="288"/>
      <c r="N164" s="62"/>
      <c r="O164" s="62"/>
      <c r="P164" s="61"/>
      <c r="Q164" s="61"/>
      <c r="R164" s="61"/>
      <c r="S164" s="61"/>
      <c r="T164" s="61"/>
      <c r="U164" s="61"/>
      <c r="V164" s="61"/>
      <c r="W164" s="61"/>
      <c r="X164" s="61"/>
      <c r="Y164" s="61"/>
      <c r="Z164" s="61"/>
      <c r="AA164" s="61"/>
      <c r="AB164" s="62"/>
      <c r="AC164" s="62"/>
      <c r="AD164" s="12"/>
    </row>
    <row r="165" spans="1:30" s="17" customFormat="1" ht="18.5" collapsed="1" x14ac:dyDescent="0.35">
      <c r="A165" s="93" t="s">
        <v>98</v>
      </c>
      <c r="B165" s="14"/>
      <c r="C165" s="79"/>
      <c r="D165" s="79"/>
      <c r="E165" s="79"/>
      <c r="F165" s="78"/>
      <c r="G165" s="55"/>
      <c r="H165" s="55"/>
      <c r="I165" s="55"/>
      <c r="J165" s="55"/>
      <c r="K165" s="55"/>
      <c r="L165" s="55" t="s">
        <v>71</v>
      </c>
      <c r="M165" s="284" t="s">
        <v>75</v>
      </c>
      <c r="N165" s="56"/>
      <c r="O165" s="57"/>
      <c r="P165" s="58"/>
      <c r="Q165" s="58"/>
      <c r="R165" s="58"/>
      <c r="S165" s="302">
        <f>CEILING(SUMIF(J166:J187, "&lt;&gt;Yes", T166:T187),1)</f>
        <v>45</v>
      </c>
      <c r="T165" s="302"/>
      <c r="U165" s="58"/>
      <c r="V165" s="58"/>
      <c r="W165" s="58"/>
      <c r="X165" s="58"/>
      <c r="Y165" s="58"/>
      <c r="Z165" s="58"/>
      <c r="AA165" s="58"/>
      <c r="AB165" s="58"/>
      <c r="AC165" s="58"/>
      <c r="AD165" s="16"/>
    </row>
    <row r="166" spans="1:30" s="11" customFormat="1" ht="3" hidden="1" customHeight="1" outlineLevel="1" x14ac:dyDescent="0.35">
      <c r="A166" s="93" t="s">
        <v>99</v>
      </c>
      <c r="B166" s="18"/>
      <c r="C166" s="78"/>
      <c r="D166" s="78"/>
      <c r="E166" s="78"/>
      <c r="F166" s="78"/>
      <c r="G166" s="28"/>
      <c r="H166" s="28"/>
      <c r="I166" s="28"/>
      <c r="J166" s="28"/>
      <c r="K166" s="28"/>
      <c r="L166" s="29">
        <v>0</v>
      </c>
      <c r="M166" s="285"/>
      <c r="N166" s="28"/>
      <c r="O166" s="28"/>
      <c r="P166" s="28"/>
      <c r="Q166" s="28"/>
      <c r="R166" s="28"/>
      <c r="S166" s="28"/>
      <c r="T166" s="30"/>
      <c r="U166" s="28"/>
      <c r="V166" s="28"/>
      <c r="W166" s="28"/>
      <c r="X166" s="30"/>
      <c r="Y166" s="28"/>
      <c r="Z166" s="28"/>
      <c r="AA166" s="28"/>
      <c r="AB166" s="31"/>
      <c r="AC166" s="31"/>
      <c r="AD166" s="12"/>
    </row>
    <row r="167" spans="1:30" s="17" customFormat="1" ht="15.5" hidden="1" outlineLevel="1" collapsed="1" x14ac:dyDescent="0.35">
      <c r="A167" s="93" t="s">
        <v>100</v>
      </c>
      <c r="B167" s="21"/>
      <c r="C167" s="84"/>
      <c r="D167" s="84"/>
      <c r="E167" s="84"/>
      <c r="F167" s="83"/>
      <c r="G167" s="32"/>
      <c r="H167" s="32"/>
      <c r="I167" s="32"/>
      <c r="J167" s="32"/>
      <c r="K167" s="32"/>
      <c r="L167" s="20">
        <f ca="1">LOOKUP(1000,INDIRECT("L1:"&amp;CELL("address",INDIRECT("R[-1]C",FALSE))))+1</f>
        <v>1</v>
      </c>
      <c r="M167" s="301" t="s">
        <v>512</v>
      </c>
      <c r="N167" s="301"/>
      <c r="O167" s="5"/>
      <c r="P167" s="33"/>
      <c r="Q167" s="33"/>
      <c r="R167" s="33"/>
      <c r="S167" s="33"/>
      <c r="T167" s="167">
        <f>IF($S$6="Exclude", SUMIFS(S168:S171, J168:J171, "&lt;&gt;Yes", G168:G171, "&lt;&gt;Yes"), SUMIFS(S168:S171, J168:J171, "&lt;&gt;Yes"))</f>
        <v>0</v>
      </c>
      <c r="U167" s="33"/>
      <c r="V167" s="33"/>
      <c r="W167" s="33"/>
      <c r="X167" s="34"/>
      <c r="Y167" s="35"/>
      <c r="Z167" s="35"/>
      <c r="AA167" s="35"/>
      <c r="AB167" s="240"/>
      <c r="AC167" s="36"/>
      <c r="AD167" s="26" t="str">
        <f>IF(M167="", "Error: Task name cannot be empty.", "")</f>
        <v/>
      </c>
    </row>
    <row r="168" spans="1:30" s="15" customFormat="1" ht="1.5" hidden="1" customHeight="1" outlineLevel="2" x14ac:dyDescent="0.35">
      <c r="A168" s="93" t="s">
        <v>101</v>
      </c>
      <c r="B168" s="21"/>
      <c r="C168" s="84"/>
      <c r="D168" s="84"/>
      <c r="E168" s="84"/>
      <c r="F168" s="83"/>
      <c r="G168" s="32"/>
      <c r="H168" s="32"/>
      <c r="I168" s="32"/>
      <c r="J168" s="32"/>
      <c r="K168" s="32"/>
      <c r="L168" s="175">
        <f ca="1">L167</f>
        <v>1</v>
      </c>
      <c r="M168" s="176" t="s">
        <v>105</v>
      </c>
      <c r="N168" s="173"/>
      <c r="O168" s="174"/>
      <c r="P168" s="33"/>
      <c r="Q168" s="33"/>
      <c r="R168" s="33"/>
      <c r="S168" s="33"/>
      <c r="T168" s="167"/>
      <c r="U168" s="33"/>
      <c r="V168" s="33"/>
      <c r="W168" s="33"/>
      <c r="X168" s="34"/>
      <c r="Y168" s="35"/>
      <c r="Z168" s="35"/>
      <c r="AA168" s="35"/>
      <c r="AB168" s="36"/>
      <c r="AC168" s="36"/>
      <c r="AD168" s="26"/>
    </row>
    <row r="169" spans="1:30" ht="43.5" hidden="1" outlineLevel="2" x14ac:dyDescent="0.35">
      <c r="A169" s="93" t="s">
        <v>0</v>
      </c>
      <c r="B169" s="21"/>
      <c r="C169" s="85"/>
      <c r="D169" s="85"/>
      <c r="E169" s="85"/>
      <c r="F169" s="86"/>
      <c r="G169" s="22" t="s">
        <v>23</v>
      </c>
      <c r="H169" s="22" t="s">
        <v>23</v>
      </c>
      <c r="I169" s="23" t="s">
        <v>23</v>
      </c>
      <c r="J169" s="22" t="s">
        <v>23</v>
      </c>
      <c r="K169" s="38"/>
      <c r="L169" s="22"/>
      <c r="M169" s="286" t="str">
        <f ca="1">IFERROR(OFFSET(M169,-1,,1,1)+0.1,OFFSET(M169,-1,-1,1,1)&amp;".1")</f>
        <v>1.1</v>
      </c>
      <c r="N169" s="23" t="s">
        <v>513</v>
      </c>
      <c r="O169" s="23"/>
      <c r="P169" s="23" t="s">
        <v>518</v>
      </c>
      <c r="Q169" s="144">
        <v>10</v>
      </c>
      <c r="R169" s="137"/>
      <c r="S169" s="169">
        <f>CEILING((IF(J169="Yes", 0, IF(H169="-",AA169,AA169+AA169*VLOOKUP(H169,BUFFERS_BY_TYPE,2,FALSE)))) +
   (IF(J169="Yes", 0, IF(H169="-",AA169,AA169+AA169*VLOOKUP(H169,BUFFERS_BY_TYPE,2,FALSE))))*VLOOKUP($S$5, SALES_CALL_SCALE_ARRAY, 2,FALSE),0.25)</f>
        <v>0</v>
      </c>
      <c r="T169" s="170"/>
      <c r="U169" s="24">
        <v>0</v>
      </c>
      <c r="V169" s="24">
        <v>1</v>
      </c>
      <c r="W169" s="24">
        <v>0</v>
      </c>
      <c r="X169" s="168"/>
      <c r="Y169" s="169">
        <f>CEILING((IF(P169=AS_DEV_EFFORT, DEV_EFFORT*Q169%,
                           IF(P169=AS_DURATION_EFFORT, (MANUAL_DURATION*5)*Q169%,
                                    (IF(Q169&lt;=1,X169,
                                          IF(SUM(U169:W169)=0,(Q169*X169),
                                               (((Q169*U169)*(X169+(X169*EXTRA_FOR_H)))+
                                               ((Q169*V169)*X169)+
                                               ((Q169*W169)*(X169-(X169*LESS_FOR_L)))
                                    )*IF(R169=0,1,R169))))))+Z169), 0.25)</f>
        <v>0</v>
      </c>
      <c r="Z169" s="25"/>
      <c r="AA169" s="169">
        <f>Y169+Y169*VLOOKUP(I169,EXTRAS_ARRAY,2,FALSE)</f>
        <v>0</v>
      </c>
      <c r="AB169" s="23"/>
      <c r="AC169" s="37"/>
      <c r="AD169" s="26" t="str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>Error: Effort value is not defined or is invalid.</v>
      </c>
    </row>
    <row r="170" spans="1:30" ht="43.5" hidden="1" outlineLevel="2" x14ac:dyDescent="0.35">
      <c r="A170" s="93" t="s">
        <v>0</v>
      </c>
      <c r="B170" s="21"/>
      <c r="C170" s="85"/>
      <c r="D170" s="85"/>
      <c r="E170" s="85"/>
      <c r="F170" s="86"/>
      <c r="G170" s="22" t="s">
        <v>23</v>
      </c>
      <c r="H170" s="22" t="s">
        <v>23</v>
      </c>
      <c r="I170" s="23" t="s">
        <v>23</v>
      </c>
      <c r="J170" s="22" t="s">
        <v>23</v>
      </c>
      <c r="K170" s="38"/>
      <c r="L170" s="22"/>
      <c r="M170" s="286">
        <f ca="1">IFERROR(OFFSET(M170,-1,,1,1)+0.1,OFFSET(M170,-1,-1,1,1)&amp;".1")</f>
        <v>1.2000000000000002</v>
      </c>
      <c r="N170" s="23" t="s">
        <v>514</v>
      </c>
      <c r="O170" s="23"/>
      <c r="P170" s="23" t="s">
        <v>517</v>
      </c>
      <c r="Q170" s="144">
        <v>5</v>
      </c>
      <c r="R170" s="137"/>
      <c r="S170" s="169">
        <f>CEILING((IF(J170="Yes", 0, IF(H170="-",AA170,AA170+AA170*VLOOKUP(H170,BUFFERS_BY_TYPE,2,FALSE)))) +
   (IF(J170="Yes", 0, IF(H170="-",AA170,AA170+AA170*VLOOKUP(H170,BUFFERS_BY_TYPE,2,FALSE))))*VLOOKUP($S$5, SALES_CALL_SCALE_ARRAY, 2,FALSE),0.25)</f>
        <v>0</v>
      </c>
      <c r="T170" s="170"/>
      <c r="U170" s="24">
        <v>0</v>
      </c>
      <c r="V170" s="24">
        <v>1</v>
      </c>
      <c r="W170" s="24">
        <v>0</v>
      </c>
      <c r="X170" s="168"/>
      <c r="Y170" s="169">
        <f>CEILING((IF(P170=AS_DEV_EFFORT, DEV_EFFORT*Q170%,
                           IF(P170=AS_DURATION_EFFORT, (MANUAL_DURATION*5)*Q170%,
                                    (IF(Q170&lt;=1,X170,
                                          IF(SUM(U170:W170)=0,(Q170*X170),
                                               (((Q170*U170)*(X170+(X170*EXTRA_FOR_H)))+
                                               ((Q170*V170)*X170)+
                                               ((Q170*W170)*(X170-(X170*LESS_FOR_L)))
                                    )*IF(R170=0,1,R170))))))+Z170), 0.25)</f>
        <v>0</v>
      </c>
      <c r="Z170" s="25"/>
      <c r="AA170" s="169">
        <f>Y170+Y170*VLOOKUP(I170,EXTRAS_ARRAY,2,FALSE)</f>
        <v>0</v>
      </c>
      <c r="AB170" s="23"/>
      <c r="AC170" s="37"/>
      <c r="AD170" s="26" t="str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>Error: Effort value is not defined or is invalid.</v>
      </c>
    </row>
    <row r="171" spans="1:30" s="11" customFormat="1" ht="7.5" hidden="1" customHeight="1" outlineLevel="2" x14ac:dyDescent="0.35">
      <c r="A171" s="93" t="s">
        <v>132</v>
      </c>
      <c r="B171" s="18"/>
      <c r="C171" s="78"/>
      <c r="D171" s="78"/>
      <c r="E171" s="78"/>
      <c r="F171" s="78"/>
      <c r="G171" s="10"/>
      <c r="H171" s="10"/>
      <c r="I171" s="10"/>
      <c r="J171" s="10"/>
      <c r="K171" s="10"/>
      <c r="L171" s="10"/>
      <c r="M171" s="287"/>
      <c r="N171" s="10"/>
      <c r="O171" s="10"/>
      <c r="P171" s="10"/>
      <c r="Q171" s="10"/>
      <c r="R171" s="10"/>
      <c r="S171" s="10"/>
      <c r="T171" s="18"/>
      <c r="U171" s="10"/>
      <c r="V171" s="10"/>
      <c r="W171" s="10"/>
      <c r="X171" s="18"/>
      <c r="Y171" s="10"/>
      <c r="Z171" s="10"/>
      <c r="AA171" s="10"/>
      <c r="AB171" s="60"/>
      <c r="AC171" s="60"/>
      <c r="AD171" s="12"/>
    </row>
    <row r="172" spans="1:30" s="17" customFormat="1" ht="15.5" hidden="1" outlineLevel="1" collapsed="1" x14ac:dyDescent="0.35">
      <c r="A172" s="93" t="s">
        <v>100</v>
      </c>
      <c r="B172" s="21"/>
      <c r="C172" s="84"/>
      <c r="D172" s="84"/>
      <c r="E172" s="84"/>
      <c r="F172" s="83"/>
      <c r="G172" s="32"/>
      <c r="H172" s="32"/>
      <c r="I172" s="32"/>
      <c r="J172" s="32"/>
      <c r="K172" s="32"/>
      <c r="L172" s="20">
        <f ca="1">LOOKUP(1000,INDIRECT("L1:"&amp;CELL("address",INDIRECT("R[-1]C",FALSE))))+1</f>
        <v>2</v>
      </c>
      <c r="M172" s="301" t="s">
        <v>515</v>
      </c>
      <c r="N172" s="301"/>
      <c r="O172" s="5"/>
      <c r="P172" s="33"/>
      <c r="Q172" s="33"/>
      <c r="R172" s="33"/>
      <c r="S172" s="33"/>
      <c r="T172" s="167">
        <f>IF($S$6="Exclude", SUMIFS(S173:S175, J173:J175, "&lt;&gt;Yes", G173:G175, "&lt;&gt;Yes"), SUMIFS(S173:S175, J173:J175, "&lt;&gt;Yes"))</f>
        <v>40</v>
      </c>
      <c r="U172" s="33"/>
      <c r="V172" s="33"/>
      <c r="W172" s="33"/>
      <c r="X172" s="34"/>
      <c r="Y172" s="35"/>
      <c r="Z172" s="35"/>
      <c r="AA172" s="35"/>
      <c r="AB172" s="240"/>
      <c r="AC172" s="36"/>
      <c r="AD172" s="26" t="str">
        <f>IF(M172="", "Error: Task name cannot be empty.", "")</f>
        <v/>
      </c>
    </row>
    <row r="173" spans="1:30" s="15" customFormat="1" ht="1.5" hidden="1" customHeight="1" outlineLevel="2" x14ac:dyDescent="0.35">
      <c r="A173" s="93" t="s">
        <v>101</v>
      </c>
      <c r="B173" s="21"/>
      <c r="C173" s="84"/>
      <c r="D173" s="84"/>
      <c r="E173" s="84"/>
      <c r="F173" s="83"/>
      <c r="G173" s="32"/>
      <c r="H173" s="32"/>
      <c r="I173" s="32"/>
      <c r="J173" s="32"/>
      <c r="K173" s="32"/>
      <c r="L173" s="175">
        <f ca="1">L172</f>
        <v>2</v>
      </c>
      <c r="M173" s="176" t="s">
        <v>105</v>
      </c>
      <c r="N173" s="173"/>
      <c r="O173" s="174"/>
      <c r="P173" s="33"/>
      <c r="Q173" s="33"/>
      <c r="R173" s="33"/>
      <c r="S173" s="33"/>
      <c r="T173" s="167"/>
      <c r="U173" s="33"/>
      <c r="V173" s="33"/>
      <c r="W173" s="33"/>
      <c r="X173" s="34"/>
      <c r="Y173" s="35"/>
      <c r="Z173" s="35"/>
      <c r="AA173" s="35"/>
      <c r="AB173" s="36"/>
      <c r="AC173" s="36"/>
      <c r="AD173" s="26"/>
    </row>
    <row r="174" spans="1:30" ht="58" hidden="1" outlineLevel="2" x14ac:dyDescent="0.35">
      <c r="A174" s="93" t="s">
        <v>0</v>
      </c>
      <c r="B174" s="21"/>
      <c r="C174" s="85"/>
      <c r="D174" s="85"/>
      <c r="E174" s="85"/>
      <c r="F174" s="86"/>
      <c r="G174" s="22" t="s">
        <v>23</v>
      </c>
      <c r="H174" s="22" t="s">
        <v>23</v>
      </c>
      <c r="I174" s="23" t="s">
        <v>23</v>
      </c>
      <c r="J174" s="22" t="s">
        <v>23</v>
      </c>
      <c r="K174" s="38"/>
      <c r="L174" s="22"/>
      <c r="M174" s="286" t="str">
        <f ca="1">IFERROR(OFFSET(M174,-1,,1,1)+0.1,OFFSET(M174,-1,-1,1,1)&amp;".1")</f>
        <v>2.1</v>
      </c>
      <c r="N174" s="23" t="s">
        <v>516</v>
      </c>
      <c r="O174" s="23"/>
      <c r="P174" s="23" t="s">
        <v>531</v>
      </c>
      <c r="Q174" s="144">
        <v>2</v>
      </c>
      <c r="R174" s="137">
        <v>4</v>
      </c>
      <c r="S174" s="169">
        <f>CEILING((IF(J174="Yes", 0, IF(H174="-",AA174,AA174+AA174*VLOOKUP(H174,BUFFERS_BY_TYPE,2,FALSE)))) +
   (IF(J174="Yes", 0, IF(H174="-",AA174,AA174+AA174*VLOOKUP(H174,BUFFERS_BY_TYPE,2,FALSE))))*VLOOKUP($S$5, SALES_CALL_SCALE_ARRAY, 2,FALSE),0.25)</f>
        <v>40</v>
      </c>
      <c r="T174" s="170"/>
      <c r="U174" s="24">
        <v>0</v>
      </c>
      <c r="V174" s="24">
        <v>1</v>
      </c>
      <c r="W174" s="24">
        <v>0</v>
      </c>
      <c r="X174" s="168">
        <v>5</v>
      </c>
      <c r="Y174" s="169">
        <f>CEILING((IF(P174=AS_DEV_EFFORT, DEV_EFFORT*Q174%,
                           IF(P174=AS_DURATION_EFFORT, (MANUAL_DURATION*5)*Q174%,
                                    (IF(Q174&lt;=1,X174,
                                          IF(SUM(U174:W174)=0,(Q174*X174),
                                               (((Q174*U174)*(X174+(X174*EXTRA_FOR_H)))+
                                               ((Q174*V174)*X174)+
                                               ((Q174*W174)*(X174-(X174*LESS_FOR_L)))
                                    )*IF(R174=0,1,R174))))))+Z174), 0.25)</f>
        <v>40</v>
      </c>
      <c r="Z174" s="25"/>
      <c r="AA174" s="169">
        <f>Y174+Y174*VLOOKUP(I174,EXTRAS_ARRAY,2,FALSE)</f>
        <v>40</v>
      </c>
      <c r="AB174" s="23" t="s">
        <v>532</v>
      </c>
      <c r="AC174" s="37"/>
      <c r="AD174" s="26" t="str">
        <f>IF(J174&lt;&gt;"Yes",
IF(S174&lt;=0,"Error: Effort value is not defined or is invalid.",
IF(AND(SUM(U174:W174)&gt;0,SUM(U174:W174)&lt;&gt;1),"Error: Complexity % distribution should sum to 100%.",
IF(AND(P174=AS_DEV_EFFORT,X174&lt;&gt;0),"Error: PDs should not be defined when defining as dev effort %.",
IF(AND(P174=AS_DURATION_EFFORT,X174&lt;&gt;0),"Error: PDs should not be defined when defining as duration effort %.","")))))</f>
        <v/>
      </c>
    </row>
    <row r="175" spans="1:30" s="11" customFormat="1" ht="7.5" hidden="1" customHeight="1" outlineLevel="2" x14ac:dyDescent="0.35">
      <c r="A175" s="93" t="s">
        <v>132</v>
      </c>
      <c r="B175" s="18"/>
      <c r="C175" s="78"/>
      <c r="D175" s="78"/>
      <c r="E175" s="78"/>
      <c r="F175" s="78"/>
      <c r="G175" s="10"/>
      <c r="H175" s="10"/>
      <c r="I175" s="10"/>
      <c r="J175" s="10"/>
      <c r="K175" s="10"/>
      <c r="L175" s="10"/>
      <c r="M175" s="287"/>
      <c r="N175" s="10"/>
      <c r="O175" s="10"/>
      <c r="P175" s="10"/>
      <c r="Q175" s="10"/>
      <c r="R175" s="10"/>
      <c r="S175" s="10"/>
      <c r="T175" s="18"/>
      <c r="U175" s="10"/>
      <c r="V175" s="10"/>
      <c r="W175" s="10"/>
      <c r="X175" s="18"/>
      <c r="Y175" s="10"/>
      <c r="Z175" s="10"/>
      <c r="AA175" s="10"/>
      <c r="AB175" s="60"/>
      <c r="AC175" s="60"/>
      <c r="AD175" s="12"/>
    </row>
    <row r="176" spans="1:30" s="17" customFormat="1" ht="15.5" hidden="1" outlineLevel="1" collapsed="1" x14ac:dyDescent="0.35">
      <c r="A176" s="93" t="s">
        <v>100</v>
      </c>
      <c r="B176" s="21"/>
      <c r="C176" s="84"/>
      <c r="D176" s="84"/>
      <c r="E176" s="84"/>
      <c r="F176" s="83"/>
      <c r="G176" s="32"/>
      <c r="H176" s="32"/>
      <c r="I176" s="32"/>
      <c r="J176" s="32"/>
      <c r="K176" s="32"/>
      <c r="L176" s="20">
        <f ca="1">LOOKUP(1000,INDIRECT("L1:"&amp;CELL("address",INDIRECT("R[-1]C",FALSE))))+1</f>
        <v>3</v>
      </c>
      <c r="M176" s="301" t="s">
        <v>519</v>
      </c>
      <c r="N176" s="301"/>
      <c r="O176" s="5"/>
      <c r="P176" s="33"/>
      <c r="Q176" s="33"/>
      <c r="R176" s="33"/>
      <c r="S176" s="33"/>
      <c r="T176" s="167">
        <f>IF($S$6="Exclude", SUMIFS(S177:S179, J177:J179, "&lt;&gt;Yes", G177:G179, "&lt;&gt;Yes"), SUMIFS(S177:S179, J177:J179, "&lt;&gt;Yes"))</f>
        <v>5</v>
      </c>
      <c r="U176" s="33"/>
      <c r="V176" s="33"/>
      <c r="W176" s="33"/>
      <c r="X176" s="34"/>
      <c r="Y176" s="35"/>
      <c r="Z176" s="35"/>
      <c r="AA176" s="35"/>
      <c r="AB176" s="240"/>
      <c r="AC176" s="36"/>
      <c r="AD176" s="26" t="str">
        <f>IF(M176="", "Error: Task name cannot be empty.", "")</f>
        <v/>
      </c>
    </row>
    <row r="177" spans="1:30" s="15" customFormat="1" ht="1.5" hidden="1" customHeight="1" outlineLevel="2" x14ac:dyDescent="0.35">
      <c r="A177" s="93" t="s">
        <v>101</v>
      </c>
      <c r="B177" s="21"/>
      <c r="C177" s="84"/>
      <c r="D177" s="84"/>
      <c r="E177" s="84"/>
      <c r="F177" s="83"/>
      <c r="G177" s="32"/>
      <c r="H177" s="32"/>
      <c r="I177" s="32"/>
      <c r="J177" s="32"/>
      <c r="K177" s="32"/>
      <c r="L177" s="175">
        <f ca="1">L176</f>
        <v>3</v>
      </c>
      <c r="M177" s="176" t="s">
        <v>105</v>
      </c>
      <c r="N177" s="173"/>
      <c r="O177" s="174"/>
      <c r="P177" s="33"/>
      <c r="Q177" s="33"/>
      <c r="R177" s="33"/>
      <c r="S177" s="33"/>
      <c r="T177" s="167"/>
      <c r="U177" s="33"/>
      <c r="V177" s="33"/>
      <c r="W177" s="33"/>
      <c r="X177" s="34"/>
      <c r="Y177" s="35"/>
      <c r="Z177" s="35"/>
      <c r="AA177" s="35"/>
      <c r="AB177" s="36"/>
      <c r="AC177" s="36"/>
      <c r="AD177" s="26"/>
    </row>
    <row r="178" spans="1:30" ht="43.5" hidden="1" outlineLevel="2" x14ac:dyDescent="0.35">
      <c r="A178" s="93" t="s">
        <v>0</v>
      </c>
      <c r="B178" s="21"/>
      <c r="C178" s="85"/>
      <c r="D178" s="85"/>
      <c r="E178" s="85"/>
      <c r="F178" s="86"/>
      <c r="G178" s="22" t="s">
        <v>23</v>
      </c>
      <c r="H178" s="22" t="s">
        <v>23</v>
      </c>
      <c r="I178" s="23" t="s">
        <v>23</v>
      </c>
      <c r="J178" s="22" t="s">
        <v>23</v>
      </c>
      <c r="K178" s="38"/>
      <c r="L178" s="22"/>
      <c r="M178" s="286" t="str">
        <f ca="1">IFERROR(OFFSET(M178,-1,,1,1)+0.1,OFFSET(M178,-1,-1,1,1)&amp;".1")</f>
        <v>3.1</v>
      </c>
      <c r="N178" s="23" t="s">
        <v>520</v>
      </c>
      <c r="O178" s="23"/>
      <c r="P178" s="23" t="s">
        <v>531</v>
      </c>
      <c r="Q178" s="144">
        <v>1</v>
      </c>
      <c r="R178" s="137">
        <v>2</v>
      </c>
      <c r="S178" s="169">
        <f>CEILING((IF(J178="Yes", 0, IF(H178="-",AA178,AA178+AA178*VLOOKUP(H178,BUFFERS_BY_TYPE,2,FALSE)))) +
   (IF(J178="Yes", 0, IF(H178="-",AA178,AA178+AA178*VLOOKUP(H178,BUFFERS_BY_TYPE,2,FALSE))))*VLOOKUP($S$5, SALES_CALL_SCALE_ARRAY, 2,FALSE),0.25)</f>
        <v>5</v>
      </c>
      <c r="T178" s="170"/>
      <c r="U178" s="24">
        <v>0</v>
      </c>
      <c r="V178" s="24">
        <v>1</v>
      </c>
      <c r="W178" s="24">
        <v>0</v>
      </c>
      <c r="X178" s="168">
        <v>5</v>
      </c>
      <c r="Y178" s="169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>5</v>
      </c>
      <c r="Z178" s="25"/>
      <c r="AA178" s="169">
        <f>Y178+Y178*VLOOKUP(I178,EXTRAS_ARRAY,2,FALSE)</f>
        <v>5</v>
      </c>
      <c r="AB178" s="23" t="s">
        <v>533</v>
      </c>
      <c r="AC178" s="37"/>
      <c r="AD178" s="26" t="str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spans="1:30" s="11" customFormat="1" ht="7.5" hidden="1" customHeight="1" outlineLevel="2" x14ac:dyDescent="0.35">
      <c r="A179" s="93" t="s">
        <v>132</v>
      </c>
      <c r="B179" s="18"/>
      <c r="C179" s="78"/>
      <c r="D179" s="78"/>
      <c r="E179" s="78"/>
      <c r="F179" s="78"/>
      <c r="G179" s="10"/>
      <c r="H179" s="10"/>
      <c r="I179" s="10"/>
      <c r="J179" s="10"/>
      <c r="K179" s="10"/>
      <c r="L179" s="10"/>
      <c r="M179" s="287"/>
      <c r="N179" s="10"/>
      <c r="O179" s="10"/>
      <c r="P179" s="10"/>
      <c r="Q179" s="10"/>
      <c r="R179" s="10"/>
      <c r="S179" s="10"/>
      <c r="T179" s="18"/>
      <c r="U179" s="10"/>
      <c r="V179" s="10"/>
      <c r="W179" s="10"/>
      <c r="X179" s="18"/>
      <c r="Y179" s="10"/>
      <c r="Z179" s="10"/>
      <c r="AA179" s="10"/>
      <c r="AB179" s="60"/>
      <c r="AC179" s="60"/>
      <c r="AD179" s="12"/>
    </row>
    <row r="180" spans="1:30" s="17" customFormat="1" ht="15.5" hidden="1" outlineLevel="1" collapsed="1" x14ac:dyDescent="0.35">
      <c r="A180" s="93" t="s">
        <v>100</v>
      </c>
      <c r="B180" s="21"/>
      <c r="C180" s="84"/>
      <c r="D180" s="84"/>
      <c r="E180" s="84"/>
      <c r="F180" s="83"/>
      <c r="G180" s="32"/>
      <c r="H180" s="32"/>
      <c r="I180" s="32"/>
      <c r="J180" s="32"/>
      <c r="K180" s="32"/>
      <c r="L180" s="20">
        <f ca="1">LOOKUP(1000,INDIRECT("L1:"&amp;CELL("address",INDIRECT("R[-1]C",FALSE))))+1</f>
        <v>4</v>
      </c>
      <c r="M180" s="301" t="s">
        <v>521</v>
      </c>
      <c r="N180" s="301"/>
      <c r="O180" s="5"/>
      <c r="P180" s="33"/>
      <c r="Q180" s="33"/>
      <c r="R180" s="33"/>
      <c r="S180" s="33"/>
      <c r="T180" s="167">
        <f>IF($S$6="Exclude", SUMIFS(S181:S186, J181:J186, "&lt;&gt;Yes", G181:G186, "&lt;&gt;Yes"), SUMIFS(S181:S186, J181:J186, "&lt;&gt;Yes"))</f>
        <v>0</v>
      </c>
      <c r="U180" s="33"/>
      <c r="V180" s="33"/>
      <c r="W180" s="33"/>
      <c r="X180" s="34"/>
      <c r="Y180" s="35"/>
      <c r="Z180" s="35"/>
      <c r="AA180" s="35"/>
      <c r="AB180" s="240"/>
      <c r="AC180" s="36"/>
      <c r="AD180" s="26" t="str">
        <f>IF(M180="", "Error: Task name cannot be empty.", "")</f>
        <v/>
      </c>
    </row>
    <row r="181" spans="1:30" s="15" customFormat="1" ht="1.5" hidden="1" customHeight="1" outlineLevel="2" x14ac:dyDescent="0.35">
      <c r="A181" s="93" t="s">
        <v>101</v>
      </c>
      <c r="B181" s="21"/>
      <c r="C181" s="84"/>
      <c r="D181" s="84"/>
      <c r="E181" s="84"/>
      <c r="F181" s="83"/>
      <c r="G181" s="32"/>
      <c r="H181" s="32"/>
      <c r="I181" s="32"/>
      <c r="J181" s="32"/>
      <c r="K181" s="32"/>
      <c r="L181" s="175">
        <f ca="1">L180</f>
        <v>4</v>
      </c>
      <c r="M181" s="176" t="s">
        <v>105</v>
      </c>
      <c r="N181" s="173"/>
      <c r="O181" s="174"/>
      <c r="P181" s="33"/>
      <c r="Q181" s="33"/>
      <c r="R181" s="33"/>
      <c r="S181" s="33"/>
      <c r="T181" s="167"/>
      <c r="U181" s="33"/>
      <c r="V181" s="33"/>
      <c r="W181" s="33"/>
      <c r="X181" s="34"/>
      <c r="Y181" s="35"/>
      <c r="Z181" s="35"/>
      <c r="AA181" s="35"/>
      <c r="AB181" s="36"/>
      <c r="AC181" s="36"/>
      <c r="AD181" s="26"/>
    </row>
    <row r="182" spans="1:30" ht="43.5" hidden="1" outlineLevel="2" x14ac:dyDescent="0.35">
      <c r="A182" s="93" t="s">
        <v>0</v>
      </c>
      <c r="B182" s="21"/>
      <c r="C182" s="85"/>
      <c r="D182" s="85"/>
      <c r="E182" s="85"/>
      <c r="F182" s="86"/>
      <c r="G182" s="22" t="s">
        <v>23</v>
      </c>
      <c r="H182" s="22" t="s">
        <v>23</v>
      </c>
      <c r="I182" s="23" t="s">
        <v>23</v>
      </c>
      <c r="J182" s="22" t="s">
        <v>23</v>
      </c>
      <c r="K182" s="38"/>
      <c r="L182" s="22"/>
      <c r="M182" s="286" t="str">
        <f ca="1">IFERROR(OFFSET(M182,-1,,1,1)+0.1,OFFSET(M182,-1,-1,1,1)&amp;".1")</f>
        <v>4.1</v>
      </c>
      <c r="N182" s="23" t="s">
        <v>522</v>
      </c>
      <c r="O182" s="23"/>
      <c r="P182" s="23"/>
      <c r="Q182" s="144"/>
      <c r="R182" s="137"/>
      <c r="S182" s="169">
        <f>CEILING((IF(J182="Yes", 0, IF(H182="-",AA182,AA182+AA182*VLOOKUP(H182,BUFFERS_BY_TYPE,2,FALSE)))) +
   (IF(J182="Yes", 0, IF(H182="-",AA182,AA182+AA182*VLOOKUP(H182,BUFFERS_BY_TYPE,2,FALSE))))*VLOOKUP($S$5, SALES_CALL_SCALE_ARRAY, 2,FALSE),0.25)</f>
        <v>0</v>
      </c>
      <c r="T182" s="170"/>
      <c r="U182" s="24">
        <v>0</v>
      </c>
      <c r="V182" s="24">
        <v>1</v>
      </c>
      <c r="W182" s="24">
        <v>0</v>
      </c>
      <c r="X182" s="168"/>
      <c r="Y182" s="169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>0</v>
      </c>
      <c r="Z182" s="25"/>
      <c r="AA182" s="169">
        <f>Y182+Y182*VLOOKUP(I182,EXTRAS_ARRAY,2,FALSE)</f>
        <v>0</v>
      </c>
      <c r="AB182" s="23"/>
      <c r="AC182" s="37"/>
      <c r="AD182" s="26" t="str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>Error: Effort value is not defined or is invalid.</v>
      </c>
    </row>
    <row r="183" spans="1:30" ht="43.5" hidden="1" outlineLevel="2" x14ac:dyDescent="0.35">
      <c r="A183" s="93" t="s">
        <v>0</v>
      </c>
      <c r="B183" s="21"/>
      <c r="C183" s="85"/>
      <c r="D183" s="85"/>
      <c r="E183" s="85"/>
      <c r="F183" s="86"/>
      <c r="G183" s="22" t="s">
        <v>23</v>
      </c>
      <c r="H183" s="22" t="s">
        <v>23</v>
      </c>
      <c r="I183" s="23" t="s">
        <v>23</v>
      </c>
      <c r="J183" s="22" t="s">
        <v>23</v>
      </c>
      <c r="K183" s="38"/>
      <c r="L183" s="22"/>
      <c r="M183" s="286">
        <f ca="1">IFERROR(OFFSET(M183,-1,,1,1)+0.1,OFFSET(M183,-1,-1,1,1)&amp;".1")</f>
        <v>4.1999999999999993</v>
      </c>
      <c r="N183" s="23" t="s">
        <v>523</v>
      </c>
      <c r="O183" s="23"/>
      <c r="P183" s="23"/>
      <c r="Q183" s="144"/>
      <c r="R183" s="137"/>
      <c r="S183" s="169">
        <f>CEILING((IF(J183="Yes", 0, IF(H183="-",AA183,AA183+AA183*VLOOKUP(H183,BUFFERS_BY_TYPE,2,FALSE)))) +
   (IF(J183="Yes", 0, IF(H183="-",AA183,AA183+AA183*VLOOKUP(H183,BUFFERS_BY_TYPE,2,FALSE))))*VLOOKUP($S$5, SALES_CALL_SCALE_ARRAY, 2,FALSE),0.25)</f>
        <v>0</v>
      </c>
      <c r="T183" s="170"/>
      <c r="U183" s="24">
        <v>0</v>
      </c>
      <c r="V183" s="24">
        <v>1</v>
      </c>
      <c r="W183" s="24">
        <v>0</v>
      </c>
      <c r="X183" s="168"/>
      <c r="Y183" s="169">
        <f>CEILING((IF(P183=AS_DEV_EFFORT, DEV_EFFORT*Q183%,
                           IF(P183=AS_DURATION_EFFORT, (MANUAL_DURATION*5)*Q183%,
                                    (IF(Q183&lt;=1,X183,
                                          IF(SUM(U183:W183)=0,(Q183*X183),
                                               (((Q183*U183)*(X183+(X183*EXTRA_FOR_H)))+
                                               ((Q183*V183)*X183)+
                                               ((Q183*W183)*(X183-(X183*LESS_FOR_L)))
                                    )*IF(R183=0,1,R183))))))+Z183), 0.25)</f>
        <v>0</v>
      </c>
      <c r="Z183" s="25"/>
      <c r="AA183" s="169">
        <f>Y183+Y183*VLOOKUP(I183,EXTRAS_ARRAY,2,FALSE)</f>
        <v>0</v>
      </c>
      <c r="AB183" s="23"/>
      <c r="AC183" s="37"/>
      <c r="AD183" s="26" t="str">
        <f>IF(J183&lt;&gt;"Yes",
IF(S183&lt;=0,"Error: Effort value is not defined or is invalid.",
IF(AND(SUM(U183:W183)&gt;0,SUM(U183:W183)&lt;&gt;1),"Error: Complexity % distribution should sum to 100%.",
IF(AND(P183=AS_DEV_EFFORT,X183&lt;&gt;0),"Error: PDs should not be defined when defining as dev effort %.",
IF(AND(P183=AS_DURATION_EFFORT,X183&lt;&gt;0),"Error: PDs should not be defined when defining as duration effort %.","")))))</f>
        <v>Error: Effort value is not defined or is invalid.</v>
      </c>
    </row>
    <row r="184" spans="1:30" ht="43.5" hidden="1" outlineLevel="2" x14ac:dyDescent="0.35">
      <c r="A184" s="93" t="s">
        <v>0</v>
      </c>
      <c r="B184" s="21"/>
      <c r="C184" s="85"/>
      <c r="D184" s="85"/>
      <c r="E184" s="85"/>
      <c r="F184" s="86"/>
      <c r="G184" s="22" t="s">
        <v>23</v>
      </c>
      <c r="H184" s="22" t="s">
        <v>23</v>
      </c>
      <c r="I184" s="23" t="s">
        <v>23</v>
      </c>
      <c r="J184" s="22" t="s">
        <v>23</v>
      </c>
      <c r="K184" s="38"/>
      <c r="L184" s="22"/>
      <c r="M184" s="286">
        <f ca="1">IFERROR(OFFSET(M184,-1,,1,1)+0.1,OFFSET(M184,-1,-1,1,1)&amp;".1")</f>
        <v>4.2999999999999989</v>
      </c>
      <c r="N184" s="23" t="s">
        <v>524</v>
      </c>
      <c r="O184" s="23"/>
      <c r="P184" s="23"/>
      <c r="Q184" s="144"/>
      <c r="R184" s="137"/>
      <c r="S184" s="169">
        <f>CEILING((IF(J184="Yes", 0, IF(H184="-",AA184,AA184+AA184*VLOOKUP(H184,BUFFERS_BY_TYPE,2,FALSE)))) +
   (IF(J184="Yes", 0, IF(H184="-",AA184,AA184+AA184*VLOOKUP(H184,BUFFERS_BY_TYPE,2,FALSE))))*VLOOKUP($S$5, SALES_CALL_SCALE_ARRAY, 2,FALSE),0.25)</f>
        <v>0</v>
      </c>
      <c r="T184" s="170"/>
      <c r="U184" s="24">
        <v>0</v>
      </c>
      <c r="V184" s="24">
        <v>1</v>
      </c>
      <c r="W184" s="24">
        <v>0</v>
      </c>
      <c r="X184" s="168"/>
      <c r="Y184" s="169">
        <f>CEILING((IF(P184=AS_DEV_EFFORT, DEV_EFFORT*Q184%,
                           IF(P184=AS_DURATION_EFFORT, (MANUAL_DURATION*5)*Q184%,
                                    (IF(Q184&lt;=1,X184,
                                          IF(SUM(U184:W184)=0,(Q184*X184),
                                               (((Q184*U184)*(X184+(X184*EXTRA_FOR_H)))+
                                               ((Q184*V184)*X184)+
                                               ((Q184*W184)*(X184-(X184*LESS_FOR_L)))
                                    )*IF(R184=0,1,R184))))))+Z184), 0.25)</f>
        <v>0</v>
      </c>
      <c r="Z184" s="25"/>
      <c r="AA184" s="169">
        <f>Y184+Y184*VLOOKUP(I184,EXTRAS_ARRAY,2,FALSE)</f>
        <v>0</v>
      </c>
      <c r="AB184" s="23"/>
      <c r="AC184" s="37"/>
      <c r="AD184" s="26" t="str">
        <f>IF(J184&lt;&gt;"Yes",
IF(S184&lt;=0,"Error: Effort value is not defined or is invalid.",
IF(AND(SUM(U184:W184)&gt;0,SUM(U184:W184)&lt;&gt;1),"Error: Complexity % distribution should sum to 100%.",
IF(AND(P184=AS_DEV_EFFORT,X184&lt;&gt;0),"Error: PDs should not be defined when defining as dev effort %.",
IF(AND(P184=AS_DURATION_EFFORT,X184&lt;&gt;0),"Error: PDs should not be defined when defining as duration effort %.","")))))</f>
        <v>Error: Effort value is not defined or is invalid.</v>
      </c>
    </row>
    <row r="185" spans="1:30" ht="43.5" hidden="1" outlineLevel="2" x14ac:dyDescent="0.35">
      <c r="A185" s="93" t="s">
        <v>0</v>
      </c>
      <c r="B185" s="21"/>
      <c r="C185" s="85"/>
      <c r="D185" s="85"/>
      <c r="E185" s="85"/>
      <c r="F185" s="86"/>
      <c r="G185" s="22" t="s">
        <v>23</v>
      </c>
      <c r="H185" s="22" t="s">
        <v>23</v>
      </c>
      <c r="I185" s="23" t="s">
        <v>23</v>
      </c>
      <c r="J185" s="22" t="s">
        <v>23</v>
      </c>
      <c r="K185" s="38"/>
      <c r="L185" s="22"/>
      <c r="M185" s="286">
        <f ca="1">IFERROR(OFFSET(M185,-1,,1,1)+0.1,OFFSET(M185,-1,-1,1,1)&amp;".1")</f>
        <v>4.3999999999999986</v>
      </c>
      <c r="N185" s="23" t="s">
        <v>525</v>
      </c>
      <c r="O185" s="23"/>
      <c r="P185" s="23"/>
      <c r="Q185" s="144"/>
      <c r="R185" s="137"/>
      <c r="S185" s="169">
        <f>CEILING((IF(J185="Yes", 0, IF(H185="-",AA185,AA185+AA185*VLOOKUP(H185,BUFFERS_BY_TYPE,2,FALSE)))) +
   (IF(J185="Yes", 0, IF(H185="-",AA185,AA185+AA185*VLOOKUP(H185,BUFFERS_BY_TYPE,2,FALSE))))*VLOOKUP($S$5, SALES_CALL_SCALE_ARRAY, 2,FALSE),0.25)</f>
        <v>0</v>
      </c>
      <c r="T185" s="170"/>
      <c r="U185" s="24">
        <v>0</v>
      </c>
      <c r="V185" s="24">
        <v>1</v>
      </c>
      <c r="W185" s="24">
        <v>0</v>
      </c>
      <c r="X185" s="168"/>
      <c r="Y185" s="169">
        <f>CEILING((IF(P185=AS_DEV_EFFORT, DEV_EFFORT*Q185%,
                           IF(P185=AS_DURATION_EFFORT, (MANUAL_DURATION*5)*Q185%,
                                    (IF(Q185&lt;=1,X185,
                                          IF(SUM(U185:W185)=0,(Q185*X185),
                                               (((Q185*U185)*(X185+(X185*EXTRA_FOR_H)))+
                                               ((Q185*V185)*X185)+
                                               ((Q185*W185)*(X185-(X185*LESS_FOR_L)))
                                    )*IF(R185=0,1,R185))))))+Z185), 0.25)</f>
        <v>0</v>
      </c>
      <c r="Z185" s="25"/>
      <c r="AA185" s="169">
        <f>Y185+Y185*VLOOKUP(I185,EXTRAS_ARRAY,2,FALSE)</f>
        <v>0</v>
      </c>
      <c r="AB185" s="23"/>
      <c r="AC185" s="37"/>
      <c r="AD185" s="26" t="str">
        <f>IF(J185&lt;&gt;"Yes",
IF(S185&lt;=0,"Error: Effort value is not defined or is invalid.",
IF(AND(SUM(U185:W185)&gt;0,SUM(U185:W185)&lt;&gt;1),"Error: Complexity % distribution should sum to 100%.",
IF(AND(P185=AS_DEV_EFFORT,X185&lt;&gt;0),"Error: PDs should not be defined when defining as dev effort %.",
IF(AND(P185=AS_DURATION_EFFORT,X185&lt;&gt;0),"Error: PDs should not be defined when defining as duration effort %.","")))))</f>
        <v>Error: Effort value is not defined or is invalid.</v>
      </c>
    </row>
    <row r="186" spans="1:30" s="11" customFormat="1" ht="7.5" hidden="1" customHeight="1" outlineLevel="2" x14ac:dyDescent="0.35">
      <c r="A186" s="93" t="s">
        <v>132</v>
      </c>
      <c r="B186" s="18"/>
      <c r="C186" s="78"/>
      <c r="D186" s="78"/>
      <c r="E186" s="78"/>
      <c r="F186" s="78"/>
      <c r="G186" s="10"/>
      <c r="H186" s="10"/>
      <c r="I186" s="10"/>
      <c r="J186" s="10"/>
      <c r="K186" s="10"/>
      <c r="L186" s="10"/>
      <c r="M186" s="287"/>
      <c r="N186" s="10"/>
      <c r="O186" s="10"/>
      <c r="P186" s="10"/>
      <c r="Q186" s="10"/>
      <c r="R186" s="10"/>
      <c r="S186" s="10"/>
      <c r="T186" s="18"/>
      <c r="U186" s="10"/>
      <c r="V186" s="10"/>
      <c r="W186" s="10"/>
      <c r="X186" s="18"/>
      <c r="Y186" s="10"/>
      <c r="Z186" s="10"/>
      <c r="AA186" s="10"/>
      <c r="AB186" s="60"/>
      <c r="AC186" s="60"/>
      <c r="AD186" s="12"/>
    </row>
    <row r="187" spans="1:30" s="11" customFormat="1" ht="3" hidden="1" customHeight="1" outlineLevel="1" x14ac:dyDescent="0.35">
      <c r="A187" s="93" t="s">
        <v>102</v>
      </c>
      <c r="B187" s="10"/>
      <c r="C187" s="78"/>
      <c r="D187" s="78"/>
      <c r="E187" s="78"/>
      <c r="F187" s="78"/>
      <c r="G187" s="59"/>
      <c r="H187" s="59"/>
      <c r="I187" s="59"/>
      <c r="J187" s="59"/>
      <c r="K187" s="59"/>
      <c r="L187" s="61"/>
      <c r="M187" s="288"/>
      <c r="N187" s="62"/>
      <c r="O187" s="62"/>
      <c r="P187" s="61"/>
      <c r="Q187" s="61"/>
      <c r="R187" s="61"/>
      <c r="S187" s="61"/>
      <c r="T187" s="61"/>
      <c r="U187" s="61"/>
      <c r="V187" s="61"/>
      <c r="W187" s="61"/>
      <c r="X187" s="61"/>
      <c r="Y187" s="61"/>
      <c r="Z187" s="61"/>
      <c r="AA187" s="61"/>
      <c r="AB187" s="62"/>
      <c r="AC187" s="62"/>
      <c r="AD187" s="12"/>
    </row>
    <row r="188" spans="1:30" s="17" customFormat="1" ht="18.5" collapsed="1" x14ac:dyDescent="0.35">
      <c r="A188" s="93" t="s">
        <v>98</v>
      </c>
      <c r="B188" s="14"/>
      <c r="C188" s="79"/>
      <c r="D188" s="79"/>
      <c r="E188" s="79"/>
      <c r="F188" s="78"/>
      <c r="G188" s="55"/>
      <c r="H188" s="55"/>
      <c r="I188" s="55"/>
      <c r="J188" s="55"/>
      <c r="K188" s="55"/>
      <c r="L188" s="55" t="s">
        <v>83</v>
      </c>
      <c r="M188" s="284" t="s">
        <v>76</v>
      </c>
      <c r="N188" s="56"/>
      <c r="O188" s="57"/>
      <c r="P188" s="58"/>
      <c r="Q188" s="58"/>
      <c r="R188" s="58"/>
      <c r="S188" s="334">
        <f>CEILING(SUMIF(J189:J194, "&lt;&gt;Yes", T189:T194),1)</f>
        <v>46</v>
      </c>
      <c r="T188" s="334"/>
      <c r="U188" s="58"/>
      <c r="V188" s="58"/>
      <c r="W188" s="58"/>
      <c r="X188" s="58"/>
      <c r="Y188" s="58"/>
      <c r="Z188" s="58"/>
      <c r="AA188" s="58"/>
      <c r="AB188" s="58"/>
      <c r="AC188" s="58"/>
      <c r="AD188" s="16"/>
    </row>
    <row r="189" spans="1:30" s="11" customFormat="1" ht="3" hidden="1" customHeight="1" outlineLevel="1" x14ac:dyDescent="0.35">
      <c r="A189" s="93" t="s">
        <v>99</v>
      </c>
      <c r="B189" s="18"/>
      <c r="C189" s="78"/>
      <c r="D189" s="78"/>
      <c r="E189" s="78"/>
      <c r="F189" s="78"/>
      <c r="G189" s="28"/>
      <c r="H189" s="28"/>
      <c r="I189" s="28"/>
      <c r="J189" s="28"/>
      <c r="K189" s="28"/>
      <c r="L189" s="29">
        <v>0</v>
      </c>
      <c r="M189" s="285"/>
      <c r="N189" s="28"/>
      <c r="O189" s="28"/>
      <c r="P189" s="28"/>
      <c r="Q189" s="28"/>
      <c r="R189" s="28"/>
      <c r="S189" s="28"/>
      <c r="T189" s="30"/>
      <c r="U189" s="28"/>
      <c r="V189" s="28"/>
      <c r="W189" s="28"/>
      <c r="X189" s="30"/>
      <c r="Y189" s="28"/>
      <c r="Z189" s="28"/>
      <c r="AA189" s="28"/>
      <c r="AB189" s="31"/>
      <c r="AC189" s="31"/>
      <c r="AD189" s="12"/>
    </row>
    <row r="190" spans="1:30" s="17" customFormat="1" ht="15.5" hidden="1" outlineLevel="1" collapsed="1" x14ac:dyDescent="0.35">
      <c r="A190" s="93" t="s">
        <v>100</v>
      </c>
      <c r="B190" s="21"/>
      <c r="C190" s="84"/>
      <c r="D190" s="84"/>
      <c r="E190" s="84"/>
      <c r="F190" s="83"/>
      <c r="G190" s="32"/>
      <c r="H190" s="32"/>
      <c r="I190" s="32"/>
      <c r="J190" s="32"/>
      <c r="K190" s="32"/>
      <c r="L190" s="20">
        <f ca="1">LOOKUP(1000,INDIRECT("L1:"&amp;CELL("address",INDIRECT("R[-1]C",FALSE))))+1</f>
        <v>1</v>
      </c>
      <c r="M190" s="301" t="s">
        <v>534</v>
      </c>
      <c r="N190" s="301"/>
      <c r="O190" s="5"/>
      <c r="P190" s="33"/>
      <c r="Q190" s="33"/>
      <c r="R190" s="33"/>
      <c r="S190" s="33"/>
      <c r="T190" s="167">
        <f>IF($S$6="Exclude", SUMIFS(S191:S193, J191:J193, "&lt;&gt;Yes", G191:G193, "&lt;&gt;Yes"), SUMIFS(S191:S193, J191:J193, "&lt;&gt;Yes"))</f>
        <v>46</v>
      </c>
      <c r="U190" s="33"/>
      <c r="V190" s="33"/>
      <c r="W190" s="33"/>
      <c r="X190" s="34"/>
      <c r="Y190" s="35"/>
      <c r="Z190" s="35"/>
      <c r="AA190" s="35"/>
      <c r="AB190" s="240"/>
      <c r="AC190" s="36"/>
      <c r="AD190" s="26" t="str">
        <f>IF(M190="", "Error: Task name cannot be empty.", "")</f>
        <v/>
      </c>
    </row>
    <row r="191" spans="1:30" s="15" customFormat="1" ht="1.5" hidden="1" customHeight="1" outlineLevel="2" x14ac:dyDescent="0.35">
      <c r="A191" s="93" t="s">
        <v>101</v>
      </c>
      <c r="B191" s="21"/>
      <c r="C191" s="84"/>
      <c r="D191" s="84"/>
      <c r="E191" s="84"/>
      <c r="F191" s="83"/>
      <c r="G191" s="32"/>
      <c r="H191" s="32"/>
      <c r="I191" s="32"/>
      <c r="J191" s="32"/>
      <c r="K191" s="32"/>
      <c r="L191" s="175">
        <f ca="1">L190</f>
        <v>1</v>
      </c>
      <c r="M191" s="176" t="s">
        <v>105</v>
      </c>
      <c r="N191" s="173"/>
      <c r="O191" s="174"/>
      <c r="P191" s="33"/>
      <c r="Q191" s="33"/>
      <c r="R191" s="33"/>
      <c r="S191" s="33"/>
      <c r="T191" s="167"/>
      <c r="U191" s="33"/>
      <c r="V191" s="33"/>
      <c r="W191" s="33"/>
      <c r="X191" s="34"/>
      <c r="Y191" s="35"/>
      <c r="Z191" s="35"/>
      <c r="AA191" s="35"/>
      <c r="AB191" s="36"/>
      <c r="AC191" s="36"/>
      <c r="AD191" s="26"/>
    </row>
    <row r="192" spans="1:30" ht="15.5" hidden="1" outlineLevel="2" x14ac:dyDescent="0.35">
      <c r="A192" s="93" t="s">
        <v>0</v>
      </c>
      <c r="B192" s="21"/>
      <c r="C192" s="85"/>
      <c r="D192" s="85"/>
      <c r="E192" s="85"/>
      <c r="F192" s="86"/>
      <c r="G192" s="22" t="s">
        <v>23</v>
      </c>
      <c r="H192" s="22" t="s">
        <v>23</v>
      </c>
      <c r="I192" s="23" t="s">
        <v>23</v>
      </c>
      <c r="J192" s="22" t="s">
        <v>23</v>
      </c>
      <c r="K192" s="38"/>
      <c r="L192" s="22"/>
      <c r="M192" s="286" t="str">
        <f ca="1">IFERROR(OFFSET(M192,-1,,1,1)+0.1,OFFSET(M192,-1,-1,1,1)&amp;".1")</f>
        <v>1.1</v>
      </c>
      <c r="N192" s="23" t="s">
        <v>535</v>
      </c>
      <c r="O192" s="23" t="s">
        <v>536</v>
      </c>
      <c r="P192" s="274">
        <v>0.1</v>
      </c>
      <c r="Q192" s="144"/>
      <c r="R192" s="137"/>
      <c r="S192" s="169">
        <f>CEILING((IF(J192="Yes", 0, IF(H192="-",AA192,AA192+AA192*VLOOKUP(H192,BUFFERS_BY_TYPE,2,FALSE)))) +
   (IF(J192="Yes", 0, IF(H192="-",AA192,AA192+AA192*VLOOKUP(H192,BUFFERS_BY_TYPE,2,FALSE))))*VLOOKUP($S$5, SALES_CALL_SCALE_ARRAY, 2,FALSE),0.25)</f>
        <v>46</v>
      </c>
      <c r="T192" s="170"/>
      <c r="U192" s="24">
        <v>0</v>
      </c>
      <c r="V192" s="24">
        <v>1</v>
      </c>
      <c r="W192" s="24">
        <v>0</v>
      </c>
      <c r="X192" s="168">
        <f>(REQ_EFFORT+DESIGN_EFFORT+DEV_EFFORT+QA_EFFORT+UAT_EFFORT) * P192</f>
        <v>46</v>
      </c>
      <c r="Y192" s="169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>46</v>
      </c>
      <c r="Z192" s="25"/>
      <c r="AA192" s="169">
        <f>Y192+Y192*VLOOKUP(I192,EXTRAS_ARRAY,2,FALSE)</f>
        <v>46</v>
      </c>
      <c r="AB192" s="23"/>
      <c r="AC192" s="37"/>
      <c r="AD192" s="26" t="str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spans="1:30" s="11" customFormat="1" ht="7.5" hidden="1" customHeight="1" outlineLevel="2" x14ac:dyDescent="0.35">
      <c r="A193" s="93" t="s">
        <v>132</v>
      </c>
      <c r="B193" s="18"/>
      <c r="C193" s="78"/>
      <c r="D193" s="78"/>
      <c r="E193" s="78"/>
      <c r="F193" s="78"/>
      <c r="G193" s="10"/>
      <c r="H193" s="10"/>
      <c r="I193" s="10"/>
      <c r="J193" s="10"/>
      <c r="K193" s="10"/>
      <c r="L193" s="10"/>
      <c r="M193" s="287"/>
      <c r="N193" s="10"/>
      <c r="O193" s="10"/>
      <c r="P193" s="10"/>
      <c r="Q193" s="10"/>
      <c r="R193" s="10"/>
      <c r="S193" s="10"/>
      <c r="T193" s="18"/>
      <c r="U193" s="10"/>
      <c r="V193" s="10"/>
      <c r="W193" s="10"/>
      <c r="X193" s="18"/>
      <c r="Y193" s="10"/>
      <c r="Z193" s="10"/>
      <c r="AA193" s="10"/>
      <c r="AB193" s="60"/>
      <c r="AC193" s="60"/>
      <c r="AD193" s="12"/>
    </row>
    <row r="194" spans="1:30" s="11" customFormat="1" ht="3" hidden="1" customHeight="1" outlineLevel="1" x14ac:dyDescent="0.35">
      <c r="A194" s="93" t="s">
        <v>102</v>
      </c>
      <c r="B194" s="10"/>
      <c r="C194" s="78"/>
      <c r="D194" s="78"/>
      <c r="E194" s="78"/>
      <c r="F194" s="78"/>
      <c r="G194" s="59"/>
      <c r="H194" s="59"/>
      <c r="I194" s="59"/>
      <c r="J194" s="59"/>
      <c r="K194" s="59"/>
      <c r="L194" s="61"/>
      <c r="M194" s="288"/>
      <c r="N194" s="62"/>
      <c r="O194" s="62"/>
      <c r="P194" s="61"/>
      <c r="Q194" s="61"/>
      <c r="R194" s="61"/>
      <c r="S194" s="61"/>
      <c r="T194" s="61"/>
      <c r="U194" s="61"/>
      <c r="V194" s="61"/>
      <c r="W194" s="61"/>
      <c r="X194" s="61"/>
      <c r="Y194" s="61"/>
      <c r="Z194" s="61"/>
      <c r="AA194" s="61"/>
      <c r="AB194" s="62"/>
      <c r="AC194" s="62"/>
      <c r="AD194" s="12"/>
    </row>
    <row r="195" spans="1:30" s="11" customFormat="1" ht="20.25" customHeight="1" x14ac:dyDescent="0.35">
      <c r="A195" s="93" t="s">
        <v>103</v>
      </c>
      <c r="B195" s="10"/>
      <c r="C195" s="78"/>
      <c r="D195" s="78"/>
      <c r="E195" s="78"/>
      <c r="F195" s="78"/>
      <c r="G195" s="43"/>
      <c r="H195" s="43"/>
      <c r="I195" s="43"/>
      <c r="J195" s="43"/>
      <c r="K195" s="43"/>
      <c r="L195" s="146"/>
      <c r="M195" s="281"/>
      <c r="N195" s="43"/>
      <c r="O195" s="43"/>
      <c r="P195" s="43"/>
      <c r="Q195" s="43"/>
      <c r="R195" s="43"/>
      <c r="S195" s="335">
        <f>TOTAL_EFFORT</f>
        <v>506</v>
      </c>
      <c r="T195" s="335"/>
      <c r="U195" s="43"/>
      <c r="V195" s="43"/>
      <c r="W195" s="43"/>
      <c r="X195" s="43"/>
      <c r="Y195" s="43"/>
      <c r="Z195" s="43"/>
      <c r="AA195" s="43"/>
      <c r="AB195" s="145"/>
      <c r="AC195" s="43"/>
      <c r="AD195" s="12"/>
    </row>
    <row r="196" spans="1:30" s="11" customFormat="1" x14ac:dyDescent="0.35">
      <c r="A196" s="93"/>
      <c r="B196" s="10"/>
      <c r="C196" s="80"/>
      <c r="D196" s="80"/>
      <c r="E196" s="80"/>
      <c r="F196" s="78"/>
      <c r="M196" s="275"/>
      <c r="N196" s="12"/>
      <c r="O196" s="12"/>
      <c r="AB196" s="12"/>
      <c r="AC196" s="12"/>
      <c r="AD196" s="12"/>
    </row>
    <row r="197" spans="1:30" s="11" customFormat="1" ht="20.25" customHeight="1" collapsed="1" x14ac:dyDescent="0.35">
      <c r="A197" s="93"/>
      <c r="B197" s="10"/>
      <c r="C197" s="78"/>
      <c r="D197" s="78"/>
      <c r="E197" s="78"/>
      <c r="F197" s="78"/>
      <c r="G197" s="324" t="s">
        <v>48</v>
      </c>
      <c r="H197" s="324"/>
      <c r="I197" s="200"/>
      <c r="J197" s="43"/>
      <c r="K197" s="43"/>
      <c r="L197" s="39"/>
      <c r="M197" s="289" t="s">
        <v>154</v>
      </c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12"/>
    </row>
    <row r="198" spans="1:30" s="11" customFormat="1" hidden="1" outlineLevel="1" x14ac:dyDescent="0.35">
      <c r="A198" s="93"/>
      <c r="B198" s="10"/>
      <c r="C198" s="80"/>
      <c r="D198" s="80"/>
      <c r="E198" s="80"/>
      <c r="F198" s="78"/>
      <c r="G198" s="28"/>
      <c r="H198" s="28"/>
      <c r="I198" s="28"/>
      <c r="J198" s="28"/>
      <c r="K198" s="28"/>
      <c r="L198" s="28"/>
      <c r="M198" s="285"/>
      <c r="N198" s="31"/>
      <c r="O198" s="31"/>
      <c r="P198" s="28"/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31"/>
      <c r="AC198" s="31"/>
      <c r="AD198" s="12"/>
    </row>
    <row r="199" spans="1:30" s="11" customFormat="1" ht="15" hidden="1" customHeight="1" outlineLevel="1" x14ac:dyDescent="0.35">
      <c r="A199" s="93"/>
      <c r="B199" s="10"/>
      <c r="C199" s="80"/>
      <c r="D199" s="80"/>
      <c r="E199" s="80"/>
      <c r="F199" s="78"/>
      <c r="G199" s="28"/>
      <c r="H199" s="28"/>
      <c r="I199" s="28"/>
      <c r="J199" s="28"/>
      <c r="K199" s="28"/>
      <c r="L199" s="28"/>
      <c r="M199" s="307" t="s">
        <v>454</v>
      </c>
      <c r="N199" s="307"/>
      <c r="O199" s="307"/>
      <c r="P199" s="307"/>
      <c r="Q199" s="307"/>
      <c r="R199" s="307"/>
      <c r="S199" s="307"/>
      <c r="T199" s="307"/>
      <c r="U199" s="31"/>
      <c r="V199" s="31"/>
      <c r="W199" s="31"/>
      <c r="X199" s="28"/>
      <c r="Y199" s="28"/>
      <c r="Z199" s="28"/>
      <c r="AA199" s="28"/>
      <c r="AB199" s="31"/>
      <c r="AC199" s="31"/>
      <c r="AD199" s="12"/>
    </row>
    <row r="200" spans="1:30" s="11" customFormat="1" hidden="1" outlineLevel="1" x14ac:dyDescent="0.35">
      <c r="A200" s="93"/>
      <c r="B200" s="10"/>
      <c r="C200" s="80"/>
      <c r="D200" s="80"/>
      <c r="E200" s="80"/>
      <c r="F200" s="78"/>
      <c r="G200" s="28"/>
      <c r="H200" s="28"/>
      <c r="I200" s="28"/>
      <c r="J200" s="28"/>
      <c r="K200" s="28"/>
      <c r="L200" s="28"/>
      <c r="M200" s="307"/>
      <c r="N200" s="307"/>
      <c r="O200" s="307"/>
      <c r="P200" s="307"/>
      <c r="Q200" s="307"/>
      <c r="R200" s="307"/>
      <c r="S200" s="307"/>
      <c r="T200" s="307"/>
      <c r="U200" s="31"/>
      <c r="V200" s="31"/>
      <c r="W200" s="31"/>
      <c r="X200" s="28"/>
      <c r="Y200" s="28"/>
      <c r="Z200" s="28"/>
      <c r="AA200" s="28"/>
      <c r="AB200" s="31"/>
      <c r="AC200" s="31"/>
      <c r="AD200" s="12"/>
    </row>
    <row r="201" spans="1:30" s="11" customFormat="1" ht="3.75" hidden="1" customHeight="1" outlineLevel="1" x14ac:dyDescent="0.35">
      <c r="A201" s="93"/>
      <c r="B201" s="10"/>
      <c r="C201" s="80"/>
      <c r="D201" s="80"/>
      <c r="E201" s="80"/>
      <c r="F201" s="78"/>
      <c r="G201" s="28"/>
      <c r="H201" s="28"/>
      <c r="I201" s="28"/>
      <c r="J201" s="28"/>
      <c r="K201" s="28"/>
      <c r="L201" s="28"/>
      <c r="M201" s="285"/>
      <c r="N201" s="31"/>
      <c r="O201" s="31"/>
      <c r="P201" s="28"/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31"/>
      <c r="AC201" s="31"/>
      <c r="AD201" s="12"/>
    </row>
    <row r="202" spans="1:30" s="11" customFormat="1" ht="15.5" hidden="1" outlineLevel="1" x14ac:dyDescent="0.35">
      <c r="A202" s="93"/>
      <c r="B202" s="10"/>
      <c r="C202" s="80"/>
      <c r="D202" s="80"/>
      <c r="E202" s="80"/>
      <c r="F202" s="78"/>
      <c r="G202" s="28"/>
      <c r="H202" s="28"/>
      <c r="I202" s="28"/>
      <c r="J202" s="28"/>
      <c r="K202" s="28"/>
      <c r="L202" s="28"/>
      <c r="M202" s="290" t="s">
        <v>153</v>
      </c>
      <c r="N202" s="203" t="s">
        <v>3</v>
      </c>
      <c r="O202" s="207" t="s">
        <v>59</v>
      </c>
      <c r="P202" s="206" t="str">
        <f>"Cost ("&amp;CHOSEN_CURRENCY&amp;")"</f>
        <v>Cost (-)</v>
      </c>
      <c r="Q202" s="28"/>
      <c r="R202" s="242" t="s">
        <v>441</v>
      </c>
      <c r="S202" s="63" t="s">
        <v>453</v>
      </c>
      <c r="T202" s="253" t="s">
        <v>455</v>
      </c>
      <c r="U202" s="241"/>
      <c r="V202" s="241"/>
      <c r="W202" s="28"/>
      <c r="X202" s="241"/>
      <c r="Y202" s="28"/>
      <c r="Z202" s="28"/>
      <c r="AA202" s="28"/>
      <c r="AB202" s="31"/>
      <c r="AC202" s="31"/>
      <c r="AD202" s="12"/>
    </row>
    <row r="203" spans="1:30" s="11" customFormat="1" ht="3" hidden="1" customHeight="1" outlineLevel="1" x14ac:dyDescent="0.35">
      <c r="A203" s="93"/>
      <c r="B203" s="10"/>
      <c r="C203" s="80"/>
      <c r="D203" s="80"/>
      <c r="E203" s="80"/>
      <c r="F203" s="78"/>
      <c r="G203" s="28"/>
      <c r="H203" s="28"/>
      <c r="I203" s="28"/>
      <c r="J203" s="28"/>
      <c r="K203" s="28"/>
      <c r="L203" s="28"/>
      <c r="M203" s="291"/>
      <c r="N203" s="268"/>
      <c r="O203" s="268"/>
      <c r="P203" s="267"/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31"/>
      <c r="AC203" s="31"/>
      <c r="AD203" s="12"/>
    </row>
    <row r="204" spans="1:30" s="11" customFormat="1" hidden="1" outlineLevel="1" x14ac:dyDescent="0.35">
      <c r="A204" s="93"/>
      <c r="B204" s="10"/>
      <c r="C204" s="80"/>
      <c r="D204" s="80"/>
      <c r="E204" s="80"/>
      <c r="F204" s="78"/>
      <c r="G204" s="28"/>
      <c r="H204" s="28"/>
      <c r="I204" s="28"/>
      <c r="J204" s="28"/>
      <c r="K204" s="28"/>
      <c r="L204" s="28"/>
      <c r="M204" s="285"/>
      <c r="N204" s="31"/>
      <c r="O204" s="31"/>
      <c r="P204" s="28"/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31"/>
      <c r="AC204" s="31"/>
      <c r="AD204" s="12"/>
    </row>
    <row r="205" spans="1:30" s="11" customFormat="1" hidden="1" outlineLevel="1" x14ac:dyDescent="0.35">
      <c r="A205" s="93"/>
      <c r="B205" s="10"/>
      <c r="C205" s="80"/>
      <c r="D205" s="80"/>
      <c r="E205" s="80"/>
      <c r="F205" s="78"/>
      <c r="G205" s="28"/>
      <c r="H205" s="28"/>
      <c r="I205" s="28"/>
      <c r="J205" s="28"/>
      <c r="K205" s="28"/>
      <c r="L205" s="28"/>
      <c r="M205" s="285"/>
      <c r="N205" s="31"/>
      <c r="O205" s="31"/>
      <c r="P205" s="28"/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31"/>
      <c r="AC205" s="31"/>
      <c r="AD205" s="12"/>
    </row>
    <row r="206" spans="1:30" s="11" customFormat="1" hidden="1" outlineLevel="1" x14ac:dyDescent="0.35">
      <c r="A206" s="93"/>
      <c r="B206" s="10"/>
      <c r="C206" s="80"/>
      <c r="D206" s="80"/>
      <c r="E206" s="80"/>
      <c r="F206" s="78"/>
      <c r="G206" s="28"/>
      <c r="H206" s="28"/>
      <c r="I206" s="28"/>
      <c r="J206" s="28"/>
      <c r="K206" s="28"/>
      <c r="L206" s="28"/>
      <c r="M206" s="285"/>
      <c r="N206" s="31"/>
      <c r="O206" s="31"/>
      <c r="P206" s="28"/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31"/>
      <c r="AC206" s="31"/>
      <c r="AD206" s="12"/>
    </row>
    <row r="207" spans="1:30" s="11" customFormat="1" hidden="1" outlineLevel="1" x14ac:dyDescent="0.35">
      <c r="A207" s="93"/>
      <c r="B207" s="10"/>
      <c r="C207" s="80"/>
      <c r="D207" s="80"/>
      <c r="E207" s="80"/>
      <c r="F207" s="78"/>
      <c r="G207" s="28"/>
      <c r="H207" s="28"/>
      <c r="I207" s="28"/>
      <c r="J207" s="28"/>
      <c r="K207" s="28"/>
      <c r="L207" s="28"/>
      <c r="M207" s="285"/>
      <c r="N207" s="31"/>
      <c r="O207" s="31"/>
      <c r="P207" s="28"/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31"/>
      <c r="AC207" s="31"/>
      <c r="AD207" s="12"/>
    </row>
    <row r="208" spans="1:30" s="11" customFormat="1" hidden="1" outlineLevel="1" x14ac:dyDescent="0.35">
      <c r="A208" s="93"/>
      <c r="B208" s="10"/>
      <c r="C208" s="80"/>
      <c r="D208" s="80"/>
      <c r="E208" s="80"/>
      <c r="F208" s="78"/>
      <c r="G208" s="28"/>
      <c r="H208" s="28"/>
      <c r="I208" s="28"/>
      <c r="J208" s="28"/>
      <c r="K208" s="28"/>
      <c r="L208" s="28"/>
      <c r="M208" s="285"/>
      <c r="N208" s="31"/>
      <c r="O208" s="31"/>
      <c r="P208" s="28"/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31"/>
      <c r="AC208" s="31"/>
      <c r="AD208" s="12"/>
    </row>
    <row r="209" spans="1:30" s="11" customFormat="1" ht="3" hidden="1" customHeight="1" outlineLevel="1" x14ac:dyDescent="0.35">
      <c r="A209" s="93"/>
      <c r="B209" s="10"/>
      <c r="C209" s="80"/>
      <c r="D209" s="80"/>
      <c r="E209" s="80"/>
      <c r="F209" s="78"/>
      <c r="G209" s="28"/>
      <c r="H209" s="28"/>
      <c r="I209" s="28"/>
      <c r="J209" s="28"/>
      <c r="K209" s="28"/>
      <c r="L209" s="28"/>
      <c r="M209" s="291"/>
      <c r="N209" s="268"/>
      <c r="O209" s="268"/>
      <c r="P209" s="267"/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31"/>
      <c r="AC209" s="31"/>
      <c r="AD209" s="12"/>
    </row>
    <row r="210" spans="1:30" s="11" customFormat="1" hidden="1" outlineLevel="1" x14ac:dyDescent="0.35">
      <c r="A210" s="93"/>
      <c r="B210" s="10"/>
      <c r="C210" s="80"/>
      <c r="D210" s="80"/>
      <c r="E210" s="80"/>
      <c r="F210" s="78"/>
      <c r="G210" s="28"/>
      <c r="H210" s="28"/>
      <c r="I210" s="28"/>
      <c r="J210" s="28"/>
      <c r="K210" s="28"/>
      <c r="L210" s="28"/>
      <c r="M210" s="292"/>
      <c r="N210" s="204"/>
      <c r="O210" s="205">
        <f>TOTAL_EFFORT</f>
        <v>506</v>
      </c>
      <c r="P210" s="205">
        <f>TOTAL_COST</f>
        <v>113344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31"/>
      <c r="AC210" s="31"/>
      <c r="AD210" s="12"/>
    </row>
    <row r="211" spans="1:30" s="11" customFormat="1" hidden="1" outlineLevel="1" x14ac:dyDescent="0.35">
      <c r="A211" s="93"/>
      <c r="B211" s="10"/>
      <c r="C211" s="80"/>
      <c r="D211" s="80"/>
      <c r="E211" s="80"/>
      <c r="F211" s="78"/>
      <c r="G211" s="28"/>
      <c r="H211" s="28"/>
      <c r="I211" s="28"/>
      <c r="J211" s="28"/>
      <c r="K211" s="28"/>
      <c r="L211" s="28"/>
      <c r="M211" s="285"/>
      <c r="N211" s="31"/>
      <c r="O211" s="31"/>
      <c r="P211" s="28"/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31"/>
      <c r="AC211" s="31"/>
      <c r="AD211" s="12"/>
    </row>
    <row r="212" spans="1:30" s="11" customFormat="1" ht="20.25" hidden="1" customHeight="1" outlineLevel="1" x14ac:dyDescent="0.35">
      <c r="A212" s="93"/>
      <c r="B212" s="10"/>
      <c r="C212" s="78"/>
      <c r="D212" s="78"/>
      <c r="E212" s="78"/>
      <c r="F212" s="78"/>
      <c r="G212" s="43"/>
      <c r="H212" s="43"/>
      <c r="I212" s="43"/>
      <c r="J212" s="43"/>
      <c r="K212" s="43"/>
      <c r="L212" s="43"/>
      <c r="M212" s="281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12"/>
    </row>
    <row r="213" spans="1:30" ht="15" customHeight="1" x14ac:dyDescent="0.35">
      <c r="F213" s="78"/>
    </row>
    <row r="214" spans="1:30" s="11" customFormat="1" ht="20.25" customHeight="1" collapsed="1" x14ac:dyDescent="0.35">
      <c r="A214" s="93"/>
      <c r="B214" s="10"/>
      <c r="C214" s="78"/>
      <c r="D214" s="78"/>
      <c r="E214" s="78"/>
      <c r="F214" s="78"/>
      <c r="G214" s="324" t="s">
        <v>48</v>
      </c>
      <c r="H214" s="324"/>
      <c r="I214" s="178"/>
      <c r="J214" s="43"/>
      <c r="K214" s="43"/>
      <c r="L214" s="39"/>
      <c r="M214" s="289" t="s">
        <v>111</v>
      </c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12"/>
    </row>
    <row r="215" spans="1:30" hidden="1" outlineLevel="1" x14ac:dyDescent="0.35">
      <c r="F215" s="78"/>
      <c r="G215" s="63"/>
      <c r="H215" s="63"/>
      <c r="I215" s="63"/>
      <c r="J215" s="63"/>
      <c r="K215" s="63"/>
      <c r="L215" s="63"/>
      <c r="M215" s="294"/>
      <c r="N215" s="64"/>
      <c r="O215" s="64"/>
      <c r="P215" s="63"/>
      <c r="Q215" s="63"/>
      <c r="R215" s="63"/>
      <c r="S215" s="63"/>
      <c r="T215" s="63"/>
      <c r="U215" s="63"/>
      <c r="V215" s="63"/>
      <c r="W215" s="63"/>
      <c r="X215" s="63"/>
      <c r="Y215" s="63"/>
      <c r="Z215" s="63"/>
      <c r="AA215" s="63"/>
      <c r="AB215" s="64"/>
      <c r="AC215" s="31"/>
    </row>
    <row r="216" spans="1:30" hidden="1" outlineLevel="1" x14ac:dyDescent="0.35">
      <c r="F216" s="78"/>
      <c r="G216" s="68">
        <v>1</v>
      </c>
      <c r="H216" s="68"/>
      <c r="I216" s="68"/>
      <c r="J216" s="63"/>
      <c r="K216" s="63"/>
      <c r="L216" s="63"/>
      <c r="M216" s="294"/>
      <c r="N216" s="64"/>
      <c r="O216" s="64"/>
      <c r="P216" s="63"/>
      <c r="Q216" s="331" t="s">
        <v>79</v>
      </c>
      <c r="R216" s="331"/>
      <c r="S216" s="331"/>
      <c r="T216" s="331"/>
      <c r="U216" s="331"/>
      <c r="V216" s="331"/>
      <c r="W216" s="255"/>
      <c r="X216" s="222"/>
      <c r="Y216" s="63"/>
      <c r="Z216" s="63"/>
      <c r="AA216" s="63"/>
      <c r="AB216" s="64"/>
      <c r="AC216" s="31"/>
    </row>
    <row r="217" spans="1:30" ht="15" hidden="1" customHeight="1" outlineLevel="1" x14ac:dyDescent="0.35">
      <c r="B217" s="10" t="str">
        <f>IF(OR(COUNTBLANK(Q217:W217)&lt;&gt;0,SUM(Q217:W217)=0), ".", "")</f>
        <v/>
      </c>
      <c r="F217" s="78"/>
      <c r="G217" s="63">
        <v>2</v>
      </c>
      <c r="H217" s="68"/>
      <c r="I217" s="68"/>
      <c r="J217" s="63"/>
      <c r="K217" s="63"/>
      <c r="L217" s="63"/>
      <c r="M217" s="294"/>
      <c r="N217" s="100"/>
      <c r="O217" s="309" t="s">
        <v>29</v>
      </c>
      <c r="P217" s="309" t="s">
        <v>94</v>
      </c>
      <c r="Q217" s="53">
        <f>28 * 8</f>
        <v>224</v>
      </c>
      <c r="R217" s="53">
        <f t="shared" ref="R217:V217" si="15">28 * 8</f>
        <v>224</v>
      </c>
      <c r="S217" s="53">
        <f t="shared" si="15"/>
        <v>224</v>
      </c>
      <c r="T217" s="53">
        <f t="shared" si="15"/>
        <v>224</v>
      </c>
      <c r="U217" s="53">
        <f t="shared" si="15"/>
        <v>224</v>
      </c>
      <c r="V217" s="53">
        <f t="shared" si="15"/>
        <v>224</v>
      </c>
      <c r="W217" s="308" t="str">
        <f>CHOSEN_CURRENCY</f>
        <v>-</v>
      </c>
      <c r="X217" s="309"/>
      <c r="Y217" s="63"/>
      <c r="Z217" s="63"/>
      <c r="AA217" s="63"/>
      <c r="AB217" s="64"/>
      <c r="AC217" s="31"/>
    </row>
    <row r="218" spans="1:30" ht="15" hidden="1" customHeight="1" outlineLevel="1" x14ac:dyDescent="0.35">
      <c r="F218" s="78"/>
      <c r="G218" s="63">
        <v>3</v>
      </c>
      <c r="H218" s="68"/>
      <c r="I218" s="68"/>
      <c r="J218" s="63"/>
      <c r="K218" s="63"/>
      <c r="L218" s="63"/>
      <c r="M218" s="294"/>
      <c r="N218" s="100"/>
      <c r="O218" s="311"/>
      <c r="P218" s="311"/>
      <c r="Q218" s="295" t="s">
        <v>8</v>
      </c>
      <c r="R218" s="295" t="s">
        <v>9</v>
      </c>
      <c r="S218" s="295" t="s">
        <v>10</v>
      </c>
      <c r="T218" s="295" t="s">
        <v>12</v>
      </c>
      <c r="U218" s="295" t="s">
        <v>11</v>
      </c>
      <c r="V218" s="296" t="s">
        <v>13</v>
      </c>
      <c r="W218" s="310"/>
      <c r="X218" s="311"/>
      <c r="Y218" s="63"/>
      <c r="Z218" s="63"/>
      <c r="AA218" s="63"/>
      <c r="AB218" s="64"/>
      <c r="AC218" s="31"/>
    </row>
    <row r="219" spans="1:30" ht="15" hidden="1" customHeight="1" outlineLevel="1" x14ac:dyDescent="0.35">
      <c r="B219" s="10" t="str">
        <f t="shared" ref="B219:B224" si="16">IF(SUM(Q219:V219)&lt;&gt;1,".","")</f>
        <v/>
      </c>
      <c r="F219" s="78"/>
      <c r="G219" s="68">
        <v>4</v>
      </c>
      <c r="H219" s="68"/>
      <c r="I219" s="68"/>
      <c r="J219" s="63"/>
      <c r="K219" s="63"/>
      <c r="L219" s="67" t="s">
        <v>84</v>
      </c>
      <c r="M219" s="285" t="str">
        <f>$L$12</f>
        <v>A</v>
      </c>
      <c r="N219" s="31" t="str">
        <f>$M$12</f>
        <v>Discovery / Requirement Analysis</v>
      </c>
      <c r="O219" s="65">
        <f>S12</f>
        <v>193</v>
      </c>
      <c r="P219" s="104">
        <f>ROUND(REQ_EFFORT/5,0)</f>
        <v>39</v>
      </c>
      <c r="Q219" s="105">
        <v>0.85</v>
      </c>
      <c r="R219" s="269">
        <v>0.1</v>
      </c>
      <c r="S219" s="45"/>
      <c r="T219" s="45"/>
      <c r="U219" s="45"/>
      <c r="V219" s="46">
        <v>0.05</v>
      </c>
      <c r="W219" s="312">
        <f t="shared" ref="W219:W224" si="17">(($O219*Q219)*Q$217)+(($O219*R219)*R$217)+(($O219*S219)*S$217)+(($O219*T219)*T$217)+(($O219*U219)*U$217)+(($O219*V219)*V$217)</f>
        <v>43231.999999999993</v>
      </c>
      <c r="X219" s="313"/>
      <c r="Y219" s="63"/>
      <c r="Z219" s="63"/>
      <c r="AA219" s="63"/>
      <c r="AB219" s="64"/>
      <c r="AC219" s="31"/>
    </row>
    <row r="220" spans="1:30" hidden="1" outlineLevel="1" x14ac:dyDescent="0.35">
      <c r="B220" s="10" t="str">
        <f t="shared" si="16"/>
        <v/>
      </c>
      <c r="F220" s="78"/>
      <c r="G220" s="63">
        <v>5</v>
      </c>
      <c r="H220" s="68"/>
      <c r="I220" s="68"/>
      <c r="J220" s="63"/>
      <c r="K220" s="63"/>
      <c r="L220" s="67" t="s">
        <v>85</v>
      </c>
      <c r="M220" s="285" t="str">
        <f>$L$59</f>
        <v>B</v>
      </c>
      <c r="N220" s="31" t="str">
        <f>$M$59</f>
        <v>System Design, Framework and Test Cases</v>
      </c>
      <c r="O220" s="65">
        <f>S59</f>
        <v>125</v>
      </c>
      <c r="P220" s="104">
        <f>ROUND(DESIGN_EFFORT/5,0)</f>
        <v>25</v>
      </c>
      <c r="Q220" s="45"/>
      <c r="R220" s="270">
        <v>0.7</v>
      </c>
      <c r="S220" s="44">
        <v>0.2</v>
      </c>
      <c r="T220" s="45"/>
      <c r="U220" s="44">
        <v>0.1</v>
      </c>
      <c r="V220" s="47"/>
      <c r="W220" s="312">
        <f t="shared" si="17"/>
        <v>28000</v>
      </c>
      <c r="X220" s="313"/>
      <c r="Y220" s="63"/>
      <c r="Z220" s="63"/>
      <c r="AA220" s="63"/>
      <c r="AB220" s="64"/>
      <c r="AC220" s="31"/>
    </row>
    <row r="221" spans="1:30" hidden="1" outlineLevel="1" x14ac:dyDescent="0.35">
      <c r="B221" s="10" t="str">
        <f t="shared" si="16"/>
        <v/>
      </c>
      <c r="F221" s="78"/>
      <c r="G221" s="63">
        <v>6</v>
      </c>
      <c r="H221" s="68"/>
      <c r="I221" s="68"/>
      <c r="J221" s="63"/>
      <c r="K221" s="63"/>
      <c r="L221" s="67" t="s">
        <v>87</v>
      </c>
      <c r="M221" s="285" t="str">
        <f>$L$87</f>
        <v>C</v>
      </c>
      <c r="N221" s="31" t="str">
        <f>$M$87</f>
        <v>Development and Unit Testing</v>
      </c>
      <c r="O221" s="65">
        <f>S87</f>
        <v>96</v>
      </c>
      <c r="P221" s="104">
        <f>ROUND(DEV_EFFORT/5,0)</f>
        <v>19</v>
      </c>
      <c r="Q221" s="45"/>
      <c r="R221" s="269"/>
      <c r="S221" s="44">
        <v>0.3</v>
      </c>
      <c r="T221" s="105">
        <v>0.7</v>
      </c>
      <c r="U221" s="45"/>
      <c r="V221" s="47"/>
      <c r="W221" s="312">
        <f t="shared" si="17"/>
        <v>21503.999999999996</v>
      </c>
      <c r="X221" s="313"/>
      <c r="Y221" s="63"/>
      <c r="Z221" s="63"/>
      <c r="AA221" s="63"/>
      <c r="AB221" s="64"/>
      <c r="AC221" s="31"/>
    </row>
    <row r="222" spans="1:30" hidden="1" outlineLevel="1" x14ac:dyDescent="0.35">
      <c r="B222" s="10" t="str">
        <f t="shared" si="16"/>
        <v/>
      </c>
      <c r="F222" s="78"/>
      <c r="G222" s="68">
        <v>7</v>
      </c>
      <c r="H222" s="68"/>
      <c r="I222" s="68"/>
      <c r="J222" s="63"/>
      <c r="K222" s="63"/>
      <c r="L222" s="67" t="s">
        <v>11</v>
      </c>
      <c r="M222" s="285" t="str">
        <f>$L$127</f>
        <v>D</v>
      </c>
      <c r="N222" s="31" t="str">
        <f>$M$127</f>
        <v>System Testing and Stabilization</v>
      </c>
      <c r="O222" s="65">
        <f>S127</f>
        <v>1</v>
      </c>
      <c r="P222" s="104">
        <f>ROUND(QA_EFFORT/5,0)</f>
        <v>0</v>
      </c>
      <c r="Q222" s="45"/>
      <c r="R222" s="269"/>
      <c r="S222" s="44">
        <v>0.1</v>
      </c>
      <c r="T222" s="44">
        <v>0.1</v>
      </c>
      <c r="U222" s="105">
        <v>0.8</v>
      </c>
      <c r="V222" s="47"/>
      <c r="W222" s="312">
        <f t="shared" si="17"/>
        <v>224.00000000000003</v>
      </c>
      <c r="X222" s="313"/>
      <c r="Y222" s="63"/>
      <c r="Z222" s="63"/>
      <c r="AA222" s="63"/>
      <c r="AB222" s="64"/>
      <c r="AC222" s="31"/>
    </row>
    <row r="223" spans="1:30" hidden="1" outlineLevel="1" x14ac:dyDescent="0.35">
      <c r="B223" s="10" t="str">
        <f t="shared" si="16"/>
        <v/>
      </c>
      <c r="F223" s="78"/>
      <c r="G223" s="63">
        <v>8</v>
      </c>
      <c r="H223" s="68"/>
      <c r="I223" s="68"/>
      <c r="J223" s="63"/>
      <c r="K223" s="63"/>
      <c r="L223" s="67" t="s">
        <v>86</v>
      </c>
      <c r="M223" s="285" t="str">
        <f>$L$165</f>
        <v>E</v>
      </c>
      <c r="N223" s="31" t="str">
        <f>$M$165</f>
        <v>Deployment, UAT and Documentation</v>
      </c>
      <c r="O223" s="65">
        <f>S165</f>
        <v>45</v>
      </c>
      <c r="P223" s="104">
        <f>ROUND(UAT_EFFORT/5,0)</f>
        <v>9</v>
      </c>
      <c r="Q223" s="45"/>
      <c r="R223" s="269"/>
      <c r="S223" s="44">
        <v>0.4</v>
      </c>
      <c r="T223" s="105">
        <v>0.4</v>
      </c>
      <c r="U223" s="44">
        <v>0.2</v>
      </c>
      <c r="V223" s="47"/>
      <c r="W223" s="312">
        <f t="shared" si="17"/>
        <v>10080</v>
      </c>
      <c r="X223" s="313"/>
      <c r="Y223" s="63"/>
      <c r="Z223" s="63"/>
      <c r="AA223" s="63"/>
      <c r="AB223" s="64"/>
      <c r="AC223" s="31"/>
    </row>
    <row r="224" spans="1:30" hidden="1" outlineLevel="1" x14ac:dyDescent="0.35">
      <c r="B224" s="10" t="str">
        <f t="shared" si="16"/>
        <v/>
      </c>
      <c r="F224" s="78"/>
      <c r="G224" s="63">
        <v>9</v>
      </c>
      <c r="H224" s="68"/>
      <c r="I224" s="68"/>
      <c r="J224" s="63"/>
      <c r="K224" s="63"/>
      <c r="L224" s="67" t="s">
        <v>76</v>
      </c>
      <c r="M224" s="285" t="str">
        <f>$L$188</f>
        <v>F</v>
      </c>
      <c r="N224" s="31" t="str">
        <f>$M$188</f>
        <v>Others</v>
      </c>
      <c r="O224" s="65">
        <f>S188</f>
        <v>46</v>
      </c>
      <c r="P224" s="104">
        <f>ROUND(OTHER_EFFORT/5,0)</f>
        <v>9</v>
      </c>
      <c r="Q224" s="45"/>
      <c r="R224" s="269">
        <v>0.2</v>
      </c>
      <c r="S224" s="105">
        <v>0.8</v>
      </c>
      <c r="T224" s="45"/>
      <c r="U224" s="45"/>
      <c r="V224" s="47"/>
      <c r="W224" s="314">
        <f t="shared" si="17"/>
        <v>10304</v>
      </c>
      <c r="X224" s="315"/>
      <c r="Y224" s="63"/>
      <c r="Z224" s="63"/>
      <c r="AA224" s="63"/>
      <c r="AB224" s="64"/>
      <c r="AC224" s="31"/>
    </row>
    <row r="225" spans="1:30" ht="21" hidden="1" outlineLevel="1" x14ac:dyDescent="0.35">
      <c r="F225" s="78"/>
      <c r="G225" s="68">
        <v>10</v>
      </c>
      <c r="H225" s="68"/>
      <c r="I225" s="68"/>
      <c r="J225" s="63"/>
      <c r="K225" s="63"/>
      <c r="L225" s="63"/>
      <c r="M225" s="294"/>
      <c r="N225" s="100"/>
      <c r="O225" s="261">
        <f>SUM(O219:O224)</f>
        <v>506</v>
      </c>
      <c r="P225" s="262">
        <f>SUM(P219:P224)</f>
        <v>101</v>
      </c>
      <c r="Q225" s="317" t="s">
        <v>116</v>
      </c>
      <c r="R225" s="317"/>
      <c r="S225" s="317"/>
      <c r="T225" s="317"/>
      <c r="U225" s="317"/>
      <c r="V225" s="317"/>
      <c r="W225" s="316">
        <f>SUM(W219:W224)</f>
        <v>113344</v>
      </c>
      <c r="X225" s="316"/>
      <c r="Y225" s="63"/>
      <c r="Z225" s="63"/>
      <c r="AA225" s="63"/>
      <c r="AB225" s="64"/>
      <c r="AC225" s="31"/>
    </row>
    <row r="226" spans="1:30" hidden="1" outlineLevel="1" x14ac:dyDescent="0.35">
      <c r="F226" s="78"/>
      <c r="G226" s="63"/>
      <c r="H226" s="63"/>
      <c r="I226" s="63"/>
      <c r="J226" s="63"/>
      <c r="K226" s="63"/>
      <c r="L226" s="63"/>
      <c r="M226" s="294"/>
      <c r="N226" s="64"/>
      <c r="O226" s="64"/>
      <c r="P226" s="63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4"/>
      <c r="AC226" s="31"/>
    </row>
    <row r="227" spans="1:30" ht="15" hidden="1" customHeight="1" outlineLevel="1" x14ac:dyDescent="0.35">
      <c r="F227" s="78"/>
      <c r="G227" s="63"/>
      <c r="H227" s="63"/>
      <c r="I227" s="63"/>
      <c r="J227" s="63"/>
      <c r="K227" s="63"/>
      <c r="L227" s="63"/>
      <c r="M227" s="294"/>
      <c r="N227" s="64"/>
      <c r="O227" s="64"/>
      <c r="P227" s="63"/>
      <c r="Q227" s="330" t="s">
        <v>114</v>
      </c>
      <c r="R227" s="330"/>
      <c r="S227" s="330"/>
      <c r="T227" s="330"/>
      <c r="U227" s="330"/>
      <c r="V227" s="330"/>
      <c r="W227" s="318" t="s">
        <v>456</v>
      </c>
      <c r="X227" s="318"/>
      <c r="Y227" s="222"/>
      <c r="Z227" s="222"/>
      <c r="AA227" s="222"/>
      <c r="AB227" s="64"/>
      <c r="AC227" s="31"/>
    </row>
    <row r="228" spans="1:30" ht="15" hidden="1" customHeight="1" outlineLevel="1" x14ac:dyDescent="0.35">
      <c r="F228" s="78"/>
      <c r="G228" s="63"/>
      <c r="H228" s="63"/>
      <c r="I228" s="63"/>
      <c r="J228" s="63"/>
      <c r="K228" s="63"/>
      <c r="L228" s="63"/>
      <c r="M228" s="285"/>
      <c r="N228" s="31"/>
      <c r="O228" s="107" t="s">
        <v>112</v>
      </c>
      <c r="P228" s="108" t="s">
        <v>113</v>
      </c>
      <c r="Q228" s="295" t="s">
        <v>8</v>
      </c>
      <c r="R228" s="295" t="s">
        <v>9</v>
      </c>
      <c r="S228" s="295" t="s">
        <v>10</v>
      </c>
      <c r="T228" s="295" t="s">
        <v>12</v>
      </c>
      <c r="U228" s="295" t="s">
        <v>11</v>
      </c>
      <c r="V228" s="296" t="s">
        <v>13</v>
      </c>
      <c r="W228" s="318"/>
      <c r="X228" s="318"/>
      <c r="Y228" s="63"/>
      <c r="Z228" s="102"/>
      <c r="AA228" s="102"/>
      <c r="AB228" s="102"/>
      <c r="AC228" s="102"/>
    </row>
    <row r="229" spans="1:30" ht="15" hidden="1" customHeight="1" outlineLevel="1" x14ac:dyDescent="0.35">
      <c r="F229" s="78"/>
      <c r="G229" s="63"/>
      <c r="H229" s="63"/>
      <c r="I229" s="63"/>
      <c r="J229" s="63"/>
      <c r="K229" s="63"/>
      <c r="L229" s="63"/>
      <c r="M229" s="285" t="str">
        <f>$L$12</f>
        <v>A</v>
      </c>
      <c r="N229" s="31" t="str">
        <f>$M$12</f>
        <v>Discovery / Requirement Analysis</v>
      </c>
      <c r="O229" s="112">
        <v>42583</v>
      </c>
      <c r="P229" s="109">
        <f>O229+(((P219*REQ_BA_PERCENT)/REQ_BA_COUNT)*7)</f>
        <v>42699.025000000001</v>
      </c>
      <c r="Q229" s="106">
        <v>2</v>
      </c>
      <c r="R229" s="223">
        <v>1</v>
      </c>
      <c r="S229" s="101"/>
      <c r="T229" s="101"/>
      <c r="U229" s="101"/>
      <c r="V229" s="54">
        <v>1</v>
      </c>
      <c r="W229" s="259">
        <v>0.75</v>
      </c>
      <c r="X229" s="63"/>
      <c r="Y229" s="303" t="s">
        <v>194</v>
      </c>
      <c r="Z229" s="303"/>
      <c r="AA229" s="303"/>
      <c r="AB229" s="64"/>
      <c r="AC229" s="103"/>
    </row>
    <row r="230" spans="1:30" hidden="1" outlineLevel="1" x14ac:dyDescent="0.35">
      <c r="F230" s="78"/>
      <c r="G230" s="63"/>
      <c r="H230" s="63"/>
      <c r="I230" s="63"/>
      <c r="J230" s="63"/>
      <c r="K230" s="63"/>
      <c r="L230" s="63"/>
      <c r="M230" s="285" t="str">
        <f>$L$59</f>
        <v>B</v>
      </c>
      <c r="N230" s="31" t="str">
        <f>$M$59</f>
        <v>System Design, Framework and Test Cases</v>
      </c>
      <c r="O230" s="110">
        <f>O229+((P229-O229)*W229)+1</f>
        <v>42671.018750000003</v>
      </c>
      <c r="P230" s="109">
        <f>O230+(((P220*DESIGN_TA_PERCENT)/DESIGN_TA_COUNT)*7)</f>
        <v>42711.852083333339</v>
      </c>
      <c r="Q230" s="101">
        <v>1</v>
      </c>
      <c r="R230" s="224">
        <v>3</v>
      </c>
      <c r="S230" s="101">
        <v>1</v>
      </c>
      <c r="T230" s="101"/>
      <c r="U230" s="101">
        <v>1</v>
      </c>
      <c r="V230" s="54"/>
      <c r="W230" s="260">
        <v>0.75</v>
      </c>
      <c r="X230" s="63"/>
      <c r="Y230" s="303"/>
      <c r="Z230" s="303"/>
      <c r="AA230" s="303"/>
      <c r="AB230" s="64"/>
      <c r="AC230" s="31"/>
    </row>
    <row r="231" spans="1:30" hidden="1" outlineLevel="1" x14ac:dyDescent="0.35">
      <c r="F231" s="78"/>
      <c r="G231" s="63"/>
      <c r="H231" s="63"/>
      <c r="I231" s="63"/>
      <c r="J231" s="63"/>
      <c r="K231" s="63"/>
      <c r="L231" s="63"/>
      <c r="M231" s="285" t="str">
        <f>$L$87</f>
        <v>C</v>
      </c>
      <c r="N231" s="31" t="str">
        <f>$M$87</f>
        <v>Development and Unit Testing</v>
      </c>
      <c r="O231" s="110">
        <f>O230+((P230-O230)*W230)+1</f>
        <v>42702.643750000003</v>
      </c>
      <c r="P231" s="109">
        <f>O231+(((P221*DEV_DEV_PERCENT)/DEV_DEV_COUNT)*7)</f>
        <v>42749.193750000006</v>
      </c>
      <c r="Q231" s="101"/>
      <c r="R231" s="223"/>
      <c r="S231" s="101">
        <v>1</v>
      </c>
      <c r="T231" s="106">
        <v>2</v>
      </c>
      <c r="U231" s="101"/>
      <c r="V231" s="54"/>
      <c r="W231" s="259">
        <v>0.75</v>
      </c>
      <c r="X231" s="63"/>
      <c r="Y231" s="303"/>
      <c r="Z231" s="303"/>
      <c r="AA231" s="303"/>
      <c r="AB231" s="64"/>
      <c r="AC231" s="31"/>
    </row>
    <row r="232" spans="1:30" hidden="1" outlineLevel="1" x14ac:dyDescent="0.35">
      <c r="F232" s="78"/>
      <c r="G232" s="63"/>
      <c r="H232" s="63"/>
      <c r="I232" s="63"/>
      <c r="J232" s="63"/>
      <c r="K232" s="63"/>
      <c r="L232" s="63"/>
      <c r="M232" s="285" t="str">
        <f>$L$127</f>
        <v>D</v>
      </c>
      <c r="N232" s="31" t="str">
        <f>$M$127</f>
        <v>System Testing and Stabilization</v>
      </c>
      <c r="O232" s="110">
        <f>O231+((P231-O231)*W231)+1</f>
        <v>42738.556250000009</v>
      </c>
      <c r="P232" s="109">
        <f>O232+(((P222*TESTING_QA_PERCENT)/TESTING_QA_COUNT)*7)</f>
        <v>42738.556250000009</v>
      </c>
      <c r="Q232" s="101"/>
      <c r="R232" s="223"/>
      <c r="S232" s="101">
        <v>1</v>
      </c>
      <c r="T232" s="101">
        <v>2</v>
      </c>
      <c r="U232" s="106">
        <v>1</v>
      </c>
      <c r="V232" s="256"/>
      <c r="W232" s="259">
        <v>1</v>
      </c>
      <c r="X232" s="63"/>
      <c r="Y232" s="303"/>
      <c r="Z232" s="303"/>
      <c r="AA232" s="303"/>
      <c r="AB232" s="64"/>
      <c r="AC232" s="31"/>
    </row>
    <row r="233" spans="1:30" hidden="1" outlineLevel="1" x14ac:dyDescent="0.35">
      <c r="F233" s="78"/>
      <c r="G233" s="63"/>
      <c r="H233" s="63"/>
      <c r="I233" s="63"/>
      <c r="J233" s="63"/>
      <c r="K233" s="63"/>
      <c r="L233" s="63"/>
      <c r="M233" s="285" t="str">
        <f>$L$165</f>
        <v>E</v>
      </c>
      <c r="N233" s="31" t="str">
        <f>$M$165</f>
        <v>Deployment, UAT and Documentation</v>
      </c>
      <c r="O233" s="110">
        <f>O232+((P232-O232)*W232)+1</f>
        <v>42739.556250000009</v>
      </c>
      <c r="P233" s="109">
        <f>O233+(((P223*UAT_DEV_PERCENT)/UAT_DEV_COUNT)*7)</f>
        <v>42752.156250000007</v>
      </c>
      <c r="Q233" s="101"/>
      <c r="R233" s="223"/>
      <c r="S233" s="101">
        <v>1</v>
      </c>
      <c r="T233" s="106">
        <v>2</v>
      </c>
      <c r="U233" s="101">
        <v>1</v>
      </c>
      <c r="V233" s="54"/>
      <c r="W233" s="259">
        <v>1</v>
      </c>
      <c r="X233" s="63"/>
      <c r="Y233" s="303"/>
      <c r="Z233" s="303"/>
      <c r="AA233" s="303"/>
      <c r="AB233" s="64"/>
      <c r="AC233" s="31"/>
    </row>
    <row r="234" spans="1:30" hidden="1" outlineLevel="1" x14ac:dyDescent="0.35">
      <c r="F234" s="78"/>
      <c r="G234" s="63"/>
      <c r="H234" s="63"/>
      <c r="I234" s="63"/>
      <c r="J234" s="63"/>
      <c r="K234" s="63"/>
      <c r="L234" s="63"/>
      <c r="M234" s="285" t="str">
        <f>$L$188</f>
        <v>F</v>
      </c>
      <c r="N234" s="31" t="str">
        <f>$M$188</f>
        <v>Others</v>
      </c>
      <c r="O234" s="111">
        <f>O233+((P233-O233)*W233)+1</f>
        <v>42753.156250000007</v>
      </c>
      <c r="P234" s="118">
        <f>O234+(((P224*OTHER_TL_PERCENT)/OTHER_TL_COUNT)*7)</f>
        <v>42803.556250000009</v>
      </c>
      <c r="Q234" s="119"/>
      <c r="R234" s="225">
        <v>0.5</v>
      </c>
      <c r="S234" s="120">
        <v>1</v>
      </c>
      <c r="T234" s="119"/>
      <c r="U234" s="119"/>
      <c r="V234" s="121"/>
      <c r="W234" s="257"/>
      <c r="X234" s="63"/>
      <c r="Y234" s="63"/>
      <c r="Z234" s="63"/>
      <c r="AA234" s="63"/>
      <c r="AB234" s="64"/>
      <c r="AC234" s="31"/>
    </row>
    <row r="235" spans="1:30" ht="15.5" hidden="1" outlineLevel="1" x14ac:dyDescent="0.35">
      <c r="F235" s="78"/>
      <c r="G235" s="63">
        <v>1</v>
      </c>
      <c r="H235" s="63"/>
      <c r="I235" s="63"/>
      <c r="J235" s="63"/>
      <c r="K235" s="63"/>
      <c r="L235" s="28"/>
      <c r="M235" s="285"/>
      <c r="N235" s="28"/>
      <c r="O235" s="115" t="s">
        <v>118</v>
      </c>
      <c r="P235" s="124">
        <f>NETWORKDAYS(START_DATE,AUTOMATED_END_DATE)/5</f>
        <v>31.8</v>
      </c>
      <c r="Q235" s="123" t="s">
        <v>94</v>
      </c>
      <c r="R235" s="122"/>
      <c r="S235" s="117" t="s">
        <v>117</v>
      </c>
      <c r="T235" s="336">
        <f>AUTOMATED_END_DATE</f>
        <v>42803.556250000009</v>
      </c>
      <c r="U235" s="336"/>
      <c r="V235" s="258"/>
      <c r="W235" s="258"/>
      <c r="X235" s="258"/>
      <c r="Y235" s="28"/>
      <c r="Z235" s="28"/>
      <c r="AA235" s="28"/>
      <c r="AB235" s="31"/>
      <c r="AC235" s="31"/>
    </row>
    <row r="236" spans="1:30" ht="15.5" hidden="1" outlineLevel="1" x14ac:dyDescent="0.35">
      <c r="F236" s="78"/>
      <c r="G236" s="63">
        <v>2</v>
      </c>
      <c r="H236" s="63"/>
      <c r="I236" s="63"/>
      <c r="J236" s="63"/>
      <c r="K236" s="63"/>
      <c r="L236" s="28"/>
      <c r="M236" s="285"/>
      <c r="N236" s="28"/>
      <c r="O236" s="115" t="s">
        <v>119</v>
      </c>
      <c r="P236" s="124">
        <f>NETWORKDAYS(START_DATE,MANUAL_END_DATE)/5</f>
        <v>-143</v>
      </c>
      <c r="Q236" s="123" t="s">
        <v>94</v>
      </c>
      <c r="R236" s="116"/>
      <c r="S236" s="117" t="s">
        <v>117</v>
      </c>
      <c r="T236" s="336">
        <f>MANUAL_END_DATE</f>
        <v>41583</v>
      </c>
      <c r="U236" s="336"/>
      <c r="V236" s="258"/>
      <c r="W236" s="258"/>
      <c r="X236" s="258"/>
      <c r="Y236" s="28"/>
      <c r="Z236" s="28"/>
      <c r="AA236" s="28"/>
      <c r="AB236" s="31"/>
      <c r="AC236" s="31"/>
    </row>
    <row r="237" spans="1:30" ht="15" hidden="1" customHeight="1" outlineLevel="1" x14ac:dyDescent="0.35">
      <c r="F237" s="78"/>
      <c r="G237" s="63"/>
      <c r="H237" s="63"/>
      <c r="I237" s="63"/>
      <c r="J237" s="63"/>
      <c r="K237" s="63"/>
      <c r="L237" s="28"/>
      <c r="M237" s="285"/>
      <c r="N237" s="28"/>
      <c r="O237" s="113"/>
      <c r="P237" s="66"/>
      <c r="Q237" s="114"/>
      <c r="R237" s="28"/>
      <c r="S237" s="28"/>
      <c r="T237" s="28"/>
      <c r="U237" s="28"/>
      <c r="V237" s="28"/>
      <c r="W237" s="28"/>
      <c r="X237" s="28"/>
      <c r="Y237" s="28"/>
      <c r="Z237" s="28"/>
      <c r="AA237" s="28"/>
      <c r="AB237" s="31"/>
      <c r="AC237" s="31"/>
    </row>
    <row r="238" spans="1:30" hidden="1" outlineLevel="1" x14ac:dyDescent="0.35">
      <c r="F238" s="78"/>
      <c r="G238" s="63">
        <v>3</v>
      </c>
      <c r="H238" s="63"/>
      <c r="I238" s="63"/>
      <c r="J238" s="63"/>
      <c r="K238" s="63"/>
      <c r="L238" s="28"/>
      <c r="M238" s="285"/>
      <c r="N238" s="31"/>
      <c r="O238" s="31"/>
      <c r="P238" s="28"/>
      <c r="Q238" s="28"/>
      <c r="R238" s="28"/>
      <c r="S238" s="75" t="s">
        <v>115</v>
      </c>
      <c r="T238" s="76" t="s">
        <v>92</v>
      </c>
      <c r="U238" s="28"/>
      <c r="V238" s="28"/>
      <c r="W238" s="28"/>
      <c r="X238" s="28"/>
      <c r="Y238" s="28"/>
      <c r="Z238" s="28"/>
      <c r="AA238" s="28"/>
      <c r="AB238" s="31"/>
      <c r="AC238" s="31"/>
    </row>
    <row r="239" spans="1:30" hidden="1" outlineLevel="1" x14ac:dyDescent="0.35">
      <c r="F239" s="78"/>
      <c r="G239" s="63"/>
      <c r="H239" s="63"/>
      <c r="I239" s="63"/>
      <c r="J239" s="63"/>
      <c r="K239" s="63"/>
      <c r="L239" s="28"/>
      <c r="M239" s="285"/>
      <c r="N239" s="31"/>
      <c r="O239" s="31"/>
      <c r="P239" s="28"/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8"/>
      <c r="AB239" s="31"/>
      <c r="AC239" s="31"/>
    </row>
    <row r="240" spans="1:30" s="11" customFormat="1" ht="20.25" hidden="1" customHeight="1" outlineLevel="1" x14ac:dyDescent="0.35">
      <c r="A240" s="93"/>
      <c r="B240" s="10"/>
      <c r="C240" s="78"/>
      <c r="D240" s="78"/>
      <c r="E240" s="78"/>
      <c r="F240" s="78"/>
      <c r="G240" s="43"/>
      <c r="H240" s="43"/>
      <c r="I240" s="43"/>
      <c r="J240" s="43"/>
      <c r="K240" s="43"/>
      <c r="L240" s="43"/>
      <c r="M240" s="281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12"/>
    </row>
    <row r="241" spans="1:30" s="11" customFormat="1" x14ac:dyDescent="0.35">
      <c r="A241" s="93"/>
      <c r="B241" s="10"/>
      <c r="C241" s="80"/>
      <c r="D241" s="80"/>
      <c r="E241" s="80"/>
      <c r="F241" s="78"/>
      <c r="M241" s="275"/>
      <c r="N241" s="12"/>
      <c r="O241" s="12"/>
      <c r="AB241" s="12"/>
      <c r="AC241" s="12"/>
      <c r="AD241" s="12"/>
    </row>
    <row r="242" spans="1:30" s="11" customFormat="1" ht="20.25" customHeight="1" collapsed="1" x14ac:dyDescent="0.35">
      <c r="A242" s="93"/>
      <c r="B242" s="10"/>
      <c r="C242" s="78"/>
      <c r="D242" s="78"/>
      <c r="E242" s="78"/>
      <c r="F242" s="78"/>
      <c r="G242" s="324" t="s">
        <v>48</v>
      </c>
      <c r="H242" s="324"/>
      <c r="I242" s="178"/>
      <c r="J242" s="43"/>
      <c r="K242" s="43"/>
      <c r="L242" s="39"/>
      <c r="M242" s="289" t="s">
        <v>185</v>
      </c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219" t="str">
        <f>TEMPLATE_NAME&amp;" "&amp;TEMPLATE_VER</f>
        <v>AG Estimation Template -  Version 2.0.4</v>
      </c>
      <c r="AC242" s="39"/>
      <c r="AD242" s="12"/>
    </row>
    <row r="243" spans="1:30" s="11" customFormat="1" hidden="1" outlineLevel="1" x14ac:dyDescent="0.35">
      <c r="A243" s="93"/>
      <c r="B243" s="10"/>
      <c r="C243" s="80"/>
      <c r="D243" s="80"/>
      <c r="E243" s="80"/>
      <c r="F243" s="78"/>
      <c r="G243" s="28"/>
      <c r="H243" s="28"/>
      <c r="I243" s="28"/>
      <c r="J243" s="28"/>
      <c r="K243" s="28"/>
      <c r="L243" s="28"/>
      <c r="M243" s="285"/>
      <c r="N243" s="31"/>
      <c r="O243" s="31"/>
      <c r="P243" s="28"/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8"/>
      <c r="AB243" s="31"/>
      <c r="AC243" s="31"/>
      <c r="AD243" s="12"/>
    </row>
    <row r="244" spans="1:30" s="11" customFormat="1" ht="15" hidden="1" customHeight="1" outlineLevel="1" x14ac:dyDescent="0.35">
      <c r="A244" s="93"/>
      <c r="B244" s="10"/>
      <c r="C244" s="80"/>
      <c r="D244" s="80"/>
      <c r="E244" s="80"/>
      <c r="F244" s="78"/>
      <c r="G244" s="28"/>
      <c r="H244" s="28"/>
      <c r="I244" s="28"/>
      <c r="J244" s="28"/>
      <c r="K244" s="28"/>
      <c r="L244" s="28"/>
      <c r="M244" s="285"/>
      <c r="N244" s="142" t="s">
        <v>130</v>
      </c>
      <c r="O244" s="31"/>
      <c r="P244" s="28"/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8"/>
      <c r="AB244" s="31"/>
      <c r="AC244" s="31"/>
      <c r="AD244" s="12"/>
    </row>
    <row r="245" spans="1:30" s="11" customFormat="1" ht="14.25" hidden="1" customHeight="1" outlineLevel="1" x14ac:dyDescent="0.35">
      <c r="A245" s="93"/>
      <c r="B245" s="10"/>
      <c r="C245" s="78"/>
      <c r="D245" s="78"/>
      <c r="E245" s="78"/>
      <c r="F245" s="78"/>
      <c r="G245" s="28"/>
      <c r="H245" s="28"/>
      <c r="I245" s="28"/>
      <c r="J245" s="28"/>
      <c r="K245" s="28"/>
      <c r="L245" s="28"/>
      <c r="M245" s="285"/>
      <c r="N245" s="157" t="s">
        <v>5</v>
      </c>
      <c r="O245" s="155" t="s">
        <v>5</v>
      </c>
      <c r="P245" s="187"/>
      <c r="Q245" s="187"/>
      <c r="R245" s="188"/>
      <c r="S245" s="189"/>
      <c r="T245" s="187"/>
      <c r="U245" s="187"/>
      <c r="V245" s="187"/>
      <c r="W245" s="187"/>
      <c r="X245" s="28"/>
      <c r="Y245" s="28"/>
      <c r="Z245" s="28"/>
      <c r="AA245" s="28"/>
      <c r="AB245" s="28"/>
      <c r="AC245" s="31"/>
      <c r="AD245" s="12"/>
    </row>
    <row r="246" spans="1:30" s="11" customFormat="1" ht="14.25" hidden="1" customHeight="1" outlineLevel="1" x14ac:dyDescent="0.35">
      <c r="A246" s="93"/>
      <c r="B246" s="10"/>
      <c r="C246" s="78"/>
      <c r="D246" s="78"/>
      <c r="E246" s="78"/>
      <c r="F246" s="78"/>
      <c r="G246" s="28"/>
      <c r="H246" s="28"/>
      <c r="I246" s="28"/>
      <c r="J246" s="28"/>
      <c r="K246" s="28"/>
      <c r="L246" s="28"/>
      <c r="M246" s="285"/>
      <c r="N246" s="157" t="s">
        <v>30</v>
      </c>
      <c r="O246" s="156" t="s">
        <v>30</v>
      </c>
      <c r="P246" s="187"/>
      <c r="Q246" s="187"/>
      <c r="R246" s="189"/>
      <c r="S246" s="189"/>
      <c r="T246" s="187"/>
      <c r="U246" s="187"/>
      <c r="V246" s="187"/>
      <c r="W246" s="187"/>
      <c r="X246" s="28"/>
      <c r="Y246" s="28"/>
      <c r="Z246" s="28"/>
      <c r="AA246" s="28"/>
      <c r="AB246" s="28"/>
      <c r="AC246" s="31"/>
      <c r="AD246" s="12"/>
    </row>
    <row r="247" spans="1:30" s="11" customFormat="1" ht="14.25" hidden="1" customHeight="1" outlineLevel="1" x14ac:dyDescent="0.35">
      <c r="A247" s="93"/>
      <c r="B247" s="10"/>
      <c r="C247" s="78"/>
      <c r="D247" s="78"/>
      <c r="E247" s="78"/>
      <c r="F247" s="78"/>
      <c r="G247" s="28"/>
      <c r="H247" s="28"/>
      <c r="I247" s="28"/>
      <c r="J247" s="28"/>
      <c r="K247" s="28"/>
      <c r="L247" s="28"/>
      <c r="M247" s="285"/>
      <c r="N247" s="157" t="s">
        <v>36</v>
      </c>
      <c r="O247" s="156" t="s">
        <v>23</v>
      </c>
      <c r="P247" s="187"/>
      <c r="Q247" s="187"/>
      <c r="R247" s="189"/>
      <c r="S247" s="140"/>
      <c r="T247" s="140"/>
      <c r="U247" s="140"/>
      <c r="V247" s="187"/>
      <c r="W247" s="187"/>
      <c r="X247" s="28"/>
      <c r="Y247" s="28"/>
      <c r="Z247" s="28"/>
      <c r="AA247" s="28"/>
      <c r="AB247" s="28"/>
      <c r="AC247" s="31"/>
      <c r="AD247" s="12"/>
    </row>
    <row r="248" spans="1:30" s="11" customFormat="1" ht="14.25" hidden="1" customHeight="1" outlineLevel="1" x14ac:dyDescent="0.35">
      <c r="A248" s="93"/>
      <c r="B248" s="10"/>
      <c r="C248" s="78"/>
      <c r="D248" s="78"/>
      <c r="E248" s="78"/>
      <c r="F248" s="78"/>
      <c r="G248" s="28"/>
      <c r="H248" s="28"/>
      <c r="I248" s="28"/>
      <c r="J248" s="28"/>
      <c r="K248" s="28"/>
      <c r="L248" s="28"/>
      <c r="M248" s="285"/>
      <c r="N248" s="157" t="s">
        <v>31</v>
      </c>
      <c r="O248" s="156" t="s">
        <v>23</v>
      </c>
      <c r="P248" s="187"/>
      <c r="Q248" s="187"/>
      <c r="R248" s="189"/>
      <c r="S248" s="140"/>
      <c r="T248" s="140"/>
      <c r="U248" s="140"/>
      <c r="V248" s="187"/>
      <c r="W248" s="187"/>
      <c r="X248" s="28"/>
      <c r="Y248" s="28"/>
      <c r="Z248" s="28"/>
      <c r="AA248" s="28"/>
      <c r="AB248" s="28"/>
      <c r="AC248" s="31"/>
      <c r="AD248" s="12"/>
    </row>
    <row r="249" spans="1:30" s="11" customFormat="1" ht="14.25" hidden="1" customHeight="1" outlineLevel="1" x14ac:dyDescent="0.35">
      <c r="A249" s="93"/>
      <c r="B249" s="10"/>
      <c r="C249" s="78"/>
      <c r="D249" s="78"/>
      <c r="E249" s="78"/>
      <c r="F249" s="78"/>
      <c r="G249" s="28"/>
      <c r="H249" s="28"/>
      <c r="I249" s="28"/>
      <c r="J249" s="28"/>
      <c r="K249" s="28"/>
      <c r="L249" s="28"/>
      <c r="M249" s="285"/>
      <c r="N249" s="157" t="s">
        <v>56</v>
      </c>
      <c r="O249" s="156" t="s">
        <v>56</v>
      </c>
      <c r="P249" s="187"/>
      <c r="Q249" s="187"/>
      <c r="R249" s="189"/>
      <c r="S249" s="140"/>
      <c r="T249" s="140"/>
      <c r="U249" s="140"/>
      <c r="V249" s="187"/>
      <c r="W249" s="187"/>
      <c r="X249" s="28"/>
      <c r="Y249" s="28"/>
      <c r="Z249" s="28"/>
      <c r="AA249" s="28"/>
      <c r="AB249" s="28"/>
      <c r="AC249" s="31"/>
      <c r="AD249" s="12"/>
    </row>
    <row r="250" spans="1:30" s="11" customFormat="1" ht="14.25" hidden="1" customHeight="1" outlineLevel="1" x14ac:dyDescent="0.35">
      <c r="A250" s="93"/>
      <c r="B250" s="10"/>
      <c r="C250" s="78"/>
      <c r="D250" s="78"/>
      <c r="E250" s="78"/>
      <c r="F250" s="78"/>
      <c r="G250" s="28"/>
      <c r="H250" s="28"/>
      <c r="I250" s="28"/>
      <c r="J250" s="28"/>
      <c r="K250" s="28"/>
      <c r="L250" s="28"/>
      <c r="M250" s="285"/>
      <c r="N250" s="157" t="s">
        <v>67</v>
      </c>
      <c r="O250" s="156" t="s">
        <v>23</v>
      </c>
      <c r="P250" s="187"/>
      <c r="Q250" s="187"/>
      <c r="R250" s="155"/>
      <c r="S250" s="140"/>
      <c r="T250" s="140"/>
      <c r="U250" s="140"/>
      <c r="V250" s="187"/>
      <c r="W250" s="187"/>
      <c r="X250" s="28"/>
      <c r="Y250" s="28"/>
      <c r="Z250" s="28"/>
      <c r="AA250" s="28"/>
      <c r="AB250" s="28"/>
      <c r="AC250" s="31"/>
      <c r="AD250" s="12"/>
    </row>
    <row r="251" spans="1:30" s="11" customFormat="1" ht="14.25" hidden="1" customHeight="1" outlineLevel="1" x14ac:dyDescent="0.35">
      <c r="A251" s="93"/>
      <c r="B251" s="10"/>
      <c r="C251" s="78"/>
      <c r="D251" s="78"/>
      <c r="E251" s="78"/>
      <c r="F251" s="78"/>
      <c r="G251" s="28"/>
      <c r="H251" s="28"/>
      <c r="I251" s="28"/>
      <c r="J251" s="28"/>
      <c r="K251" s="28"/>
      <c r="L251" s="28"/>
      <c r="M251" s="285"/>
      <c r="N251" s="157" t="s">
        <v>4</v>
      </c>
      <c r="O251" s="155" t="s">
        <v>23</v>
      </c>
      <c r="P251" s="187"/>
      <c r="Q251" s="187"/>
      <c r="R251" s="187"/>
      <c r="S251" s="140"/>
      <c r="T251" s="140"/>
      <c r="U251" s="140"/>
      <c r="V251" s="187"/>
      <c r="W251" s="187"/>
      <c r="X251" s="28"/>
      <c r="Y251" s="28"/>
      <c r="Z251" s="28"/>
      <c r="AA251" s="28"/>
      <c r="AB251" s="28"/>
      <c r="AC251" s="31"/>
      <c r="AD251" s="12"/>
    </row>
    <row r="252" spans="1:30" s="11" customFormat="1" ht="14.25" hidden="1" customHeight="1" outlineLevel="1" x14ac:dyDescent="0.35">
      <c r="A252" s="93"/>
      <c r="B252" s="10"/>
      <c r="C252" s="78"/>
      <c r="D252" s="78"/>
      <c r="E252" s="78"/>
      <c r="F252" s="78"/>
      <c r="G252" s="28"/>
      <c r="H252" s="28"/>
      <c r="I252" s="28"/>
      <c r="J252" s="28"/>
      <c r="K252" s="28"/>
      <c r="L252" s="28"/>
      <c r="M252" s="285"/>
      <c r="N252" s="157" t="s">
        <v>26</v>
      </c>
      <c r="O252" s="155" t="s">
        <v>23</v>
      </c>
      <c r="P252" s="187"/>
      <c r="Q252" s="187"/>
      <c r="R252" s="187"/>
      <c r="S252" s="140"/>
      <c r="T252" s="140"/>
      <c r="U252" s="140"/>
      <c r="V252" s="187"/>
      <c r="W252" s="187"/>
      <c r="X252" s="28"/>
      <c r="Y252" s="28"/>
      <c r="Z252" s="28"/>
      <c r="AA252" s="28"/>
      <c r="AB252" s="28"/>
      <c r="AC252" s="31"/>
      <c r="AD252" s="12"/>
    </row>
    <row r="253" spans="1:30" s="11" customFormat="1" ht="14.25" hidden="1" customHeight="1" outlineLevel="1" x14ac:dyDescent="0.35">
      <c r="A253" s="93"/>
      <c r="B253" s="10"/>
      <c r="C253" s="78"/>
      <c r="D253" s="78"/>
      <c r="E253" s="78"/>
      <c r="F253" s="78"/>
      <c r="G253" s="28"/>
      <c r="H253" s="28"/>
      <c r="I253" s="28"/>
      <c r="J253" s="28"/>
      <c r="K253" s="28"/>
      <c r="L253" s="28"/>
      <c r="M253" s="285"/>
      <c r="N253" s="157"/>
      <c r="O253" s="28"/>
      <c r="P253" s="28"/>
      <c r="Q253" s="28"/>
      <c r="R253" s="28"/>
      <c r="S253" s="139"/>
      <c r="T253" s="139"/>
      <c r="U253" s="139"/>
      <c r="V253" s="139"/>
      <c r="W253" s="139"/>
      <c r="X253" s="28"/>
      <c r="Y253" s="28"/>
      <c r="Z253" s="28"/>
      <c r="AA253" s="28"/>
      <c r="AB253" s="139"/>
      <c r="AC253" s="31"/>
      <c r="AD253" s="12"/>
    </row>
    <row r="254" spans="1:30" s="11" customFormat="1" ht="15" hidden="1" customHeight="1" outlineLevel="1" x14ac:dyDescent="0.35">
      <c r="A254" s="93"/>
      <c r="B254" s="10"/>
      <c r="C254" s="80"/>
      <c r="D254" s="80"/>
      <c r="E254" s="80"/>
      <c r="F254" s="78"/>
      <c r="G254" s="28"/>
      <c r="H254" s="28"/>
      <c r="I254" s="28"/>
      <c r="J254" s="28"/>
      <c r="K254" s="28"/>
      <c r="L254" s="28"/>
      <c r="M254" s="285"/>
      <c r="N254" s="332" t="str">
        <f>"Total effort is "&amp;TEXT(TOTAL_EFFORT,"##,##,###")&amp;" PDs. How much up or down it can safely be without being way off?"</f>
        <v>Total effort is 506 PDs. How much up or down it can safely be without being way off?</v>
      </c>
      <c r="O254" s="142" t="s">
        <v>128</v>
      </c>
      <c r="P254" s="142" t="s">
        <v>129</v>
      </c>
      <c r="Q254" s="28"/>
      <c r="R254" s="28"/>
      <c r="S254" s="139"/>
      <c r="T254" s="139"/>
      <c r="U254" s="139"/>
      <c r="V254" s="139"/>
      <c r="W254" s="139"/>
      <c r="X254" s="28"/>
      <c r="Y254" s="28"/>
      <c r="Z254" s="28"/>
      <c r="AA254" s="28"/>
      <c r="AB254" s="31"/>
      <c r="AC254" s="31"/>
      <c r="AD254" s="12"/>
    </row>
    <row r="255" spans="1:30" s="11" customFormat="1" ht="15" hidden="1" customHeight="1" outlineLevel="1" x14ac:dyDescent="0.35">
      <c r="A255" s="93"/>
      <c r="B255" s="10"/>
      <c r="C255" s="80"/>
      <c r="D255" s="80"/>
      <c r="E255" s="80"/>
      <c r="F255" s="78"/>
      <c r="G255" s="28"/>
      <c r="H255" s="28"/>
      <c r="I255" s="28"/>
      <c r="J255" s="28"/>
      <c r="K255" s="28"/>
      <c r="L255" s="28"/>
      <c r="M255" s="285"/>
      <c r="N255" s="332"/>
      <c r="O255" s="151">
        <v>-0.2</v>
      </c>
      <c r="P255" s="152">
        <v>0.2</v>
      </c>
      <c r="Q255" s="28"/>
      <c r="R255" s="28"/>
      <c r="S255" s="139"/>
      <c r="T255" s="139"/>
      <c r="U255" s="139"/>
      <c r="V255" s="139"/>
      <c r="W255" s="139"/>
      <c r="X255" s="28"/>
      <c r="Y255" s="28"/>
      <c r="Z255" s="28"/>
      <c r="AA255" s="28"/>
      <c r="AB255" s="31"/>
      <c r="AC255" s="31"/>
      <c r="AD255" s="12"/>
    </row>
    <row r="256" spans="1:30" s="11" customFormat="1" hidden="1" outlineLevel="1" x14ac:dyDescent="0.35">
      <c r="A256" s="93"/>
      <c r="B256" s="10"/>
      <c r="C256" s="80"/>
      <c r="D256" s="80"/>
      <c r="E256" s="80"/>
      <c r="F256" s="78"/>
      <c r="G256" s="28"/>
      <c r="H256" s="28"/>
      <c r="I256" s="28"/>
      <c r="J256" s="28"/>
      <c r="K256" s="28"/>
      <c r="L256" s="28"/>
      <c r="M256" s="285"/>
      <c r="N256" s="332"/>
      <c r="O256" s="31"/>
      <c r="P256" s="28"/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8"/>
      <c r="AB256" s="31"/>
      <c r="AC256" s="31"/>
      <c r="AD256" s="12"/>
    </row>
    <row r="257" spans="1:30" s="11" customFormat="1" hidden="1" outlineLevel="1" x14ac:dyDescent="0.35">
      <c r="A257" s="93"/>
      <c r="B257" s="10"/>
      <c r="C257" s="80"/>
      <c r="D257" s="80"/>
      <c r="E257" s="80"/>
      <c r="F257" s="78"/>
      <c r="G257" s="28"/>
      <c r="H257" s="28"/>
      <c r="I257" s="28"/>
      <c r="J257" s="28"/>
      <c r="K257" s="28"/>
      <c r="L257" s="28"/>
      <c r="M257" s="285"/>
      <c r="N257" s="161" t="s">
        <v>457</v>
      </c>
      <c r="O257" s="139"/>
      <c r="P257" s="162" t="s">
        <v>96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8"/>
      <c r="AB257" s="31"/>
      <c r="AC257" s="31"/>
      <c r="AD257" s="12"/>
    </row>
    <row r="258" spans="1:30" s="11" customFormat="1" hidden="1" outlineLevel="1" x14ac:dyDescent="0.35">
      <c r="A258" s="93"/>
      <c r="B258" s="10"/>
      <c r="C258" s="80"/>
      <c r="D258" s="80"/>
      <c r="E258" s="80"/>
      <c r="F258" s="78"/>
      <c r="G258" s="28"/>
      <c r="H258" s="28"/>
      <c r="I258" s="28"/>
      <c r="J258" s="28"/>
      <c r="K258" s="28"/>
      <c r="L258" s="28"/>
      <c r="M258" s="285"/>
      <c r="N258" s="263" t="s">
        <v>156</v>
      </c>
      <c r="O258" s="28"/>
      <c r="P258" s="160" t="s">
        <v>78</v>
      </c>
      <c r="Q258" s="141" t="s">
        <v>193</v>
      </c>
      <c r="R258" s="28"/>
      <c r="S258" s="28"/>
      <c r="T258" s="28"/>
      <c r="U258" s="28"/>
      <c r="V258" s="28"/>
      <c r="W258" s="28"/>
      <c r="X258" s="28"/>
      <c r="Y258" s="28"/>
      <c r="Z258" s="28"/>
      <c r="AA258" s="28"/>
      <c r="AB258" s="28"/>
      <c r="AC258" s="31"/>
      <c r="AD258" s="12"/>
    </row>
    <row r="259" spans="1:30" s="11" customFormat="1" hidden="1" outlineLevel="1" x14ac:dyDescent="0.35">
      <c r="A259" s="93"/>
      <c r="B259" s="10"/>
      <c r="C259" s="80"/>
      <c r="D259" s="80"/>
      <c r="E259" s="80"/>
      <c r="F259" s="78"/>
      <c r="G259" s="28"/>
      <c r="H259" s="28"/>
      <c r="I259" s="28"/>
      <c r="J259" s="28"/>
      <c r="K259" s="28"/>
      <c r="L259" s="28"/>
      <c r="M259" s="285"/>
      <c r="N259" s="263" t="s">
        <v>169</v>
      </c>
      <c r="O259" s="28"/>
      <c r="P259" s="160" t="s">
        <v>97</v>
      </c>
      <c r="Q259" s="141" t="s">
        <v>192</v>
      </c>
      <c r="R259" s="28"/>
      <c r="S259" s="28"/>
      <c r="T259" s="28"/>
      <c r="U259" s="28"/>
      <c r="V259" s="28"/>
      <c r="W259" s="28"/>
      <c r="X259" s="28"/>
      <c r="Y259" s="28"/>
      <c r="Z259" s="28"/>
      <c r="AA259" s="28"/>
      <c r="AB259" s="28"/>
      <c r="AC259" s="31"/>
      <c r="AD259" s="12"/>
    </row>
    <row r="260" spans="1:30" s="11" customFormat="1" hidden="1" outlineLevel="1" x14ac:dyDescent="0.35">
      <c r="A260" s="93"/>
      <c r="B260" s="10"/>
      <c r="C260" s="80"/>
      <c r="D260" s="80"/>
      <c r="E260" s="80"/>
      <c r="F260" s="78"/>
      <c r="G260" s="28"/>
      <c r="H260" s="28"/>
      <c r="I260" s="28"/>
      <c r="J260" s="28"/>
      <c r="K260" s="28"/>
      <c r="L260" s="28"/>
      <c r="M260" s="285"/>
      <c r="N260" s="263" t="s">
        <v>170</v>
      </c>
      <c r="O260" s="28"/>
      <c r="P260" s="28"/>
      <c r="Q260" s="28"/>
      <c r="R260" s="28"/>
      <c r="S260" s="28"/>
      <c r="T260" s="28"/>
      <c r="U260" s="160"/>
      <c r="V260" s="28"/>
      <c r="W260" s="28"/>
      <c r="X260" s="28"/>
      <c r="Y260" s="28"/>
      <c r="Z260" s="28"/>
      <c r="AA260" s="28"/>
      <c r="AB260" s="28"/>
      <c r="AC260" s="31"/>
      <c r="AD260" s="12"/>
    </row>
    <row r="261" spans="1:30" s="11" customFormat="1" ht="15" hidden="1" customHeight="1" outlineLevel="1" x14ac:dyDescent="0.35">
      <c r="A261" s="93"/>
      <c r="B261" s="10"/>
      <c r="C261" s="80"/>
      <c r="D261" s="80"/>
      <c r="E261" s="80"/>
      <c r="F261" s="78"/>
      <c r="G261" s="28"/>
      <c r="H261" s="28"/>
      <c r="I261" s="28"/>
      <c r="J261" s="28"/>
      <c r="K261" s="28"/>
      <c r="L261" s="28"/>
      <c r="M261" s="285"/>
      <c r="N261" s="263" t="s">
        <v>171</v>
      </c>
      <c r="O261" s="28"/>
      <c r="P261" s="28"/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8"/>
      <c r="AB261" s="28"/>
      <c r="AC261" s="31"/>
      <c r="AD261" s="12"/>
    </row>
    <row r="262" spans="1:30" s="11" customFormat="1" hidden="1" outlineLevel="1" x14ac:dyDescent="0.35">
      <c r="A262" s="93"/>
      <c r="B262" s="10"/>
      <c r="C262" s="80"/>
      <c r="D262" s="80"/>
      <c r="E262" s="80"/>
      <c r="F262" s="78"/>
      <c r="G262" s="28"/>
      <c r="H262" s="28"/>
      <c r="I262" s="28"/>
      <c r="J262" s="28"/>
      <c r="K262" s="28"/>
      <c r="L262" s="28"/>
      <c r="M262" s="285"/>
      <c r="N262" s="263" t="s">
        <v>172</v>
      </c>
      <c r="O262" s="28"/>
      <c r="P262" s="28"/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8"/>
      <c r="AB262" s="28"/>
      <c r="AC262" s="31"/>
      <c r="AD262" s="12"/>
    </row>
    <row r="263" spans="1:30" s="11" customFormat="1" hidden="1" outlineLevel="1" x14ac:dyDescent="0.35">
      <c r="A263" s="93"/>
      <c r="B263" s="10"/>
      <c r="C263" s="80"/>
      <c r="D263" s="80"/>
      <c r="E263" s="80"/>
      <c r="F263" s="78"/>
      <c r="G263" s="28"/>
      <c r="H263" s="28"/>
      <c r="I263" s="28"/>
      <c r="J263" s="28"/>
      <c r="K263" s="28"/>
      <c r="L263" s="28"/>
      <c r="M263" s="285"/>
      <c r="N263" s="263" t="s">
        <v>173</v>
      </c>
      <c r="O263" s="28"/>
      <c r="P263" s="28"/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8"/>
      <c r="AB263" s="28"/>
      <c r="AC263" s="31"/>
      <c r="AD263" s="12"/>
    </row>
    <row r="264" spans="1:30" s="11" customFormat="1" hidden="1" outlineLevel="1" x14ac:dyDescent="0.35">
      <c r="A264" s="93"/>
      <c r="B264" s="10"/>
      <c r="C264" s="80"/>
      <c r="D264" s="80"/>
      <c r="E264" s="80"/>
      <c r="F264" s="78"/>
      <c r="G264" s="28"/>
      <c r="H264" s="28"/>
      <c r="I264" s="28"/>
      <c r="J264" s="28"/>
      <c r="K264" s="28"/>
      <c r="L264" s="28"/>
      <c r="M264" s="285"/>
      <c r="N264" s="263" t="s">
        <v>174</v>
      </c>
      <c r="O264" s="28"/>
      <c r="P264" s="28"/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8"/>
      <c r="AB264" s="28"/>
      <c r="AC264" s="31"/>
      <c r="AD264" s="12"/>
    </row>
    <row r="265" spans="1:30" s="11" customFormat="1" hidden="1" outlineLevel="1" x14ac:dyDescent="0.35">
      <c r="A265" s="93"/>
      <c r="B265" s="10"/>
      <c r="C265" s="80"/>
      <c r="D265" s="80"/>
      <c r="E265" s="80"/>
      <c r="F265" s="78"/>
      <c r="G265" s="28"/>
      <c r="H265" s="28"/>
      <c r="I265" s="28"/>
      <c r="J265" s="28"/>
      <c r="K265" s="28"/>
      <c r="L265" s="28"/>
      <c r="M265" s="285"/>
      <c r="N265" s="263" t="s">
        <v>155</v>
      </c>
      <c r="O265" s="31"/>
      <c r="P265" s="141"/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8"/>
      <c r="AB265" s="28"/>
      <c r="AC265" s="31"/>
      <c r="AD265" s="12"/>
    </row>
    <row r="266" spans="1:30" s="11" customFormat="1" hidden="1" outlineLevel="1" x14ac:dyDescent="0.35">
      <c r="A266" s="93"/>
      <c r="B266" s="10"/>
      <c r="C266" s="80"/>
      <c r="D266" s="80"/>
      <c r="E266" s="80"/>
      <c r="F266" s="78"/>
      <c r="G266" s="28"/>
      <c r="H266" s="28"/>
      <c r="I266" s="28"/>
      <c r="J266" s="28"/>
      <c r="K266" s="28"/>
      <c r="L266" s="28"/>
      <c r="M266" s="285"/>
      <c r="N266" s="263" t="s">
        <v>158</v>
      </c>
      <c r="O266" s="31"/>
      <c r="P266" s="28"/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8"/>
      <c r="AB266" s="28"/>
      <c r="AC266" s="31"/>
      <c r="AD266" s="12"/>
    </row>
    <row r="267" spans="1:30" s="11" customFormat="1" hidden="1" outlineLevel="1" x14ac:dyDescent="0.35">
      <c r="A267" s="93"/>
      <c r="B267" s="10"/>
      <c r="C267" s="80"/>
      <c r="D267" s="80"/>
      <c r="E267" s="80"/>
      <c r="F267" s="78"/>
      <c r="G267" s="28"/>
      <c r="H267" s="28"/>
      <c r="I267" s="28"/>
      <c r="J267" s="28"/>
      <c r="K267" s="28"/>
      <c r="L267" s="28"/>
      <c r="M267" s="285"/>
      <c r="N267" s="263" t="s">
        <v>160</v>
      </c>
      <c r="O267" s="31"/>
      <c r="P267" s="28"/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8"/>
      <c r="AB267" s="28"/>
      <c r="AC267" s="31"/>
      <c r="AD267" s="12"/>
    </row>
    <row r="268" spans="1:30" s="11" customFormat="1" hidden="1" outlineLevel="1" x14ac:dyDescent="0.35">
      <c r="A268" s="93"/>
      <c r="B268" s="10"/>
      <c r="C268" s="80"/>
      <c r="D268" s="80"/>
      <c r="E268" s="80"/>
      <c r="F268" s="78"/>
      <c r="G268" s="28"/>
      <c r="H268" s="28"/>
      <c r="I268" s="28"/>
      <c r="J268" s="28"/>
      <c r="K268" s="28"/>
      <c r="L268" s="28"/>
      <c r="M268" s="285"/>
      <c r="N268" s="263" t="s">
        <v>159</v>
      </c>
      <c r="O268" s="31"/>
      <c r="P268" s="28"/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8"/>
      <c r="AB268" s="28"/>
      <c r="AC268" s="31"/>
      <c r="AD268" s="12"/>
    </row>
    <row r="269" spans="1:30" s="11" customFormat="1" hidden="1" outlineLevel="1" x14ac:dyDescent="0.35">
      <c r="A269" s="93"/>
      <c r="B269" s="10"/>
      <c r="C269" s="80"/>
      <c r="D269" s="80"/>
      <c r="E269" s="80"/>
      <c r="F269" s="78"/>
      <c r="G269" s="28"/>
      <c r="H269" s="28"/>
      <c r="I269" s="28"/>
      <c r="J269" s="28"/>
      <c r="K269" s="28"/>
      <c r="L269" s="28"/>
      <c r="M269" s="285"/>
      <c r="N269" s="263" t="s">
        <v>161</v>
      </c>
      <c r="O269" s="31"/>
      <c r="P269" s="28"/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8"/>
      <c r="AB269" s="28"/>
      <c r="AC269" s="31"/>
      <c r="AD269" s="12"/>
    </row>
    <row r="270" spans="1:30" s="11" customFormat="1" hidden="1" outlineLevel="1" x14ac:dyDescent="0.35">
      <c r="A270" s="93"/>
      <c r="B270" s="10"/>
      <c r="C270" s="80"/>
      <c r="D270" s="80"/>
      <c r="E270" s="80"/>
      <c r="F270" s="78"/>
      <c r="G270" s="28"/>
      <c r="H270" s="28"/>
      <c r="I270" s="28"/>
      <c r="J270" s="28"/>
      <c r="K270" s="28"/>
      <c r="L270" s="28"/>
      <c r="M270" s="285"/>
      <c r="N270" s="263" t="s">
        <v>162</v>
      </c>
      <c r="O270" s="31"/>
      <c r="P270" s="28"/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8"/>
      <c r="AB270" s="28"/>
      <c r="AC270" s="31"/>
      <c r="AD270" s="12"/>
    </row>
    <row r="271" spans="1:30" s="11" customFormat="1" hidden="1" outlineLevel="1" x14ac:dyDescent="0.35">
      <c r="A271" s="93"/>
      <c r="B271" s="10"/>
      <c r="C271" s="80"/>
      <c r="D271" s="80"/>
      <c r="E271" s="80"/>
      <c r="F271" s="78"/>
      <c r="G271" s="28"/>
      <c r="H271" s="28"/>
      <c r="I271" s="28"/>
      <c r="J271" s="28"/>
      <c r="K271" s="28"/>
      <c r="L271" s="28"/>
      <c r="M271" s="285"/>
      <c r="N271" s="263" t="s">
        <v>163</v>
      </c>
      <c r="O271" s="31"/>
      <c r="P271" s="28"/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8"/>
      <c r="AB271" s="28"/>
      <c r="AC271" s="31"/>
      <c r="AD271" s="12"/>
    </row>
    <row r="272" spans="1:30" s="11" customFormat="1" hidden="1" outlineLevel="1" x14ac:dyDescent="0.35">
      <c r="A272" s="93"/>
      <c r="B272" s="10"/>
      <c r="C272" s="80"/>
      <c r="D272" s="80"/>
      <c r="E272" s="80"/>
      <c r="F272" s="78"/>
      <c r="G272" s="28"/>
      <c r="H272" s="28"/>
      <c r="I272" s="28"/>
      <c r="J272" s="28"/>
      <c r="K272" s="28"/>
      <c r="L272" s="28"/>
      <c r="M272" s="285"/>
      <c r="N272" s="263" t="s">
        <v>157</v>
      </c>
      <c r="O272" s="31"/>
      <c r="P272" s="28"/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8"/>
      <c r="AB272" s="28"/>
      <c r="AC272" s="31"/>
      <c r="AD272" s="12"/>
    </row>
    <row r="273" spans="1:30" s="11" customFormat="1" hidden="1" outlineLevel="1" x14ac:dyDescent="0.35">
      <c r="A273" s="93"/>
      <c r="B273" s="10"/>
      <c r="C273" s="80"/>
      <c r="D273" s="80"/>
      <c r="E273" s="80"/>
      <c r="F273" s="78"/>
      <c r="G273" s="28"/>
      <c r="H273" s="28"/>
      <c r="I273" s="28"/>
      <c r="J273" s="28"/>
      <c r="K273" s="28"/>
      <c r="L273" s="28"/>
      <c r="M273" s="285"/>
      <c r="N273" s="263" t="s">
        <v>164</v>
      </c>
      <c r="O273" s="31"/>
      <c r="P273" s="28"/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8"/>
      <c r="AB273" s="28"/>
      <c r="AC273" s="31"/>
      <c r="AD273" s="12"/>
    </row>
    <row r="274" spans="1:30" s="11" customFormat="1" hidden="1" outlineLevel="1" x14ac:dyDescent="0.35">
      <c r="A274" s="93"/>
      <c r="B274" s="10"/>
      <c r="C274" s="80"/>
      <c r="D274" s="80"/>
      <c r="E274" s="80"/>
      <c r="F274" s="78"/>
      <c r="G274" s="28"/>
      <c r="H274" s="28"/>
      <c r="I274" s="28"/>
      <c r="J274" s="28"/>
      <c r="K274" s="28"/>
      <c r="L274" s="28"/>
      <c r="M274" s="285"/>
      <c r="N274" s="263" t="s">
        <v>165</v>
      </c>
      <c r="O274" s="31"/>
      <c r="P274" s="28"/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8"/>
      <c r="AB274" s="28"/>
      <c r="AC274" s="31"/>
      <c r="AD274" s="12"/>
    </row>
    <row r="275" spans="1:30" s="11" customFormat="1" hidden="1" outlineLevel="1" x14ac:dyDescent="0.35">
      <c r="A275" s="93"/>
      <c r="B275" s="10"/>
      <c r="C275" s="80"/>
      <c r="D275" s="80"/>
      <c r="E275" s="80"/>
      <c r="F275" s="78"/>
      <c r="G275" s="28"/>
      <c r="H275" s="28"/>
      <c r="I275" s="28"/>
      <c r="J275" s="28"/>
      <c r="K275" s="28"/>
      <c r="L275" s="28"/>
      <c r="M275" s="285"/>
      <c r="N275" s="263" t="s">
        <v>166</v>
      </c>
      <c r="O275" s="31"/>
      <c r="P275" s="28"/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8"/>
      <c r="AB275" s="28"/>
      <c r="AC275" s="31"/>
      <c r="AD275" s="12"/>
    </row>
    <row r="276" spans="1:30" s="11" customFormat="1" hidden="1" outlineLevel="1" x14ac:dyDescent="0.35">
      <c r="A276" s="93"/>
      <c r="B276" s="10"/>
      <c r="C276" s="80"/>
      <c r="D276" s="80"/>
      <c r="E276" s="80"/>
      <c r="F276" s="78"/>
      <c r="G276" s="28"/>
      <c r="H276" s="28"/>
      <c r="I276" s="28"/>
      <c r="J276" s="28"/>
      <c r="K276" s="28"/>
      <c r="L276" s="28"/>
      <c r="M276" s="285"/>
      <c r="N276" s="263" t="s">
        <v>167</v>
      </c>
      <c r="O276" s="31"/>
      <c r="P276" s="28"/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8"/>
      <c r="AB276" s="28"/>
      <c r="AC276" s="31"/>
      <c r="AD276" s="12"/>
    </row>
    <row r="277" spans="1:30" s="11" customFormat="1" hidden="1" outlineLevel="1" x14ac:dyDescent="0.35">
      <c r="A277" s="93"/>
      <c r="B277" s="10"/>
      <c r="C277" s="80"/>
      <c r="D277" s="80"/>
      <c r="E277" s="80"/>
      <c r="F277" s="78"/>
      <c r="G277" s="28"/>
      <c r="H277" s="28"/>
      <c r="I277" s="28"/>
      <c r="J277" s="28"/>
      <c r="K277" s="28"/>
      <c r="L277" s="28"/>
      <c r="M277" s="285"/>
      <c r="N277" s="263" t="s">
        <v>168</v>
      </c>
      <c r="O277" s="31"/>
      <c r="P277" s="28"/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8"/>
      <c r="AB277" s="28"/>
      <c r="AC277" s="31"/>
      <c r="AD277" s="12"/>
    </row>
    <row r="278" spans="1:30" s="11" customFormat="1" hidden="1" outlineLevel="1" x14ac:dyDescent="0.35">
      <c r="A278" s="93"/>
      <c r="B278" s="10"/>
      <c r="C278" s="80"/>
      <c r="D278" s="80"/>
      <c r="E278" s="80"/>
      <c r="F278" s="78"/>
      <c r="G278" s="28"/>
      <c r="H278" s="28"/>
      <c r="I278" s="28"/>
      <c r="J278" s="28"/>
      <c r="K278" s="28"/>
      <c r="L278" s="28"/>
      <c r="M278" s="285"/>
      <c r="N278" s="139"/>
      <c r="O278" s="31"/>
      <c r="P278" s="28"/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8"/>
      <c r="AB278" s="28"/>
      <c r="AC278" s="31"/>
      <c r="AD278" s="12"/>
    </row>
    <row r="279" spans="1:30" s="11" customFormat="1" ht="15" hidden="1" customHeight="1" outlineLevel="1" x14ac:dyDescent="0.3">
      <c r="A279" s="93"/>
      <c r="B279" s="10"/>
      <c r="C279" s="80"/>
      <c r="D279" s="80"/>
      <c r="E279" s="80"/>
      <c r="F279" s="78"/>
      <c r="G279" s="28"/>
      <c r="H279" s="28"/>
      <c r="I279" s="28"/>
      <c r="J279" s="28"/>
      <c r="K279" s="28"/>
      <c r="L279" s="28"/>
      <c r="M279" s="285"/>
      <c r="N279" s="165" t="s">
        <v>77</v>
      </c>
      <c r="O279" s="165" t="s">
        <v>144</v>
      </c>
      <c r="P279" s="28"/>
      <c r="Q279" s="186"/>
      <c r="R279" s="186"/>
      <c r="S279" s="28"/>
      <c r="T279" s="28"/>
      <c r="U279" s="28"/>
      <c r="V279" s="28"/>
      <c r="W279" s="28"/>
      <c r="X279" s="28"/>
      <c r="Y279" s="28"/>
      <c r="Z279" s="28"/>
      <c r="AA279" s="28"/>
      <c r="AB279" s="31"/>
      <c r="AC279" s="31"/>
      <c r="AD279" s="12"/>
    </row>
    <row r="280" spans="1:30" s="11" customFormat="1" ht="15" hidden="1" customHeight="1" outlineLevel="1" x14ac:dyDescent="0.35">
      <c r="A280" s="93"/>
      <c r="B280" s="10"/>
      <c r="C280" s="80"/>
      <c r="D280" s="80"/>
      <c r="E280" s="80"/>
      <c r="F280" s="78"/>
      <c r="G280" s="28"/>
      <c r="H280" s="28"/>
      <c r="I280" s="28"/>
      <c r="J280" s="28"/>
      <c r="K280" s="28"/>
      <c r="L280" s="28"/>
      <c r="M280" s="285"/>
      <c r="N280" s="159" t="s">
        <v>65</v>
      </c>
      <c r="O280" s="164">
        <v>0.5</v>
      </c>
      <c r="P280" s="333" t="s">
        <v>140</v>
      </c>
      <c r="Q280" s="333"/>
      <c r="R280" s="333"/>
      <c r="S280" s="28"/>
      <c r="T280" s="28"/>
      <c r="U280" s="28"/>
      <c r="V280" s="28"/>
      <c r="W280" s="28"/>
      <c r="X280" s="28"/>
      <c r="Y280" s="28"/>
      <c r="Z280" s="28"/>
      <c r="AA280" s="28"/>
      <c r="AB280" s="31"/>
      <c r="AC280" s="31"/>
      <c r="AD280" s="12"/>
    </row>
    <row r="281" spans="1:30" s="11" customFormat="1" hidden="1" outlineLevel="1" x14ac:dyDescent="0.35">
      <c r="A281" s="93"/>
      <c r="B281" s="10"/>
      <c r="C281" s="80"/>
      <c r="D281" s="80"/>
      <c r="E281" s="80"/>
      <c r="F281" s="78"/>
      <c r="G281" s="28"/>
      <c r="H281" s="28"/>
      <c r="I281" s="28"/>
      <c r="J281" s="28"/>
      <c r="K281" s="28"/>
      <c r="L281" s="28"/>
      <c r="M281" s="285"/>
      <c r="N281" s="159" t="s">
        <v>66</v>
      </c>
      <c r="O281" s="164">
        <v>0.25</v>
      </c>
      <c r="P281" s="333"/>
      <c r="Q281" s="333"/>
      <c r="R281" s="333"/>
      <c r="S281" s="28"/>
      <c r="T281" s="28"/>
      <c r="U281" s="28"/>
      <c r="V281" s="28"/>
      <c r="W281" s="28"/>
      <c r="X281" s="28"/>
      <c r="Y281" s="28"/>
      <c r="Z281" s="28"/>
      <c r="AA281" s="28"/>
      <c r="AB281" s="31"/>
      <c r="AC281" s="31"/>
      <c r="AD281" s="12"/>
    </row>
    <row r="282" spans="1:30" s="11" customFormat="1" hidden="1" outlineLevel="1" x14ac:dyDescent="0.35">
      <c r="A282" s="93"/>
      <c r="B282" s="10"/>
      <c r="C282" s="80"/>
      <c r="D282" s="80"/>
      <c r="E282" s="80"/>
      <c r="F282" s="78"/>
      <c r="G282" s="28"/>
      <c r="H282" s="28"/>
      <c r="I282" s="28"/>
      <c r="J282" s="28"/>
      <c r="K282" s="28"/>
      <c r="L282" s="28"/>
      <c r="M282" s="285"/>
      <c r="N282" s="31"/>
      <c r="O282" s="31"/>
      <c r="P282" s="333"/>
      <c r="Q282" s="333"/>
      <c r="R282" s="333"/>
      <c r="S282" s="28"/>
      <c r="T282" s="28"/>
      <c r="U282" s="28"/>
      <c r="V282" s="28"/>
      <c r="W282" s="28"/>
      <c r="X282" s="28"/>
      <c r="Y282" s="28"/>
      <c r="Z282" s="28"/>
      <c r="AA282" s="28"/>
      <c r="AB282" s="31"/>
      <c r="AC282" s="31"/>
      <c r="AD282" s="12"/>
    </row>
    <row r="283" spans="1:30" s="11" customFormat="1" hidden="1" outlineLevel="1" x14ac:dyDescent="0.35">
      <c r="A283" s="93"/>
      <c r="B283" s="10"/>
      <c r="C283" s="80"/>
      <c r="D283" s="80"/>
      <c r="E283" s="80"/>
      <c r="F283" s="78"/>
      <c r="G283" s="28"/>
      <c r="H283" s="28"/>
      <c r="I283" s="28"/>
      <c r="J283" s="28"/>
      <c r="K283" s="28"/>
      <c r="L283" s="28"/>
      <c r="M283" s="285"/>
      <c r="N283" s="31"/>
      <c r="O283" s="31"/>
      <c r="P283" s="333"/>
      <c r="Q283" s="333"/>
      <c r="R283" s="333"/>
      <c r="S283" s="28"/>
      <c r="T283" s="28"/>
      <c r="U283" s="28"/>
      <c r="V283" s="28"/>
      <c r="W283" s="28"/>
      <c r="X283" s="28"/>
      <c r="Y283" s="28"/>
      <c r="Z283" s="28"/>
      <c r="AA283" s="28"/>
      <c r="AB283" s="31"/>
      <c r="AC283" s="31"/>
      <c r="AD283" s="12"/>
    </row>
    <row r="284" spans="1:30" s="11" customFormat="1" hidden="1" outlineLevel="1" x14ac:dyDescent="0.3">
      <c r="A284" s="93"/>
      <c r="B284" s="10"/>
      <c r="C284" s="80"/>
      <c r="D284" s="80"/>
      <c r="E284" s="80"/>
      <c r="F284" s="78"/>
      <c r="G284" s="28"/>
      <c r="H284" s="28"/>
      <c r="I284" s="28"/>
      <c r="J284" s="28"/>
      <c r="K284" s="28"/>
      <c r="L284" s="28"/>
      <c r="M284" s="285"/>
      <c r="N284" s="161" t="s">
        <v>133</v>
      </c>
      <c r="O284" s="165" t="s">
        <v>144</v>
      </c>
      <c r="P284" s="28"/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8"/>
      <c r="AB284" s="31"/>
      <c r="AC284" s="31"/>
      <c r="AD284" s="12"/>
    </row>
    <row r="285" spans="1:30" s="11" customFormat="1" hidden="1" outlineLevel="1" x14ac:dyDescent="0.35">
      <c r="A285" s="93"/>
      <c r="B285" s="10"/>
      <c r="C285" s="80"/>
      <c r="D285" s="80"/>
      <c r="E285" s="80"/>
      <c r="F285" s="78"/>
      <c r="G285" s="28"/>
      <c r="H285" s="28"/>
      <c r="I285" s="28"/>
      <c r="J285" s="28"/>
      <c r="K285" s="28"/>
      <c r="L285" s="28"/>
      <c r="M285" s="285"/>
      <c r="N285" s="271" t="s">
        <v>23</v>
      </c>
      <c r="O285" s="272">
        <v>0</v>
      </c>
      <c r="P285" s="333" t="s">
        <v>141</v>
      </c>
      <c r="Q285" s="333"/>
      <c r="R285" s="28"/>
      <c r="S285" s="28"/>
      <c r="T285" s="28"/>
      <c r="U285" s="28"/>
      <c r="V285" s="28"/>
      <c r="W285" s="28"/>
      <c r="X285" s="28"/>
      <c r="Y285" s="28"/>
      <c r="Z285" s="28"/>
      <c r="AA285" s="28"/>
      <c r="AB285" s="31"/>
      <c r="AC285" s="31"/>
      <c r="AD285" s="12"/>
    </row>
    <row r="286" spans="1:30" s="11" customFormat="1" ht="15" hidden="1" customHeight="1" outlineLevel="1" x14ac:dyDescent="0.35">
      <c r="A286" s="93"/>
      <c r="B286" s="10"/>
      <c r="C286" s="80"/>
      <c r="D286" s="80"/>
      <c r="E286" s="80"/>
      <c r="F286" s="78"/>
      <c r="G286" s="28"/>
      <c r="H286" s="28"/>
      <c r="I286" s="28"/>
      <c r="J286" s="28"/>
      <c r="K286" s="28"/>
      <c r="L286" s="28"/>
      <c r="M286" s="285"/>
      <c r="N286" s="271" t="s">
        <v>134</v>
      </c>
      <c r="O286" s="272">
        <v>0.25</v>
      </c>
      <c r="P286" s="333"/>
      <c r="Q286" s="333"/>
      <c r="R286" s="28"/>
      <c r="S286" s="28"/>
      <c r="T286" s="28"/>
      <c r="U286" s="28"/>
      <c r="V286" s="28"/>
      <c r="W286" s="28"/>
      <c r="X286" s="28"/>
      <c r="Y286" s="28"/>
      <c r="Z286" s="28"/>
      <c r="AA286" s="28"/>
      <c r="AB286" s="31"/>
      <c r="AC286" s="31"/>
      <c r="AD286" s="12"/>
    </row>
    <row r="287" spans="1:30" s="11" customFormat="1" hidden="1" outlineLevel="1" x14ac:dyDescent="0.35">
      <c r="A287" s="93"/>
      <c r="B287" s="10"/>
      <c r="C287" s="80"/>
      <c r="D287" s="80"/>
      <c r="E287" s="80"/>
      <c r="F287" s="78"/>
      <c r="G287" s="28"/>
      <c r="H287" s="28"/>
      <c r="I287" s="28"/>
      <c r="J287" s="28"/>
      <c r="K287" s="28"/>
      <c r="L287" s="28"/>
      <c r="M287" s="285"/>
      <c r="N287" s="271" t="s">
        <v>135</v>
      </c>
      <c r="O287" s="273">
        <v>0.1</v>
      </c>
      <c r="P287" s="28"/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8"/>
      <c r="AB287" s="31"/>
      <c r="AC287" s="31"/>
      <c r="AD287" s="12"/>
    </row>
    <row r="288" spans="1:30" s="11" customFormat="1" hidden="1" outlineLevel="1" x14ac:dyDescent="0.35">
      <c r="A288" s="93"/>
      <c r="B288" s="10"/>
      <c r="C288" s="80"/>
      <c r="D288" s="80"/>
      <c r="E288" s="80"/>
      <c r="F288" s="78"/>
      <c r="G288" s="28"/>
      <c r="H288" s="28"/>
      <c r="I288" s="28"/>
      <c r="J288" s="28"/>
      <c r="K288" s="28"/>
      <c r="L288" s="28"/>
      <c r="M288" s="285"/>
      <c r="N288" s="271" t="s">
        <v>136</v>
      </c>
      <c r="O288" s="273">
        <v>0</v>
      </c>
      <c r="P288" s="28"/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8"/>
      <c r="AB288" s="31"/>
      <c r="AC288" s="31"/>
      <c r="AD288" s="12"/>
    </row>
    <row r="289" spans="1:30" s="11" customFormat="1" hidden="1" outlineLevel="1" x14ac:dyDescent="0.35">
      <c r="A289" s="93"/>
      <c r="B289" s="10"/>
      <c r="C289" s="80"/>
      <c r="D289" s="80"/>
      <c r="E289" s="80"/>
      <c r="F289" s="78"/>
      <c r="G289" s="28"/>
      <c r="H289" s="28"/>
      <c r="I289" s="28"/>
      <c r="J289" s="28"/>
      <c r="K289" s="28"/>
      <c r="L289" s="28"/>
      <c r="M289" s="285"/>
      <c r="N289" s="271" t="s">
        <v>137</v>
      </c>
      <c r="O289" s="273">
        <v>0</v>
      </c>
      <c r="P289" s="28"/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8"/>
      <c r="AB289" s="31"/>
      <c r="AC289" s="31"/>
      <c r="AD289" s="12"/>
    </row>
    <row r="290" spans="1:30" s="11" customFormat="1" hidden="1" outlineLevel="1" x14ac:dyDescent="0.35">
      <c r="A290" s="93"/>
      <c r="B290" s="10"/>
      <c r="C290" s="80"/>
      <c r="D290" s="80"/>
      <c r="E290" s="80"/>
      <c r="F290" s="78"/>
      <c r="G290" s="28"/>
      <c r="H290" s="28"/>
      <c r="I290" s="28"/>
      <c r="J290" s="28"/>
      <c r="K290" s="28"/>
      <c r="L290" s="28"/>
      <c r="M290" s="285"/>
      <c r="N290" s="271" t="s">
        <v>138</v>
      </c>
      <c r="O290" s="273">
        <v>0</v>
      </c>
      <c r="P290" s="28"/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8"/>
      <c r="AB290" s="31"/>
      <c r="AC290" s="31"/>
      <c r="AD290" s="12"/>
    </row>
    <row r="291" spans="1:30" s="11" customFormat="1" hidden="1" outlineLevel="1" x14ac:dyDescent="0.35">
      <c r="A291" s="93"/>
      <c r="B291" s="10"/>
      <c r="C291" s="80"/>
      <c r="D291" s="80"/>
      <c r="E291" s="80"/>
      <c r="F291" s="78"/>
      <c r="G291" s="28"/>
      <c r="H291" s="28"/>
      <c r="I291" s="28"/>
      <c r="J291" s="28"/>
      <c r="K291" s="28"/>
      <c r="L291" s="28"/>
      <c r="M291" s="285"/>
      <c r="N291" s="31"/>
      <c r="O291" s="31"/>
      <c r="P291" s="28"/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8"/>
      <c r="AB291" s="31"/>
      <c r="AC291" s="31"/>
      <c r="AD291" s="12"/>
    </row>
    <row r="292" spans="1:30" s="11" customFormat="1" hidden="1" outlineLevel="1" x14ac:dyDescent="0.3">
      <c r="A292" s="93"/>
      <c r="B292" s="10"/>
      <c r="C292" s="80"/>
      <c r="D292" s="80"/>
      <c r="E292" s="80"/>
      <c r="F292" s="78"/>
      <c r="G292" s="28"/>
      <c r="H292" s="28"/>
      <c r="I292" s="28"/>
      <c r="J292" s="28"/>
      <c r="K292" s="28"/>
      <c r="L292" s="28"/>
      <c r="M292" s="285"/>
      <c r="N292" s="161" t="s">
        <v>142</v>
      </c>
      <c r="O292" s="165" t="s">
        <v>144</v>
      </c>
      <c r="P292" s="28"/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8"/>
      <c r="AB292" s="31"/>
      <c r="AC292" s="31"/>
      <c r="AD292" s="12"/>
    </row>
    <row r="293" spans="1:30" s="11" customFormat="1" ht="15" hidden="1" customHeight="1" outlineLevel="1" x14ac:dyDescent="0.35">
      <c r="A293" s="93"/>
      <c r="B293" s="10"/>
      <c r="C293" s="80"/>
      <c r="D293" s="80"/>
      <c r="E293" s="80"/>
      <c r="F293" s="78"/>
      <c r="G293" s="28"/>
      <c r="H293" s="28"/>
      <c r="I293" s="28"/>
      <c r="J293" s="28"/>
      <c r="K293" s="28"/>
      <c r="L293" s="28"/>
      <c r="M293" s="285"/>
      <c r="N293" s="158" t="str">
        <f>Lists!B46</f>
        <v>Low</v>
      </c>
      <c r="O293" s="164">
        <v>0.1</v>
      </c>
      <c r="P293" s="333" t="s">
        <v>143</v>
      </c>
      <c r="Q293" s="333"/>
      <c r="R293" s="28"/>
      <c r="S293" s="28"/>
      <c r="T293" s="28"/>
      <c r="U293" s="28"/>
      <c r="V293" s="28"/>
      <c r="W293" s="28"/>
      <c r="X293" s="28"/>
      <c r="Y293" s="28"/>
      <c r="Z293" s="28"/>
      <c r="AA293" s="28"/>
      <c r="AB293" s="31"/>
      <c r="AC293" s="31"/>
      <c r="AD293" s="12"/>
    </row>
    <row r="294" spans="1:30" s="11" customFormat="1" hidden="1" outlineLevel="1" x14ac:dyDescent="0.35">
      <c r="A294" s="93"/>
      <c r="B294" s="10"/>
      <c r="C294" s="80"/>
      <c r="D294" s="80"/>
      <c r="E294" s="80"/>
      <c r="F294" s="78"/>
      <c r="G294" s="28"/>
      <c r="H294" s="28"/>
      <c r="I294" s="28"/>
      <c r="J294" s="28"/>
      <c r="K294" s="28"/>
      <c r="L294" s="28"/>
      <c r="M294" s="285"/>
      <c r="N294" s="158" t="str">
        <f>Lists!B47</f>
        <v>Medium</v>
      </c>
      <c r="O294" s="164">
        <v>0.15</v>
      </c>
      <c r="P294" s="333"/>
      <c r="Q294" s="333"/>
      <c r="R294" s="28"/>
      <c r="S294" s="28"/>
      <c r="T294" s="28"/>
      <c r="U294" s="28"/>
      <c r="V294" s="28"/>
      <c r="W294" s="28"/>
      <c r="X294" s="28"/>
      <c r="Y294" s="28"/>
      <c r="Z294" s="28"/>
      <c r="AA294" s="28"/>
      <c r="AB294" s="31"/>
      <c r="AC294" s="31"/>
      <c r="AD294" s="12"/>
    </row>
    <row r="295" spans="1:30" s="11" customFormat="1" hidden="1" outlineLevel="1" x14ac:dyDescent="0.35">
      <c r="A295" s="93"/>
      <c r="B295" s="10"/>
      <c r="C295" s="80"/>
      <c r="D295" s="80"/>
      <c r="E295" s="80"/>
      <c r="F295" s="78"/>
      <c r="G295" s="28"/>
      <c r="H295" s="28"/>
      <c r="I295" s="28"/>
      <c r="J295" s="28"/>
      <c r="K295" s="28"/>
      <c r="L295" s="28"/>
      <c r="M295" s="285"/>
      <c r="N295" s="158" t="str">
        <f>Lists!B48</f>
        <v>High</v>
      </c>
      <c r="O295" s="164">
        <v>0.2</v>
      </c>
      <c r="P295" s="333"/>
      <c r="Q295" s="333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31"/>
      <c r="AC295" s="31"/>
      <c r="AD295" s="12"/>
    </row>
    <row r="296" spans="1:30" s="11" customFormat="1" hidden="1" outlineLevel="1" x14ac:dyDescent="0.35">
      <c r="A296" s="93"/>
      <c r="B296" s="10"/>
      <c r="C296" s="80"/>
      <c r="D296" s="80"/>
      <c r="E296" s="80"/>
      <c r="F296" s="78"/>
      <c r="G296" s="28"/>
      <c r="H296" s="28"/>
      <c r="I296" s="28"/>
      <c r="J296" s="28"/>
      <c r="K296" s="28"/>
      <c r="L296" s="28"/>
      <c r="M296" s="285"/>
      <c r="N296" s="31"/>
      <c r="O296" s="31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31"/>
      <c r="AC296" s="31"/>
      <c r="AD296" s="12"/>
    </row>
    <row r="297" spans="1:30" s="11" customFormat="1" ht="20.25" hidden="1" customHeight="1" outlineLevel="1" x14ac:dyDescent="0.35">
      <c r="A297" s="93"/>
      <c r="B297" s="10"/>
      <c r="C297" s="78"/>
      <c r="D297" s="78"/>
      <c r="E297" s="78"/>
      <c r="F297" s="78"/>
      <c r="G297" s="43"/>
      <c r="H297" s="43"/>
      <c r="I297" s="43"/>
      <c r="J297" s="43"/>
      <c r="K297" s="43"/>
      <c r="L297" s="43"/>
      <c r="M297" s="281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12"/>
    </row>
    <row r="298" spans="1:30" x14ac:dyDescent="0.35">
      <c r="F298" s="78"/>
    </row>
    <row r="362" spans="1:30" s="11" customFormat="1" ht="20.25" customHeight="1" x14ac:dyDescent="0.35">
      <c r="A362" s="93"/>
      <c r="B362" s="10"/>
      <c r="C362" s="78"/>
      <c r="D362" s="78"/>
      <c r="E362" s="78"/>
      <c r="F362" s="78"/>
      <c r="G362" s="324" t="s">
        <v>48</v>
      </c>
      <c r="H362" s="324"/>
      <c r="I362" s="178"/>
      <c r="J362" s="43"/>
      <c r="K362" s="43"/>
      <c r="L362" s="39"/>
      <c r="M362" s="289" t="s">
        <v>125</v>
      </c>
      <c r="N362" s="39"/>
      <c r="O362" s="39"/>
      <c r="P362" s="39"/>
      <c r="Q362" s="39"/>
      <c r="R362" s="39"/>
      <c r="S362" s="39"/>
      <c r="T362" s="39"/>
      <c r="U362" s="39"/>
      <c r="V362" s="39"/>
      <c r="W362" s="39"/>
      <c r="X362" s="39"/>
      <c r="Y362" s="39"/>
      <c r="Z362" s="39"/>
      <c r="AA362" s="39"/>
      <c r="AB362" s="39"/>
      <c r="AC362" s="39"/>
      <c r="AD362" s="12"/>
    </row>
    <row r="363" spans="1:30" hidden="1" x14ac:dyDescent="0.35"/>
    <row r="364" spans="1:30" s="17" customFormat="1" ht="18.5" hidden="1" collapsed="1" x14ac:dyDescent="0.35">
      <c r="A364" s="93" t="s">
        <v>98</v>
      </c>
      <c r="B364" s="21"/>
      <c r="C364" s="81"/>
      <c r="D364" s="81"/>
      <c r="E364" s="81"/>
      <c r="F364" s="82"/>
      <c r="G364" s="55"/>
      <c r="H364" s="55"/>
      <c r="I364" s="55"/>
      <c r="J364" s="55"/>
      <c r="K364" s="55"/>
      <c r="L364" s="55" t="s">
        <v>105</v>
      </c>
      <c r="M364" s="284" t="s">
        <v>106</v>
      </c>
      <c r="N364" s="56"/>
      <c r="O364" s="57"/>
      <c r="P364" s="58"/>
      <c r="Q364" s="58"/>
      <c r="R364" s="58"/>
      <c r="S364" s="302">
        <f>CEILING(SUMIFS(T365:T370, J365:J370, "&lt;&gt;Yes", A365:A370,"T1"),1)</f>
        <v>0</v>
      </c>
      <c r="T364" s="302"/>
      <c r="U364" s="58"/>
      <c r="V364" s="58"/>
      <c r="W364" s="58"/>
      <c r="X364" s="58"/>
      <c r="Y364" s="58"/>
      <c r="Z364" s="58"/>
      <c r="AA364" s="58"/>
      <c r="AB364" s="58"/>
      <c r="AC364" s="58"/>
      <c r="AD364" s="26" t="str">
        <f>IF(M364="", "Section name cannot be empty.", "")</f>
        <v/>
      </c>
    </row>
    <row r="365" spans="1:30" s="11" customFormat="1" ht="1.5" hidden="1" customHeight="1" outlineLevel="1" x14ac:dyDescent="0.35">
      <c r="A365" s="93" t="s">
        <v>99</v>
      </c>
      <c r="B365" s="18"/>
      <c r="C365" s="78"/>
      <c r="D365" s="78"/>
      <c r="E365" s="78"/>
      <c r="F365" s="78"/>
      <c r="G365" s="28"/>
      <c r="H365" s="28"/>
      <c r="I365" s="28"/>
      <c r="J365" s="28"/>
      <c r="K365" s="28"/>
      <c r="L365" s="29">
        <v>0</v>
      </c>
      <c r="M365" s="285"/>
      <c r="N365" s="28"/>
      <c r="O365" s="28"/>
      <c r="P365" s="28"/>
      <c r="Q365" s="28"/>
      <c r="R365" s="28"/>
      <c r="S365" s="28"/>
      <c r="T365" s="30"/>
      <c r="U365" s="28"/>
      <c r="V365" s="28"/>
      <c r="W365" s="28"/>
      <c r="X365" s="30"/>
      <c r="Y365" s="28"/>
      <c r="Z365" s="28"/>
      <c r="AA365" s="28"/>
      <c r="AB365" s="31"/>
      <c r="AC365" s="31"/>
      <c r="AD365" s="12"/>
    </row>
    <row r="366" spans="1:30" s="17" customFormat="1" ht="15.5" hidden="1" outlineLevel="1" x14ac:dyDescent="0.35">
      <c r="A366" s="93" t="s">
        <v>100</v>
      </c>
      <c r="B366" s="21"/>
      <c r="C366" s="84"/>
      <c r="D366" s="84"/>
      <c r="E366" s="84"/>
      <c r="F366" s="83"/>
      <c r="G366" s="32"/>
      <c r="H366" s="32"/>
      <c r="I366" s="32"/>
      <c r="J366" s="32"/>
      <c r="K366" s="32"/>
      <c r="L366" s="20">
        <f ca="1">LOOKUP(1000,INDIRECT("L1:"&amp;CELL("address",INDIRECT("R[-1]C",FALSE))))+1</f>
        <v>1</v>
      </c>
      <c r="M366" s="301" t="s">
        <v>108</v>
      </c>
      <c r="N366" s="301"/>
      <c r="O366" s="5"/>
      <c r="P366" s="33"/>
      <c r="Q366" s="33"/>
      <c r="R366" s="33"/>
      <c r="S366" s="33"/>
      <c r="T366" s="167">
        <f>IF($S$6="Exclude", SUMIFS(S367:S369, J367:J369, "&lt;&gt;Yes", G367:G369, "&lt;&gt;Yes"), SUMIFS(S367:S369, J367:J369, "&lt;&gt;Yes"))</f>
        <v>0</v>
      </c>
      <c r="U366" s="33"/>
      <c r="V366" s="33"/>
      <c r="W366" s="33"/>
      <c r="X366" s="34"/>
      <c r="Y366" s="35"/>
      <c r="Z366" s="35"/>
      <c r="AA366" s="35"/>
      <c r="AB366" s="240" t="s">
        <v>443</v>
      </c>
      <c r="AC366" s="36"/>
      <c r="AD366" s="26" t="str">
        <f>IF(M366="", "Error: Task name cannot be empty.", "")</f>
        <v/>
      </c>
    </row>
    <row r="367" spans="1:30" s="15" customFormat="1" ht="1.5" hidden="1" customHeight="1" outlineLevel="2" x14ac:dyDescent="0.35">
      <c r="A367" s="93" t="s">
        <v>101</v>
      </c>
      <c r="B367" s="21"/>
      <c r="C367" s="84"/>
      <c r="D367" s="84"/>
      <c r="E367" s="84"/>
      <c r="F367" s="83"/>
      <c r="G367" s="32"/>
      <c r="H367" s="32"/>
      <c r="I367" s="32"/>
      <c r="J367" s="32"/>
      <c r="K367" s="32"/>
      <c r="L367" s="175">
        <f ca="1">L366</f>
        <v>1</v>
      </c>
      <c r="M367" s="176" t="s">
        <v>105</v>
      </c>
      <c r="N367" s="173"/>
      <c r="O367" s="174"/>
      <c r="P367" s="33"/>
      <c r="Q367" s="33"/>
      <c r="R367" s="33"/>
      <c r="S367" s="33"/>
      <c r="T367" s="167"/>
      <c r="U367" s="33"/>
      <c r="V367" s="33"/>
      <c r="W367" s="33"/>
      <c r="X367" s="34"/>
      <c r="Y367" s="35"/>
      <c r="Z367" s="35"/>
      <c r="AA367" s="35"/>
      <c r="AB367" s="36"/>
      <c r="AC367" s="36"/>
      <c r="AD367" s="26"/>
    </row>
    <row r="368" spans="1:30" ht="58" hidden="1" outlineLevel="2" x14ac:dyDescent="0.35">
      <c r="A368" s="93" t="s">
        <v>0</v>
      </c>
      <c r="B368" s="21"/>
      <c r="C368" s="85"/>
      <c r="D368" s="85"/>
      <c r="E368" s="85"/>
      <c r="F368" s="86"/>
      <c r="G368" s="22" t="s">
        <v>23</v>
      </c>
      <c r="H368" s="22" t="s">
        <v>23</v>
      </c>
      <c r="I368" s="23" t="s">
        <v>23</v>
      </c>
      <c r="J368" s="22" t="s">
        <v>23</v>
      </c>
      <c r="K368" s="38"/>
      <c r="L368" s="22"/>
      <c r="M368" s="286" t="str">
        <f ca="1">IFERROR(OFFSET(M368,-1,,1,1)+0.1,OFFSET(M368,-1,-1,1,1)&amp;".1")</f>
        <v>1.1</v>
      </c>
      <c r="N368" s="23" t="s">
        <v>442</v>
      </c>
      <c r="O368" s="23"/>
      <c r="P368" s="23"/>
      <c r="Q368" s="144"/>
      <c r="R368" s="137"/>
      <c r="S368" s="169">
        <f>CEILING((IF(J368="Yes", 0, IF(H368="-",AA368,AA368+AA368*VLOOKUP(H368,BUFFERS_BY_TYPE,2,FALSE)))) +
   (IF(J368="Yes", 0, IF(H368="-",AA368,AA368+AA368*VLOOKUP(H368,BUFFERS_BY_TYPE,2,FALSE))))*VLOOKUP($S$5, SALES_CALL_SCALE_ARRAY, 2,FALSE),0.25)</f>
        <v>0</v>
      </c>
      <c r="T368" s="170"/>
      <c r="U368" s="24">
        <v>0</v>
      </c>
      <c r="V368" s="24">
        <v>1</v>
      </c>
      <c r="W368" s="24">
        <v>0</v>
      </c>
      <c r="X368" s="168"/>
      <c r="Y368" s="169">
        <f>CEILING((IF(P368=AS_DEV_EFFORT, DEV_EFFORT*Q368%,
                           IF(P368=AS_DURATION_EFFORT, (MANUAL_DURATION*5)*Q368%,
                                    (IF(Q368&lt;=1,X368,
                                          IF(SUM(U368:W368)=0,(Q368*X368),
                                               (((Q368*U368)*(X368+(X368*EXTRA_FOR_H)))+
                                               ((Q368*V368)*X368)+
                                               ((Q368*W368)*(X368-(X368*LESS_FOR_L)))
                                    )*IF(R368=0,1,R368))))))+Z368), 0.25)</f>
        <v>0</v>
      </c>
      <c r="Z368" s="25"/>
      <c r="AA368" s="169">
        <f>Y368+Y368*VLOOKUP(I368,EXTRAS_ARRAY,2,FALSE)</f>
        <v>0</v>
      </c>
      <c r="AB368" s="23" t="s">
        <v>445</v>
      </c>
      <c r="AC368" s="37"/>
      <c r="AD368" s="26" t="str">
        <f>IF(J368&lt;&gt;"Yes",
IF(S368&lt;=0,"Error: Effort value is not defined or is invalid.",
IF(AND(SUM(U368:W368)&gt;0,SUM(U368:W368)&lt;&gt;1),"Error: Complexity % distribution should sum to 100%.",
IF(AND(P368=AS_DEV_EFFORT,X368&lt;&gt;0),"Error: PDs should not be defined when defining as dev effort %.",
IF(AND(P368=AS_DURATION_EFFORT,X368&lt;&gt;0),"Error: PDs should not be defined when defining as duration effort %.","")))))</f>
        <v>Error: Effort value is not defined or is invalid.</v>
      </c>
    </row>
    <row r="369" spans="1:30" s="11" customFormat="1" ht="7.5" hidden="1" customHeight="1" outlineLevel="2" x14ac:dyDescent="0.35">
      <c r="A369" s="93" t="s">
        <v>132</v>
      </c>
      <c r="B369" s="18"/>
      <c r="C369" s="78"/>
      <c r="D369" s="78"/>
      <c r="E369" s="78"/>
      <c r="F369" s="78"/>
      <c r="G369" s="10"/>
      <c r="H369" s="10"/>
      <c r="I369" s="10"/>
      <c r="J369" s="10"/>
      <c r="K369" s="10"/>
      <c r="L369" s="10"/>
      <c r="M369" s="287"/>
      <c r="N369" s="10"/>
      <c r="O369" s="10"/>
      <c r="P369" s="10"/>
      <c r="Q369" s="10"/>
      <c r="R369" s="10"/>
      <c r="S369" s="10"/>
      <c r="T369" s="18"/>
      <c r="U369" s="10"/>
      <c r="V369" s="10"/>
      <c r="W369" s="10"/>
      <c r="X369" s="18"/>
      <c r="Y369" s="10"/>
      <c r="Z369" s="10"/>
      <c r="AA369" s="10"/>
      <c r="AB369" s="60"/>
      <c r="AC369" s="60"/>
      <c r="AD369" s="12"/>
    </row>
    <row r="370" spans="1:30" s="11" customFormat="1" ht="1.5" hidden="1" customHeight="1" outlineLevel="1" x14ac:dyDescent="0.35">
      <c r="A370" s="93" t="s">
        <v>102</v>
      </c>
      <c r="B370" s="10"/>
      <c r="C370" s="78"/>
      <c r="D370" s="78"/>
      <c r="E370" s="78"/>
      <c r="F370" s="78"/>
      <c r="G370" s="59"/>
      <c r="H370" s="59"/>
      <c r="I370" s="59"/>
      <c r="J370" s="59"/>
      <c r="K370" s="59"/>
      <c r="L370" s="61"/>
      <c r="M370" s="288"/>
      <c r="N370" s="62"/>
      <c r="O370" s="62"/>
      <c r="P370" s="61"/>
      <c r="Q370" s="61"/>
      <c r="R370" s="61"/>
      <c r="S370" s="61"/>
      <c r="T370" s="61"/>
      <c r="U370" s="61"/>
      <c r="V370" s="61"/>
      <c r="W370" s="61"/>
      <c r="X370" s="61"/>
      <c r="Y370" s="61"/>
      <c r="Z370" s="61"/>
      <c r="AA370" s="61"/>
      <c r="AB370" s="62"/>
      <c r="AC370" s="62"/>
      <c r="AD370" s="12"/>
    </row>
    <row r="371" spans="1:30" hidden="1" collapsed="1" x14ac:dyDescent="0.35"/>
    <row r="372" spans="1:30" s="17" customFormat="1" ht="15.5" hidden="1" outlineLevel="1" x14ac:dyDescent="0.35">
      <c r="A372" s="93" t="s">
        <v>107</v>
      </c>
      <c r="B372" s="21"/>
      <c r="C372" s="84"/>
      <c r="D372" s="84"/>
      <c r="E372" s="84"/>
      <c r="F372" s="83"/>
      <c r="G372" s="185"/>
      <c r="H372" s="185"/>
      <c r="I372" s="185"/>
      <c r="J372" s="185"/>
      <c r="K372" s="185"/>
      <c r="L372" s="92" t="s">
        <v>109</v>
      </c>
      <c r="M372" s="299" t="s">
        <v>124</v>
      </c>
      <c r="N372" s="299"/>
      <c r="O372" s="87"/>
      <c r="P372" s="88"/>
      <c r="Q372" s="88"/>
      <c r="R372" s="88"/>
      <c r="S372" s="300">
        <f>SUMGROUP(ROW(), "T")</f>
        <v>0</v>
      </c>
      <c r="T372" s="300"/>
      <c r="U372" s="298"/>
      <c r="V372" s="298"/>
      <c r="W372" s="298"/>
      <c r="X372" s="89"/>
      <c r="Y372" s="90"/>
      <c r="Z372" s="90"/>
      <c r="AA372" s="90"/>
      <c r="AB372" s="243"/>
      <c r="AC372" s="91"/>
      <c r="AD372" s="26" t="str">
        <f>IF(M372="", "Error: Module name cannot be empty.", "")</f>
        <v/>
      </c>
    </row>
    <row r="373" spans="1:30" hidden="1" x14ac:dyDescent="0.35"/>
    <row r="374" spans="1:30" s="11" customFormat="1" ht="20.25" customHeight="1" x14ac:dyDescent="0.35">
      <c r="A374" s="93"/>
      <c r="B374" s="10"/>
      <c r="C374" s="78"/>
      <c r="D374" s="78"/>
      <c r="E374" s="78"/>
      <c r="F374" s="78"/>
      <c r="G374" s="43"/>
      <c r="H374" s="43"/>
      <c r="I374" s="43"/>
      <c r="J374" s="43"/>
      <c r="K374" s="43"/>
      <c r="L374" s="43"/>
      <c r="M374" s="281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  <c r="AA374" s="43"/>
      <c r="AB374" s="43"/>
      <c r="AC374" s="43"/>
      <c r="AD374" s="12"/>
    </row>
  </sheetData>
  <sheetProtection algorithmName="SHA-512" hashValue="inNwiZgd3ukz8Cn7uRHkwUn59yu3Ln7wUCyFw23oRMEQOGZH2ju0nFTU2w5Zo8gLBU5FGpU3Jny/aAD0OunL6w==" saltValue="Axh/p3uUccfGQhjtfudOFg==" spinCount="100000" sheet="1" objects="1" scenarios="1"/>
  <dataConsolidate/>
  <mergeCells count="91">
    <mergeCell ref="M190:N190"/>
    <mergeCell ref="S364:T364"/>
    <mergeCell ref="S372:T372"/>
    <mergeCell ref="S188:T188"/>
    <mergeCell ref="S195:T195"/>
    <mergeCell ref="T236:U236"/>
    <mergeCell ref="T235:U235"/>
    <mergeCell ref="S12:T12"/>
    <mergeCell ref="S87:T87"/>
    <mergeCell ref="S127:T127"/>
    <mergeCell ref="S165:T165"/>
    <mergeCell ref="S104:T104"/>
    <mergeCell ref="AB5:AB6"/>
    <mergeCell ref="P10:R10"/>
    <mergeCell ref="G214:H214"/>
    <mergeCell ref="U372:W372"/>
    <mergeCell ref="Q227:V227"/>
    <mergeCell ref="P217:P218"/>
    <mergeCell ref="G242:H242"/>
    <mergeCell ref="G362:H362"/>
    <mergeCell ref="Q216:V216"/>
    <mergeCell ref="O217:O218"/>
    <mergeCell ref="N254:N256"/>
    <mergeCell ref="P280:R283"/>
    <mergeCell ref="P285:Q286"/>
    <mergeCell ref="P293:Q295"/>
    <mergeCell ref="M372:N372"/>
    <mergeCell ref="M366:N366"/>
    <mergeCell ref="C2:F9"/>
    <mergeCell ref="C10:F10"/>
    <mergeCell ref="G9:J9"/>
    <mergeCell ref="G197:H197"/>
    <mergeCell ref="C11:F11"/>
    <mergeCell ref="C12:E12"/>
    <mergeCell ref="G3:J3"/>
    <mergeCell ref="J5:K5"/>
    <mergeCell ref="Y229:AA233"/>
    <mergeCell ref="U10:W10"/>
    <mergeCell ref="M199:T200"/>
    <mergeCell ref="W217:X218"/>
    <mergeCell ref="W219:X219"/>
    <mergeCell ref="W220:X220"/>
    <mergeCell ref="W221:X221"/>
    <mergeCell ref="W222:X222"/>
    <mergeCell ref="W223:X223"/>
    <mergeCell ref="W224:X224"/>
    <mergeCell ref="W225:X225"/>
    <mergeCell ref="Q225:V225"/>
    <mergeCell ref="M14:N14"/>
    <mergeCell ref="M61:N61"/>
    <mergeCell ref="W227:X228"/>
    <mergeCell ref="S11:T11"/>
    <mergeCell ref="M20:N20"/>
    <mergeCell ref="M66:N66"/>
    <mergeCell ref="M70:N70"/>
    <mergeCell ref="M78:N78"/>
    <mergeCell ref="S59:T59"/>
    <mergeCell ref="M26:N26"/>
    <mergeCell ref="M33:N33"/>
    <mergeCell ref="M39:N39"/>
    <mergeCell ref="M45:N45"/>
    <mergeCell ref="M51:N51"/>
    <mergeCell ref="M143:N143"/>
    <mergeCell ref="M110:N110"/>
    <mergeCell ref="S110:T110"/>
    <mergeCell ref="M111:N111"/>
    <mergeCell ref="M136:N136"/>
    <mergeCell ref="M121:N121"/>
    <mergeCell ref="M120:N120"/>
    <mergeCell ref="S120:T120"/>
    <mergeCell ref="M130:N130"/>
    <mergeCell ref="M129:N129"/>
    <mergeCell ref="S129:T129"/>
    <mergeCell ref="M116:N116"/>
    <mergeCell ref="M172:N172"/>
    <mergeCell ref="M176:N176"/>
    <mergeCell ref="M180:N180"/>
    <mergeCell ref="M148:N148"/>
    <mergeCell ref="M155:N155"/>
    <mergeCell ref="M167:N167"/>
    <mergeCell ref="U110:W110"/>
    <mergeCell ref="U104:W104"/>
    <mergeCell ref="M89:N89"/>
    <mergeCell ref="M105:N105"/>
    <mergeCell ref="M96:N96"/>
    <mergeCell ref="M104:N104"/>
    <mergeCell ref="U129:W129"/>
    <mergeCell ref="M135:N135"/>
    <mergeCell ref="S135:T135"/>
    <mergeCell ref="U135:W135"/>
    <mergeCell ref="U120:W120"/>
  </mergeCells>
  <conditionalFormatting sqref="B219">
    <cfRule type="cellIs" dxfId="1056" priority="10150" operator="equal">
      <formula>"."</formula>
    </cfRule>
  </conditionalFormatting>
  <conditionalFormatting sqref="C216:E216 C235:E238">
    <cfRule type="expression" dxfId="1055" priority="10030">
      <formula>$H216&lt;&gt;""</formula>
    </cfRule>
  </conditionalFormatting>
  <conditionalFormatting sqref="C217:E225">
    <cfRule type="expression" dxfId="1054" priority="10028">
      <formula>$H217&lt;&gt;""</formula>
    </cfRule>
  </conditionalFormatting>
  <conditionalFormatting sqref="B217">
    <cfRule type="cellIs" dxfId="1053" priority="10024" operator="equal">
      <formula>"."</formula>
    </cfRule>
  </conditionalFormatting>
  <conditionalFormatting sqref="B368">
    <cfRule type="expression" dxfId="1052" priority="9919">
      <formula>AD368&lt;&gt;""</formula>
    </cfRule>
  </conditionalFormatting>
  <conditionalFormatting sqref="Z368">
    <cfRule type="cellIs" dxfId="1051" priority="9917" operator="greaterThan">
      <formula>0</formula>
    </cfRule>
    <cfRule type="cellIs" dxfId="1050" priority="9918" operator="lessThan">
      <formula>0</formula>
    </cfRule>
  </conditionalFormatting>
  <conditionalFormatting sqref="S368">
    <cfRule type="cellIs" dxfId="1049" priority="9916" operator="lessThan">
      <formula>0</formula>
    </cfRule>
  </conditionalFormatting>
  <conditionalFormatting sqref="T366:T367">
    <cfRule type="expression" dxfId="1048" priority="9920">
      <formula>#REF!="Yes"</formula>
    </cfRule>
  </conditionalFormatting>
  <conditionalFormatting sqref="P368">
    <cfRule type="cellIs" dxfId="1047" priority="9913" operator="equal">
      <formula>AS_DURATION_EFFORT</formula>
    </cfRule>
    <cfRule type="cellIs" dxfId="1046" priority="9914" operator="equal">
      <formula>AS_DEV_EFFORT</formula>
    </cfRule>
  </conditionalFormatting>
  <conditionalFormatting sqref="S372">
    <cfRule type="expression" dxfId="1045" priority="9729">
      <formula>#REF!="Yes"</formula>
    </cfRule>
  </conditionalFormatting>
  <conditionalFormatting sqref="B364">
    <cfRule type="expression" dxfId="1044" priority="9721">
      <formula>AD364&lt;&gt;""</formula>
    </cfRule>
  </conditionalFormatting>
  <conditionalFormatting sqref="B366:B367">
    <cfRule type="expression" dxfId="1043" priority="9720">
      <formula>AD366&lt;&gt;""</formula>
    </cfRule>
  </conditionalFormatting>
  <conditionalFormatting sqref="B372">
    <cfRule type="expression" dxfId="1042" priority="9719">
      <formula>AD372&lt;&gt;""</formula>
    </cfRule>
  </conditionalFormatting>
  <conditionalFormatting sqref="L28:M28 L35:M35 O28:AC28 O35:AC35 L36:AC37 L47:AC49 L53:AC56 L76:O76 L107:AC108 L113:AC114 L118:AC118 L123:AC124 L182:AC185 L192:AC192 L169:AC170 L174:AC174 L178:AC178 L368:AC368 L138:AC141 L132:AC133 L145:AC146 L150:AC153 L157:AC162 L98:AC102 L91:AC94 L72:AC73 L74:O74 Q74:AC74 Q76:AC76 L63:AC64 L16:AC17 L23:AC24 L41:AC43 L68:AC68 L80:AC84">
    <cfRule type="expression" dxfId="1041" priority="12008">
      <formula>AND($G16="Yes", $S$6="Exclude")</formula>
    </cfRule>
    <cfRule type="expression" dxfId="1040" priority="12009">
      <formula>$J16="Yes"</formula>
    </cfRule>
  </conditionalFormatting>
  <conditionalFormatting sqref="T5">
    <cfRule type="expression" dxfId="1039" priority="9302">
      <formula>OR($S$5="Reduce by:", $S$5="Increase by:")</formula>
    </cfRule>
  </conditionalFormatting>
  <conditionalFormatting sqref="F368">
    <cfRule type="expression" dxfId="1038" priority="6552">
      <formula>$K368&lt;&gt;""</formula>
    </cfRule>
  </conditionalFormatting>
  <conditionalFormatting sqref="C368">
    <cfRule type="expression" dxfId="1037" priority="6508">
      <formula>$G368&lt;&gt;"-"</formula>
    </cfRule>
  </conditionalFormatting>
  <conditionalFormatting sqref="D368">
    <cfRule type="expression" dxfId="1036" priority="6506">
      <formula>$H368&lt;&gt;"-"</formula>
    </cfRule>
  </conditionalFormatting>
  <conditionalFormatting sqref="E368">
    <cfRule type="expression" dxfId="1035" priority="6505">
      <formula>$I368&lt;&gt;"-"</formula>
    </cfRule>
  </conditionalFormatting>
  <conditionalFormatting sqref="B220">
    <cfRule type="cellIs" dxfId="1034" priority="2949" operator="equal">
      <formula>"."</formula>
    </cfRule>
  </conditionalFormatting>
  <conditionalFormatting sqref="B221">
    <cfRule type="cellIs" dxfId="1033" priority="2948" operator="equal">
      <formula>"."</formula>
    </cfRule>
  </conditionalFormatting>
  <conditionalFormatting sqref="B222">
    <cfRule type="cellIs" dxfId="1032" priority="2947" operator="equal">
      <formula>"."</formula>
    </cfRule>
  </conditionalFormatting>
  <conditionalFormatting sqref="B223">
    <cfRule type="cellIs" dxfId="1031" priority="2946" operator="equal">
      <formula>"."</formula>
    </cfRule>
  </conditionalFormatting>
  <conditionalFormatting sqref="B224">
    <cfRule type="cellIs" dxfId="1030" priority="2945" operator="equal">
      <formula>"."</formula>
    </cfRule>
  </conditionalFormatting>
  <conditionalFormatting sqref="B16">
    <cfRule type="expression" dxfId="1029" priority="2941">
      <formula>AD16&lt;&gt;""</formula>
    </cfRule>
  </conditionalFormatting>
  <conditionalFormatting sqref="Z16">
    <cfRule type="cellIs" dxfId="1028" priority="2939" operator="greaterThan">
      <formula>0</formula>
    </cfRule>
    <cfRule type="cellIs" dxfId="1027" priority="2940" operator="lessThan">
      <formula>0</formula>
    </cfRule>
  </conditionalFormatting>
  <conditionalFormatting sqref="S16">
    <cfRule type="cellIs" dxfId="1026" priority="2938" operator="lessThan">
      <formula>0</formula>
    </cfRule>
  </conditionalFormatting>
  <conditionalFormatting sqref="T14:T15">
    <cfRule type="expression" dxfId="1025" priority="2942">
      <formula>#REF!="Yes"</formula>
    </cfRule>
  </conditionalFormatting>
  <conditionalFormatting sqref="P16">
    <cfRule type="cellIs" dxfId="1024" priority="2936" operator="equal">
      <formula>AS_DURATION_EFFORT</formula>
    </cfRule>
    <cfRule type="cellIs" dxfId="1023" priority="2937" operator="equal">
      <formula>AS_DEV_EFFORT</formula>
    </cfRule>
  </conditionalFormatting>
  <conditionalFormatting sqref="B14:B15">
    <cfRule type="expression" dxfId="1022" priority="2935">
      <formula>AD14&lt;&gt;""</formula>
    </cfRule>
  </conditionalFormatting>
  <conditionalFormatting sqref="F16">
    <cfRule type="expression" dxfId="1021" priority="2934">
      <formula>$K16&lt;&gt;""</formula>
    </cfRule>
  </conditionalFormatting>
  <conditionalFormatting sqref="C16">
    <cfRule type="expression" dxfId="1020" priority="2933">
      <formula>$G16&lt;&gt;"-"</formula>
    </cfRule>
  </conditionalFormatting>
  <conditionalFormatting sqref="D16">
    <cfRule type="expression" dxfId="1019" priority="2932">
      <formula>$H16&lt;&gt;"-"</formula>
    </cfRule>
  </conditionalFormatting>
  <conditionalFormatting sqref="E16">
    <cfRule type="expression" dxfId="1018" priority="2931">
      <formula>$I16&lt;&gt;"-"</formula>
    </cfRule>
  </conditionalFormatting>
  <conditionalFormatting sqref="B17">
    <cfRule type="expression" dxfId="1017" priority="2928">
      <formula>AD17&lt;&gt;""</formula>
    </cfRule>
  </conditionalFormatting>
  <conditionalFormatting sqref="Z17">
    <cfRule type="cellIs" dxfId="1016" priority="2926" operator="greaterThan">
      <formula>0</formula>
    </cfRule>
    <cfRule type="cellIs" dxfId="1015" priority="2927" operator="lessThan">
      <formula>0</formula>
    </cfRule>
  </conditionalFormatting>
  <conditionalFormatting sqref="S17">
    <cfRule type="cellIs" dxfId="1014" priority="2925" operator="lessThan">
      <formula>0</formula>
    </cfRule>
  </conditionalFormatting>
  <conditionalFormatting sqref="P17">
    <cfRule type="cellIs" dxfId="1013" priority="2923" operator="equal">
      <formula>AS_DURATION_EFFORT</formula>
    </cfRule>
    <cfRule type="cellIs" dxfId="1012" priority="2924" operator="equal">
      <formula>AS_DEV_EFFORT</formula>
    </cfRule>
  </conditionalFormatting>
  <conditionalFormatting sqref="F17">
    <cfRule type="expression" dxfId="1011" priority="2922">
      <formula>$K17&lt;&gt;""</formula>
    </cfRule>
  </conditionalFormatting>
  <conditionalFormatting sqref="C17">
    <cfRule type="expression" dxfId="1010" priority="2921">
      <formula>$G17&lt;&gt;"-"</formula>
    </cfRule>
  </conditionalFormatting>
  <conditionalFormatting sqref="D17">
    <cfRule type="expression" dxfId="1009" priority="2920">
      <formula>$H17&lt;&gt;"-"</formula>
    </cfRule>
  </conditionalFormatting>
  <conditionalFormatting sqref="E17">
    <cfRule type="expression" dxfId="1008" priority="2919">
      <formula>$I17&lt;&gt;"-"</formula>
    </cfRule>
  </conditionalFormatting>
  <conditionalFormatting sqref="B63">
    <cfRule type="expression" dxfId="1007" priority="2915">
      <formula>AD63&lt;&gt;""</formula>
    </cfRule>
  </conditionalFormatting>
  <conditionalFormatting sqref="Z63">
    <cfRule type="cellIs" dxfId="1006" priority="2913" operator="greaterThan">
      <formula>0</formula>
    </cfRule>
    <cfRule type="cellIs" dxfId="1005" priority="2914" operator="lessThan">
      <formula>0</formula>
    </cfRule>
  </conditionalFormatting>
  <conditionalFormatting sqref="S63">
    <cfRule type="cellIs" dxfId="1004" priority="2912" operator="lessThan">
      <formula>0</formula>
    </cfRule>
  </conditionalFormatting>
  <conditionalFormatting sqref="T61:T62">
    <cfRule type="expression" dxfId="1003" priority="2916">
      <formula>#REF!="Yes"</formula>
    </cfRule>
  </conditionalFormatting>
  <conditionalFormatting sqref="P63">
    <cfRule type="cellIs" dxfId="1002" priority="2910" operator="equal">
      <formula>AS_DURATION_EFFORT</formula>
    </cfRule>
    <cfRule type="cellIs" dxfId="1001" priority="2911" operator="equal">
      <formula>AS_DEV_EFFORT</formula>
    </cfRule>
  </conditionalFormatting>
  <conditionalFormatting sqref="B61:B62">
    <cfRule type="expression" dxfId="1000" priority="2909">
      <formula>AD61&lt;&gt;""</formula>
    </cfRule>
  </conditionalFormatting>
  <conditionalFormatting sqref="F63">
    <cfRule type="expression" dxfId="999" priority="2908">
      <formula>$K63&lt;&gt;""</formula>
    </cfRule>
  </conditionalFormatting>
  <conditionalFormatting sqref="C63">
    <cfRule type="expression" dxfId="998" priority="2907">
      <formula>$G63&lt;&gt;"-"</formula>
    </cfRule>
  </conditionalFormatting>
  <conditionalFormatting sqref="D63">
    <cfRule type="expression" dxfId="997" priority="2906">
      <formula>$H63&lt;&gt;"-"</formula>
    </cfRule>
  </conditionalFormatting>
  <conditionalFormatting sqref="E63">
    <cfRule type="expression" dxfId="996" priority="2905">
      <formula>$I63&lt;&gt;"-"</formula>
    </cfRule>
  </conditionalFormatting>
  <conditionalFormatting sqref="B91">
    <cfRule type="expression" dxfId="995" priority="2845">
      <formula>AD91&lt;&gt;""</formula>
    </cfRule>
  </conditionalFormatting>
  <conditionalFormatting sqref="Z91">
    <cfRule type="cellIs" dxfId="994" priority="2843" operator="greaterThan">
      <formula>0</formula>
    </cfRule>
    <cfRule type="cellIs" dxfId="993" priority="2844" operator="lessThan">
      <formula>0</formula>
    </cfRule>
  </conditionalFormatting>
  <conditionalFormatting sqref="S91">
    <cfRule type="cellIs" dxfId="992" priority="2842" operator="lessThan">
      <formula>0</formula>
    </cfRule>
  </conditionalFormatting>
  <conditionalFormatting sqref="T89:T90">
    <cfRule type="expression" dxfId="991" priority="2846">
      <formula>#REF!="Yes"</formula>
    </cfRule>
  </conditionalFormatting>
  <conditionalFormatting sqref="P91">
    <cfRule type="cellIs" dxfId="990" priority="2840" operator="equal">
      <formula>AS_DURATION_EFFORT</formula>
    </cfRule>
    <cfRule type="cellIs" dxfId="989" priority="2841" operator="equal">
      <formula>AS_DEV_EFFORT</formula>
    </cfRule>
  </conditionalFormatting>
  <conditionalFormatting sqref="B89:B90">
    <cfRule type="expression" dxfId="988" priority="2839">
      <formula>AD89&lt;&gt;""</formula>
    </cfRule>
  </conditionalFormatting>
  <conditionalFormatting sqref="F91">
    <cfRule type="expression" dxfId="987" priority="2838">
      <formula>$K91&lt;&gt;""</formula>
    </cfRule>
  </conditionalFormatting>
  <conditionalFormatting sqref="C91">
    <cfRule type="expression" dxfId="986" priority="2837">
      <formula>$G91&lt;&gt;"-"</formula>
    </cfRule>
  </conditionalFormatting>
  <conditionalFormatting sqref="D91">
    <cfRule type="expression" dxfId="985" priority="2836">
      <formula>$H91&lt;&gt;"-"</formula>
    </cfRule>
  </conditionalFormatting>
  <conditionalFormatting sqref="E91">
    <cfRule type="expression" dxfId="984" priority="2835">
      <formula>$I91&lt;&gt;"-"</formula>
    </cfRule>
  </conditionalFormatting>
  <conditionalFormatting sqref="B113">
    <cfRule type="expression" dxfId="983" priority="2831">
      <formula>AD113&lt;&gt;""</formula>
    </cfRule>
  </conditionalFormatting>
  <conditionalFormatting sqref="Z113">
    <cfRule type="cellIs" dxfId="982" priority="2829" operator="greaterThan">
      <formula>0</formula>
    </cfRule>
    <cfRule type="cellIs" dxfId="981" priority="2830" operator="lessThan">
      <formula>0</formula>
    </cfRule>
  </conditionalFormatting>
  <conditionalFormatting sqref="S113">
    <cfRule type="cellIs" dxfId="980" priority="2828" operator="lessThan">
      <formula>0</formula>
    </cfRule>
  </conditionalFormatting>
  <conditionalFormatting sqref="T111:T112">
    <cfRule type="expression" dxfId="979" priority="2832">
      <formula>#REF!="Yes"</formula>
    </cfRule>
  </conditionalFormatting>
  <conditionalFormatting sqref="P113">
    <cfRule type="cellIs" dxfId="978" priority="2826" operator="equal">
      <formula>AS_DURATION_EFFORT</formula>
    </cfRule>
    <cfRule type="cellIs" dxfId="977" priority="2827" operator="equal">
      <formula>AS_DEV_EFFORT</formula>
    </cfRule>
  </conditionalFormatting>
  <conditionalFormatting sqref="B111:B112">
    <cfRule type="expression" dxfId="976" priority="2825">
      <formula>AD111&lt;&gt;""</formula>
    </cfRule>
  </conditionalFormatting>
  <conditionalFormatting sqref="F113">
    <cfRule type="expression" dxfId="975" priority="2824">
      <formula>$K113&lt;&gt;""</formula>
    </cfRule>
  </conditionalFormatting>
  <conditionalFormatting sqref="C113">
    <cfRule type="expression" dxfId="974" priority="2823">
      <formula>$G113&lt;&gt;"-"</formula>
    </cfRule>
  </conditionalFormatting>
  <conditionalFormatting sqref="D113">
    <cfRule type="expression" dxfId="973" priority="2822">
      <formula>$H113&lt;&gt;"-"</formula>
    </cfRule>
  </conditionalFormatting>
  <conditionalFormatting sqref="E113">
    <cfRule type="expression" dxfId="972" priority="2821">
      <formula>$I113&lt;&gt;"-"</formula>
    </cfRule>
  </conditionalFormatting>
  <conditionalFormatting sqref="B107">
    <cfRule type="expression" dxfId="971" priority="2817">
      <formula>AD107&lt;&gt;""</formula>
    </cfRule>
  </conditionalFormatting>
  <conditionalFormatting sqref="Z107">
    <cfRule type="cellIs" dxfId="970" priority="2815" operator="greaterThan">
      <formula>0</formula>
    </cfRule>
    <cfRule type="cellIs" dxfId="969" priority="2816" operator="lessThan">
      <formula>0</formula>
    </cfRule>
  </conditionalFormatting>
  <conditionalFormatting sqref="S107">
    <cfRule type="cellIs" dxfId="968" priority="2814" operator="lessThan">
      <formula>0</formula>
    </cfRule>
  </conditionalFormatting>
  <conditionalFormatting sqref="T105:T106">
    <cfRule type="expression" dxfId="967" priority="2818">
      <formula>#REF!="Yes"</formula>
    </cfRule>
  </conditionalFormatting>
  <conditionalFormatting sqref="P107">
    <cfRule type="cellIs" dxfId="966" priority="2812" operator="equal">
      <formula>AS_DURATION_EFFORT</formula>
    </cfRule>
    <cfRule type="cellIs" dxfId="965" priority="2813" operator="equal">
      <formula>AS_DEV_EFFORT</formula>
    </cfRule>
  </conditionalFormatting>
  <conditionalFormatting sqref="B105:B106">
    <cfRule type="expression" dxfId="964" priority="2811">
      <formula>AD105&lt;&gt;""</formula>
    </cfRule>
  </conditionalFormatting>
  <conditionalFormatting sqref="F107">
    <cfRule type="expression" dxfId="963" priority="2810">
      <formula>$K107&lt;&gt;""</formula>
    </cfRule>
  </conditionalFormatting>
  <conditionalFormatting sqref="C107">
    <cfRule type="expression" dxfId="962" priority="2809">
      <formula>$G107&lt;&gt;"-"</formula>
    </cfRule>
  </conditionalFormatting>
  <conditionalFormatting sqref="D107">
    <cfRule type="expression" dxfId="961" priority="2808">
      <formula>$H107&lt;&gt;"-"</formula>
    </cfRule>
  </conditionalFormatting>
  <conditionalFormatting sqref="E107">
    <cfRule type="expression" dxfId="960" priority="2807">
      <formula>$I107&lt;&gt;"-"</formula>
    </cfRule>
  </conditionalFormatting>
  <conditionalFormatting sqref="B98">
    <cfRule type="expression" dxfId="959" priority="2803">
      <formula>AD98&lt;&gt;""</formula>
    </cfRule>
  </conditionalFormatting>
  <conditionalFormatting sqref="Z98">
    <cfRule type="cellIs" dxfId="958" priority="2801" operator="greaterThan">
      <formula>0</formula>
    </cfRule>
    <cfRule type="cellIs" dxfId="957" priority="2802" operator="lessThan">
      <formula>0</formula>
    </cfRule>
  </conditionalFormatting>
  <conditionalFormatting sqref="S98">
    <cfRule type="cellIs" dxfId="956" priority="2800" operator="lessThan">
      <formula>0</formula>
    </cfRule>
  </conditionalFormatting>
  <conditionalFormatting sqref="T96:T97">
    <cfRule type="expression" dxfId="955" priority="2804">
      <formula>#REF!="Yes"</formula>
    </cfRule>
  </conditionalFormatting>
  <conditionalFormatting sqref="P98">
    <cfRule type="cellIs" dxfId="954" priority="2798" operator="equal">
      <formula>AS_DURATION_EFFORT</formula>
    </cfRule>
    <cfRule type="cellIs" dxfId="953" priority="2799" operator="equal">
      <formula>AS_DEV_EFFORT</formula>
    </cfRule>
  </conditionalFormatting>
  <conditionalFormatting sqref="B96:B97">
    <cfRule type="expression" dxfId="952" priority="2797">
      <formula>AD96&lt;&gt;""</formula>
    </cfRule>
  </conditionalFormatting>
  <conditionalFormatting sqref="F98">
    <cfRule type="expression" dxfId="951" priority="2796">
      <formula>$K98&lt;&gt;""</formula>
    </cfRule>
  </conditionalFormatting>
  <conditionalFormatting sqref="C98">
    <cfRule type="expression" dxfId="950" priority="2795">
      <formula>$G98&lt;&gt;"-"</formula>
    </cfRule>
  </conditionalFormatting>
  <conditionalFormatting sqref="D98">
    <cfRule type="expression" dxfId="949" priority="2794">
      <formula>$H98&lt;&gt;"-"</formula>
    </cfRule>
  </conditionalFormatting>
  <conditionalFormatting sqref="E98">
    <cfRule type="expression" dxfId="948" priority="2793">
      <formula>$I98&lt;&gt;"-"</formula>
    </cfRule>
  </conditionalFormatting>
  <conditionalFormatting sqref="S104">
    <cfRule type="expression" dxfId="947" priority="2788">
      <formula>#REF!="Yes"</formula>
    </cfRule>
  </conditionalFormatting>
  <conditionalFormatting sqref="B104">
    <cfRule type="expression" dxfId="946" priority="2787">
      <formula>AD104&lt;&gt;""</formula>
    </cfRule>
  </conditionalFormatting>
  <conditionalFormatting sqref="B23">
    <cfRule type="expression" dxfId="945" priority="2783">
      <formula>AD23&lt;&gt;""</formula>
    </cfRule>
  </conditionalFormatting>
  <conditionalFormatting sqref="Z23">
    <cfRule type="cellIs" dxfId="944" priority="2781" operator="greaterThan">
      <formula>0</formula>
    </cfRule>
    <cfRule type="cellIs" dxfId="943" priority="2782" operator="lessThan">
      <formula>0</formula>
    </cfRule>
  </conditionalFormatting>
  <conditionalFormatting sqref="S23">
    <cfRule type="cellIs" dxfId="942" priority="2780" operator="lessThan">
      <formula>0</formula>
    </cfRule>
  </conditionalFormatting>
  <conditionalFormatting sqref="T20:T21">
    <cfRule type="expression" dxfId="941" priority="2784">
      <formula>#REF!="Yes"</formula>
    </cfRule>
  </conditionalFormatting>
  <conditionalFormatting sqref="P23">
    <cfRule type="cellIs" dxfId="940" priority="2778" operator="equal">
      <formula>AS_DURATION_EFFORT</formula>
    </cfRule>
    <cfRule type="cellIs" dxfId="939" priority="2779" operator="equal">
      <formula>AS_DEV_EFFORT</formula>
    </cfRule>
  </conditionalFormatting>
  <conditionalFormatting sqref="B20:B21">
    <cfRule type="expression" dxfId="938" priority="2777">
      <formula>AD20&lt;&gt;""</formula>
    </cfRule>
  </conditionalFormatting>
  <conditionalFormatting sqref="F23">
    <cfRule type="expression" dxfId="937" priority="2776">
      <formula>$K23&lt;&gt;""</formula>
    </cfRule>
  </conditionalFormatting>
  <conditionalFormatting sqref="C23">
    <cfRule type="expression" dxfId="936" priority="2775">
      <formula>$G23&lt;&gt;"-"</formula>
    </cfRule>
  </conditionalFormatting>
  <conditionalFormatting sqref="D23">
    <cfRule type="expression" dxfId="935" priority="2774">
      <formula>$H23&lt;&gt;"-"</formula>
    </cfRule>
  </conditionalFormatting>
  <conditionalFormatting sqref="E23">
    <cfRule type="expression" dxfId="934" priority="2773">
      <formula>$I23&lt;&gt;"-"</formula>
    </cfRule>
  </conditionalFormatting>
  <conditionalFormatting sqref="B24">
    <cfRule type="expression" dxfId="933" priority="2770">
      <formula>AD24&lt;&gt;""</formula>
    </cfRule>
  </conditionalFormatting>
  <conditionalFormatting sqref="Z24">
    <cfRule type="cellIs" dxfId="932" priority="2768" operator="greaterThan">
      <formula>0</formula>
    </cfRule>
    <cfRule type="cellIs" dxfId="931" priority="2769" operator="lessThan">
      <formula>0</formula>
    </cfRule>
  </conditionalFormatting>
  <conditionalFormatting sqref="S24">
    <cfRule type="cellIs" dxfId="930" priority="2767" operator="lessThan">
      <formula>0</formula>
    </cfRule>
  </conditionalFormatting>
  <conditionalFormatting sqref="P24">
    <cfRule type="cellIs" dxfId="929" priority="2765" operator="equal">
      <formula>AS_DURATION_EFFORT</formula>
    </cfRule>
    <cfRule type="cellIs" dxfId="928" priority="2766" operator="equal">
      <formula>AS_DEV_EFFORT</formula>
    </cfRule>
  </conditionalFormatting>
  <conditionalFormatting sqref="F24">
    <cfRule type="expression" dxfId="927" priority="2764">
      <formula>$K24&lt;&gt;""</formula>
    </cfRule>
  </conditionalFormatting>
  <conditionalFormatting sqref="C24">
    <cfRule type="expression" dxfId="926" priority="2763">
      <formula>$G24&lt;&gt;"-"</formula>
    </cfRule>
  </conditionalFormatting>
  <conditionalFormatting sqref="D24">
    <cfRule type="expression" dxfId="925" priority="2762">
      <formula>$H24&lt;&gt;"-"</formula>
    </cfRule>
  </conditionalFormatting>
  <conditionalFormatting sqref="E24">
    <cfRule type="expression" dxfId="924" priority="2761">
      <formula>$I24&lt;&gt;"-"</formula>
    </cfRule>
  </conditionalFormatting>
  <conditionalFormatting sqref="B68">
    <cfRule type="expression" dxfId="923" priority="2707">
      <formula>AD68&lt;&gt;""</formula>
    </cfRule>
  </conditionalFormatting>
  <conditionalFormatting sqref="Z68">
    <cfRule type="cellIs" dxfId="922" priority="2705" operator="greaterThan">
      <formula>0</formula>
    </cfRule>
    <cfRule type="cellIs" dxfId="921" priority="2706" operator="lessThan">
      <formula>0</formula>
    </cfRule>
  </conditionalFormatting>
  <conditionalFormatting sqref="S68">
    <cfRule type="cellIs" dxfId="920" priority="2704" operator="lessThan">
      <formula>0</formula>
    </cfRule>
  </conditionalFormatting>
  <conditionalFormatting sqref="T66:T67">
    <cfRule type="expression" dxfId="919" priority="2708">
      <formula>#REF!="Yes"</formula>
    </cfRule>
  </conditionalFormatting>
  <conditionalFormatting sqref="P68">
    <cfRule type="cellIs" dxfId="918" priority="2702" operator="equal">
      <formula>AS_DURATION_EFFORT</formula>
    </cfRule>
    <cfRule type="cellIs" dxfId="917" priority="2703" operator="equal">
      <formula>AS_DEV_EFFORT</formula>
    </cfRule>
  </conditionalFormatting>
  <conditionalFormatting sqref="B66:B67">
    <cfRule type="expression" dxfId="916" priority="2701">
      <formula>AD66&lt;&gt;""</formula>
    </cfRule>
  </conditionalFormatting>
  <conditionalFormatting sqref="F68">
    <cfRule type="expression" dxfId="915" priority="2700">
      <formula>$K68&lt;&gt;""</formula>
    </cfRule>
  </conditionalFormatting>
  <conditionalFormatting sqref="C68">
    <cfRule type="expression" dxfId="914" priority="2699">
      <formula>$G68&lt;&gt;"-"</formula>
    </cfRule>
  </conditionalFormatting>
  <conditionalFormatting sqref="D68">
    <cfRule type="expression" dxfId="913" priority="2698">
      <formula>$H68&lt;&gt;"-"</formula>
    </cfRule>
  </conditionalFormatting>
  <conditionalFormatting sqref="E68">
    <cfRule type="expression" dxfId="912" priority="2697">
      <formula>$I68&lt;&gt;"-"</formula>
    </cfRule>
  </conditionalFormatting>
  <conditionalFormatting sqref="B72">
    <cfRule type="expression" dxfId="911" priority="2693">
      <formula>AD72&lt;&gt;""</formula>
    </cfRule>
  </conditionalFormatting>
  <conditionalFormatting sqref="Z72">
    <cfRule type="cellIs" dxfId="910" priority="2691" operator="greaterThan">
      <formula>0</formula>
    </cfRule>
    <cfRule type="cellIs" dxfId="909" priority="2692" operator="lessThan">
      <formula>0</formula>
    </cfRule>
  </conditionalFormatting>
  <conditionalFormatting sqref="S72">
    <cfRule type="cellIs" dxfId="908" priority="2690" operator="lessThan">
      <formula>0</formula>
    </cfRule>
  </conditionalFormatting>
  <conditionalFormatting sqref="T70:T71">
    <cfRule type="expression" dxfId="907" priority="2694">
      <formula>#REF!="Yes"</formula>
    </cfRule>
  </conditionalFormatting>
  <conditionalFormatting sqref="P72">
    <cfRule type="cellIs" dxfId="906" priority="2688" operator="equal">
      <formula>AS_DURATION_EFFORT</formula>
    </cfRule>
    <cfRule type="cellIs" dxfId="905" priority="2689" operator="equal">
      <formula>AS_DEV_EFFORT</formula>
    </cfRule>
  </conditionalFormatting>
  <conditionalFormatting sqref="B70:B71">
    <cfRule type="expression" dxfId="904" priority="2687">
      <formula>AD70&lt;&gt;""</formula>
    </cfRule>
  </conditionalFormatting>
  <conditionalFormatting sqref="F72">
    <cfRule type="expression" dxfId="903" priority="2686">
      <formula>$K72&lt;&gt;""</formula>
    </cfRule>
  </conditionalFormatting>
  <conditionalFormatting sqref="C72">
    <cfRule type="expression" dxfId="902" priority="2685">
      <formula>$G72&lt;&gt;"-"</formula>
    </cfRule>
  </conditionalFormatting>
  <conditionalFormatting sqref="D72">
    <cfRule type="expression" dxfId="901" priority="2684">
      <formula>$H72&lt;&gt;"-"</formula>
    </cfRule>
  </conditionalFormatting>
  <conditionalFormatting sqref="E72">
    <cfRule type="expression" dxfId="900" priority="2683">
      <formula>$I72&lt;&gt;"-"</formula>
    </cfRule>
  </conditionalFormatting>
  <conditionalFormatting sqref="B80">
    <cfRule type="expression" dxfId="899" priority="2679">
      <formula>AD80&lt;&gt;""</formula>
    </cfRule>
  </conditionalFormatting>
  <conditionalFormatting sqref="Z80">
    <cfRule type="cellIs" dxfId="898" priority="2677" operator="greaterThan">
      <formula>0</formula>
    </cfRule>
    <cfRule type="cellIs" dxfId="897" priority="2678" operator="lessThan">
      <formula>0</formula>
    </cfRule>
  </conditionalFormatting>
  <conditionalFormatting sqref="S80">
    <cfRule type="cellIs" dxfId="896" priority="2676" operator="lessThan">
      <formula>0</formula>
    </cfRule>
  </conditionalFormatting>
  <conditionalFormatting sqref="T78:T79">
    <cfRule type="expression" dxfId="895" priority="2680">
      <formula>#REF!="Yes"</formula>
    </cfRule>
  </conditionalFormatting>
  <conditionalFormatting sqref="P80">
    <cfRule type="cellIs" dxfId="894" priority="2674" operator="equal">
      <formula>AS_DURATION_EFFORT</formula>
    </cfRule>
    <cfRule type="cellIs" dxfId="893" priority="2675" operator="equal">
      <formula>AS_DEV_EFFORT</formula>
    </cfRule>
  </conditionalFormatting>
  <conditionalFormatting sqref="B78:B79">
    <cfRule type="expression" dxfId="892" priority="2673">
      <formula>AD78&lt;&gt;""</formula>
    </cfRule>
  </conditionalFormatting>
  <conditionalFormatting sqref="F80">
    <cfRule type="expression" dxfId="891" priority="2672">
      <formula>$K80&lt;&gt;""</formula>
    </cfRule>
  </conditionalFormatting>
  <conditionalFormatting sqref="C80">
    <cfRule type="expression" dxfId="890" priority="2671">
      <formula>$G80&lt;&gt;"-"</formula>
    </cfRule>
  </conditionalFormatting>
  <conditionalFormatting sqref="D80">
    <cfRule type="expression" dxfId="889" priority="2670">
      <formula>$H80&lt;&gt;"-"</formula>
    </cfRule>
  </conditionalFormatting>
  <conditionalFormatting sqref="E80">
    <cfRule type="expression" dxfId="888" priority="2669">
      <formula>$I80&lt;&gt;"-"</formula>
    </cfRule>
  </conditionalFormatting>
  <conditionalFormatting sqref="B64">
    <cfRule type="expression" dxfId="887" priority="2638">
      <formula>AD64&lt;&gt;""</formula>
    </cfRule>
  </conditionalFormatting>
  <conditionalFormatting sqref="Z64">
    <cfRule type="cellIs" dxfId="886" priority="2636" operator="greaterThan">
      <formula>0</formula>
    </cfRule>
    <cfRule type="cellIs" dxfId="885" priority="2637" operator="lessThan">
      <formula>0</formula>
    </cfRule>
  </conditionalFormatting>
  <conditionalFormatting sqref="S64">
    <cfRule type="cellIs" dxfId="884" priority="2635" operator="lessThan">
      <formula>0</formula>
    </cfRule>
  </conditionalFormatting>
  <conditionalFormatting sqref="P64">
    <cfRule type="cellIs" dxfId="883" priority="2633" operator="equal">
      <formula>AS_DURATION_EFFORT</formula>
    </cfRule>
    <cfRule type="cellIs" dxfId="882" priority="2634" operator="equal">
      <formula>AS_DEV_EFFORT</formula>
    </cfRule>
  </conditionalFormatting>
  <conditionalFormatting sqref="F64">
    <cfRule type="expression" dxfId="881" priority="2632">
      <formula>$K64&lt;&gt;""</formula>
    </cfRule>
  </conditionalFormatting>
  <conditionalFormatting sqref="C64">
    <cfRule type="expression" dxfId="880" priority="2631">
      <formula>$G64&lt;&gt;"-"</formula>
    </cfRule>
  </conditionalFormatting>
  <conditionalFormatting sqref="D64">
    <cfRule type="expression" dxfId="879" priority="2630">
      <formula>$H64&lt;&gt;"-"</formula>
    </cfRule>
  </conditionalFormatting>
  <conditionalFormatting sqref="E64">
    <cfRule type="expression" dxfId="878" priority="2629">
      <formula>$I64&lt;&gt;"-"</formula>
    </cfRule>
  </conditionalFormatting>
  <conditionalFormatting sqref="B73">
    <cfRule type="expression" dxfId="877" priority="2626">
      <formula>AD73&lt;&gt;""</formula>
    </cfRule>
  </conditionalFormatting>
  <conditionalFormatting sqref="Z73">
    <cfRule type="cellIs" dxfId="876" priority="2624" operator="greaterThan">
      <formula>0</formula>
    </cfRule>
    <cfRule type="cellIs" dxfId="875" priority="2625" operator="lessThan">
      <formula>0</formula>
    </cfRule>
  </conditionalFormatting>
  <conditionalFormatting sqref="S73">
    <cfRule type="cellIs" dxfId="874" priority="2623" operator="lessThan">
      <formula>0</formula>
    </cfRule>
  </conditionalFormatting>
  <conditionalFormatting sqref="P73">
    <cfRule type="cellIs" dxfId="873" priority="2621" operator="equal">
      <formula>AS_DURATION_EFFORT</formula>
    </cfRule>
    <cfRule type="cellIs" dxfId="872" priority="2622" operator="equal">
      <formula>AS_DEV_EFFORT</formula>
    </cfRule>
  </conditionalFormatting>
  <conditionalFormatting sqref="F73">
    <cfRule type="expression" dxfId="871" priority="2620">
      <formula>$K73&lt;&gt;""</formula>
    </cfRule>
  </conditionalFormatting>
  <conditionalFormatting sqref="C73">
    <cfRule type="expression" dxfId="870" priority="2619">
      <formula>$G73&lt;&gt;"-"</formula>
    </cfRule>
  </conditionalFormatting>
  <conditionalFormatting sqref="D73">
    <cfRule type="expression" dxfId="869" priority="2618">
      <formula>$H73&lt;&gt;"-"</formula>
    </cfRule>
  </conditionalFormatting>
  <conditionalFormatting sqref="E73">
    <cfRule type="expression" dxfId="868" priority="2617">
      <formula>$I73&lt;&gt;"-"</formula>
    </cfRule>
  </conditionalFormatting>
  <conditionalFormatting sqref="B74">
    <cfRule type="expression" dxfId="867" priority="2614">
      <formula>AD74&lt;&gt;""</formula>
    </cfRule>
  </conditionalFormatting>
  <conditionalFormatting sqref="Z74">
    <cfRule type="cellIs" dxfId="866" priority="2612" operator="greaterThan">
      <formula>0</formula>
    </cfRule>
    <cfRule type="cellIs" dxfId="865" priority="2613" operator="lessThan">
      <formula>0</formula>
    </cfRule>
  </conditionalFormatting>
  <conditionalFormatting sqref="S74">
    <cfRule type="cellIs" dxfId="864" priority="2611" operator="lessThan">
      <formula>0</formula>
    </cfRule>
  </conditionalFormatting>
  <conditionalFormatting sqref="F74">
    <cfRule type="expression" dxfId="861" priority="2608">
      <formula>$K74&lt;&gt;""</formula>
    </cfRule>
  </conditionalFormatting>
  <conditionalFormatting sqref="C74">
    <cfRule type="expression" dxfId="860" priority="2607">
      <formula>$G74&lt;&gt;"-"</formula>
    </cfRule>
  </conditionalFormatting>
  <conditionalFormatting sqref="D74">
    <cfRule type="expression" dxfId="859" priority="2606">
      <formula>$H74&lt;&gt;"-"</formula>
    </cfRule>
  </conditionalFormatting>
  <conditionalFormatting sqref="E74">
    <cfRule type="expression" dxfId="858" priority="2605">
      <formula>$I74&lt;&gt;"-"</formula>
    </cfRule>
  </conditionalFormatting>
  <conditionalFormatting sqref="B76">
    <cfRule type="expression" dxfId="857" priority="2602">
      <formula>AD76&lt;&gt;""</formula>
    </cfRule>
  </conditionalFormatting>
  <conditionalFormatting sqref="Z76">
    <cfRule type="cellIs" dxfId="856" priority="2600" operator="greaterThan">
      <formula>0</formula>
    </cfRule>
    <cfRule type="cellIs" dxfId="855" priority="2601" operator="lessThan">
      <formula>0</formula>
    </cfRule>
  </conditionalFormatting>
  <conditionalFormatting sqref="S76">
    <cfRule type="cellIs" dxfId="854" priority="2599" operator="lessThan">
      <formula>0</formula>
    </cfRule>
  </conditionalFormatting>
  <conditionalFormatting sqref="F76">
    <cfRule type="expression" dxfId="851" priority="2596">
      <formula>$K76&lt;&gt;""</formula>
    </cfRule>
  </conditionalFormatting>
  <conditionalFormatting sqref="C76">
    <cfRule type="expression" dxfId="850" priority="2595">
      <formula>$G76&lt;&gt;"-"</formula>
    </cfRule>
  </conditionalFormatting>
  <conditionalFormatting sqref="D76">
    <cfRule type="expression" dxfId="849" priority="2594">
      <formula>$H76&lt;&gt;"-"</formula>
    </cfRule>
  </conditionalFormatting>
  <conditionalFormatting sqref="E76">
    <cfRule type="expression" dxfId="848" priority="2593">
      <formula>$I76&lt;&gt;"-"</formula>
    </cfRule>
  </conditionalFormatting>
  <conditionalFormatting sqref="B84">
    <cfRule type="expression" dxfId="847" priority="2542">
      <formula>AD84&lt;&gt;""</formula>
    </cfRule>
  </conditionalFormatting>
  <conditionalFormatting sqref="Z84">
    <cfRule type="cellIs" dxfId="846" priority="2540" operator="greaterThan">
      <formula>0</formula>
    </cfRule>
    <cfRule type="cellIs" dxfId="845" priority="2541" operator="lessThan">
      <formula>0</formula>
    </cfRule>
  </conditionalFormatting>
  <conditionalFormatting sqref="S84">
    <cfRule type="cellIs" dxfId="844" priority="2539" operator="lessThan">
      <formula>0</formula>
    </cfRule>
  </conditionalFormatting>
  <conditionalFormatting sqref="P84">
    <cfRule type="cellIs" dxfId="843" priority="2537" operator="equal">
      <formula>AS_DURATION_EFFORT</formula>
    </cfRule>
    <cfRule type="cellIs" dxfId="842" priority="2538" operator="equal">
      <formula>AS_DEV_EFFORT</formula>
    </cfRule>
  </conditionalFormatting>
  <conditionalFormatting sqref="F84">
    <cfRule type="expression" dxfId="841" priority="2536">
      <formula>$K84&lt;&gt;""</formula>
    </cfRule>
  </conditionalFormatting>
  <conditionalFormatting sqref="C84">
    <cfRule type="expression" dxfId="840" priority="2535">
      <formula>$G84&lt;&gt;"-"</formula>
    </cfRule>
  </conditionalFormatting>
  <conditionalFormatting sqref="D84">
    <cfRule type="expression" dxfId="839" priority="2534">
      <formula>$H84&lt;&gt;"-"</formula>
    </cfRule>
  </conditionalFormatting>
  <conditionalFormatting sqref="E84">
    <cfRule type="expression" dxfId="838" priority="2533">
      <formula>$I84&lt;&gt;"-"</formula>
    </cfRule>
  </conditionalFormatting>
  <conditionalFormatting sqref="B83">
    <cfRule type="expression" dxfId="837" priority="2518">
      <formula>AD83&lt;&gt;""</formula>
    </cfRule>
  </conditionalFormatting>
  <conditionalFormatting sqref="Z83">
    <cfRule type="cellIs" dxfId="836" priority="2516" operator="greaterThan">
      <formula>0</formula>
    </cfRule>
    <cfRule type="cellIs" dxfId="835" priority="2517" operator="lessThan">
      <formula>0</formula>
    </cfRule>
  </conditionalFormatting>
  <conditionalFormatting sqref="S83">
    <cfRule type="cellIs" dxfId="834" priority="2515" operator="lessThan">
      <formula>0</formula>
    </cfRule>
  </conditionalFormatting>
  <conditionalFormatting sqref="P83">
    <cfRule type="cellIs" dxfId="833" priority="2513" operator="equal">
      <formula>AS_DURATION_EFFORT</formula>
    </cfRule>
    <cfRule type="cellIs" dxfId="832" priority="2514" operator="equal">
      <formula>AS_DEV_EFFORT</formula>
    </cfRule>
  </conditionalFormatting>
  <conditionalFormatting sqref="F83">
    <cfRule type="expression" dxfId="831" priority="2512">
      <formula>$K83&lt;&gt;""</formula>
    </cfRule>
  </conditionalFormatting>
  <conditionalFormatting sqref="C83">
    <cfRule type="expression" dxfId="830" priority="2511">
      <formula>$G83&lt;&gt;"-"</formula>
    </cfRule>
  </conditionalFormatting>
  <conditionalFormatting sqref="D83">
    <cfRule type="expression" dxfId="829" priority="2510">
      <formula>$H83&lt;&gt;"-"</formula>
    </cfRule>
  </conditionalFormatting>
  <conditionalFormatting sqref="E83">
    <cfRule type="expression" dxfId="828" priority="2509">
      <formula>$I83&lt;&gt;"-"</formula>
    </cfRule>
  </conditionalFormatting>
  <conditionalFormatting sqref="B82">
    <cfRule type="expression" dxfId="827" priority="2494">
      <formula>AD82&lt;&gt;""</formula>
    </cfRule>
  </conditionalFormatting>
  <conditionalFormatting sqref="Z82">
    <cfRule type="cellIs" dxfId="826" priority="2492" operator="greaterThan">
      <formula>0</formula>
    </cfRule>
    <cfRule type="cellIs" dxfId="825" priority="2493" operator="lessThan">
      <formula>0</formula>
    </cfRule>
  </conditionalFormatting>
  <conditionalFormatting sqref="S82">
    <cfRule type="cellIs" dxfId="824" priority="2491" operator="lessThan">
      <formula>0</formula>
    </cfRule>
  </conditionalFormatting>
  <conditionalFormatting sqref="P82">
    <cfRule type="cellIs" dxfId="823" priority="2489" operator="equal">
      <formula>AS_DURATION_EFFORT</formula>
    </cfRule>
    <cfRule type="cellIs" dxfId="822" priority="2490" operator="equal">
      <formula>AS_DEV_EFFORT</formula>
    </cfRule>
  </conditionalFormatting>
  <conditionalFormatting sqref="F82">
    <cfRule type="expression" dxfId="821" priority="2488">
      <formula>$K82&lt;&gt;""</formula>
    </cfRule>
  </conditionalFormatting>
  <conditionalFormatting sqref="C82">
    <cfRule type="expression" dxfId="820" priority="2487">
      <formula>$G82&lt;&gt;"-"</formula>
    </cfRule>
  </conditionalFormatting>
  <conditionalFormatting sqref="D82">
    <cfRule type="expression" dxfId="819" priority="2486">
      <formula>$H82&lt;&gt;"-"</formula>
    </cfRule>
  </conditionalFormatting>
  <conditionalFormatting sqref="E82">
    <cfRule type="expression" dxfId="818" priority="2485">
      <formula>$I82&lt;&gt;"-"</formula>
    </cfRule>
  </conditionalFormatting>
  <conditionalFormatting sqref="B81">
    <cfRule type="expression" dxfId="817" priority="2482">
      <formula>AD81&lt;&gt;""</formula>
    </cfRule>
  </conditionalFormatting>
  <conditionalFormatting sqref="Z81">
    <cfRule type="cellIs" dxfId="816" priority="2480" operator="greaterThan">
      <formula>0</formula>
    </cfRule>
    <cfRule type="cellIs" dxfId="815" priority="2481" operator="lessThan">
      <formula>0</formula>
    </cfRule>
  </conditionalFormatting>
  <conditionalFormatting sqref="S81">
    <cfRule type="cellIs" dxfId="814" priority="2479" operator="lessThan">
      <formula>0</formula>
    </cfRule>
  </conditionalFormatting>
  <conditionalFormatting sqref="P81">
    <cfRule type="cellIs" dxfId="813" priority="2477" operator="equal">
      <formula>AS_DURATION_EFFORT</formula>
    </cfRule>
    <cfRule type="cellIs" dxfId="812" priority="2478" operator="equal">
      <formula>AS_DEV_EFFORT</formula>
    </cfRule>
  </conditionalFormatting>
  <conditionalFormatting sqref="F81">
    <cfRule type="expression" dxfId="811" priority="2476">
      <formula>$K81&lt;&gt;""</formula>
    </cfRule>
  </conditionalFormatting>
  <conditionalFormatting sqref="C81">
    <cfRule type="expression" dxfId="810" priority="2475">
      <formula>$G81&lt;&gt;"-"</formula>
    </cfRule>
  </conditionalFormatting>
  <conditionalFormatting sqref="D81">
    <cfRule type="expression" dxfId="809" priority="2474">
      <formula>$H81&lt;&gt;"-"</formula>
    </cfRule>
  </conditionalFormatting>
  <conditionalFormatting sqref="E81">
    <cfRule type="expression" dxfId="808" priority="2473">
      <formula>$I81&lt;&gt;"-"</formula>
    </cfRule>
  </conditionalFormatting>
  <conditionalFormatting sqref="B94">
    <cfRule type="expression" dxfId="807" priority="2434">
      <formula>AD94&lt;&gt;""</formula>
    </cfRule>
  </conditionalFormatting>
  <conditionalFormatting sqref="Z94">
    <cfRule type="cellIs" dxfId="806" priority="2432" operator="greaterThan">
      <formula>0</formula>
    </cfRule>
    <cfRule type="cellIs" dxfId="805" priority="2433" operator="lessThan">
      <formula>0</formula>
    </cfRule>
  </conditionalFormatting>
  <conditionalFormatting sqref="S94">
    <cfRule type="cellIs" dxfId="804" priority="2431" operator="lessThan">
      <formula>0</formula>
    </cfRule>
  </conditionalFormatting>
  <conditionalFormatting sqref="P94">
    <cfRule type="cellIs" dxfId="803" priority="2429" operator="equal">
      <formula>AS_DURATION_EFFORT</formula>
    </cfRule>
    <cfRule type="cellIs" dxfId="802" priority="2430" operator="equal">
      <formula>AS_DEV_EFFORT</formula>
    </cfRule>
  </conditionalFormatting>
  <conditionalFormatting sqref="F94">
    <cfRule type="expression" dxfId="801" priority="2428">
      <formula>$K94&lt;&gt;""</formula>
    </cfRule>
  </conditionalFormatting>
  <conditionalFormatting sqref="C94">
    <cfRule type="expression" dxfId="800" priority="2427">
      <formula>$G94&lt;&gt;"-"</formula>
    </cfRule>
  </conditionalFormatting>
  <conditionalFormatting sqref="D94">
    <cfRule type="expression" dxfId="799" priority="2426">
      <formula>$H94&lt;&gt;"-"</formula>
    </cfRule>
  </conditionalFormatting>
  <conditionalFormatting sqref="E94">
    <cfRule type="expression" dxfId="798" priority="2425">
      <formula>$I94&lt;&gt;"-"</formula>
    </cfRule>
  </conditionalFormatting>
  <conditionalFormatting sqref="B93">
    <cfRule type="expression" dxfId="797" priority="2422">
      <formula>AD93&lt;&gt;""</formula>
    </cfRule>
  </conditionalFormatting>
  <conditionalFormatting sqref="Z93">
    <cfRule type="cellIs" dxfId="796" priority="2420" operator="greaterThan">
      <formula>0</formula>
    </cfRule>
    <cfRule type="cellIs" dxfId="795" priority="2421" operator="lessThan">
      <formula>0</formula>
    </cfRule>
  </conditionalFormatting>
  <conditionalFormatting sqref="S93">
    <cfRule type="cellIs" dxfId="794" priority="2419" operator="lessThan">
      <formula>0</formula>
    </cfRule>
  </conditionalFormatting>
  <conditionalFormatting sqref="P93">
    <cfRule type="cellIs" dxfId="793" priority="2417" operator="equal">
      <formula>AS_DURATION_EFFORT</formula>
    </cfRule>
    <cfRule type="cellIs" dxfId="792" priority="2418" operator="equal">
      <formula>AS_DEV_EFFORT</formula>
    </cfRule>
  </conditionalFormatting>
  <conditionalFormatting sqref="F93">
    <cfRule type="expression" dxfId="791" priority="2416">
      <formula>$K93&lt;&gt;""</formula>
    </cfRule>
  </conditionalFormatting>
  <conditionalFormatting sqref="C93">
    <cfRule type="expression" dxfId="790" priority="2415">
      <formula>$G93&lt;&gt;"-"</formula>
    </cfRule>
  </conditionalFormatting>
  <conditionalFormatting sqref="D93">
    <cfRule type="expression" dxfId="789" priority="2414">
      <formula>$H93&lt;&gt;"-"</formula>
    </cfRule>
  </conditionalFormatting>
  <conditionalFormatting sqref="E93">
    <cfRule type="expression" dxfId="788" priority="2413">
      <formula>$I93&lt;&gt;"-"</formula>
    </cfRule>
  </conditionalFormatting>
  <conditionalFormatting sqref="B92">
    <cfRule type="expression" dxfId="787" priority="2410">
      <formula>AD92&lt;&gt;""</formula>
    </cfRule>
  </conditionalFormatting>
  <conditionalFormatting sqref="Z92">
    <cfRule type="cellIs" dxfId="786" priority="2408" operator="greaterThan">
      <formula>0</formula>
    </cfRule>
    <cfRule type="cellIs" dxfId="785" priority="2409" operator="lessThan">
      <formula>0</formula>
    </cfRule>
  </conditionalFormatting>
  <conditionalFormatting sqref="S92">
    <cfRule type="cellIs" dxfId="784" priority="2407" operator="lessThan">
      <formula>0</formula>
    </cfRule>
  </conditionalFormatting>
  <conditionalFormatting sqref="P92">
    <cfRule type="cellIs" dxfId="783" priority="2405" operator="equal">
      <formula>AS_DURATION_EFFORT</formula>
    </cfRule>
    <cfRule type="cellIs" dxfId="782" priority="2406" operator="equal">
      <formula>AS_DEV_EFFORT</formula>
    </cfRule>
  </conditionalFormatting>
  <conditionalFormatting sqref="F92">
    <cfRule type="expression" dxfId="781" priority="2404">
      <formula>$K92&lt;&gt;""</formula>
    </cfRule>
  </conditionalFormatting>
  <conditionalFormatting sqref="C92">
    <cfRule type="expression" dxfId="780" priority="2403">
      <formula>$G92&lt;&gt;"-"</formula>
    </cfRule>
  </conditionalFormatting>
  <conditionalFormatting sqref="D92">
    <cfRule type="expression" dxfId="779" priority="2402">
      <formula>$H92&lt;&gt;"-"</formula>
    </cfRule>
  </conditionalFormatting>
  <conditionalFormatting sqref="E92">
    <cfRule type="expression" dxfId="778" priority="2401">
      <formula>$I92&lt;&gt;"-"</formula>
    </cfRule>
  </conditionalFormatting>
  <conditionalFormatting sqref="B102">
    <cfRule type="expression" dxfId="777" priority="2398">
      <formula>AD102&lt;&gt;""</formula>
    </cfRule>
  </conditionalFormatting>
  <conditionalFormatting sqref="Z102">
    <cfRule type="cellIs" dxfId="776" priority="2396" operator="greaterThan">
      <formula>0</formula>
    </cfRule>
    <cfRule type="cellIs" dxfId="775" priority="2397" operator="lessThan">
      <formula>0</formula>
    </cfRule>
  </conditionalFormatting>
  <conditionalFormatting sqref="S102">
    <cfRule type="cellIs" dxfId="774" priority="2395" operator="lessThan">
      <formula>0</formula>
    </cfRule>
  </conditionalFormatting>
  <conditionalFormatting sqref="P102">
    <cfRule type="cellIs" dxfId="773" priority="2393" operator="equal">
      <formula>AS_DURATION_EFFORT</formula>
    </cfRule>
    <cfRule type="cellIs" dxfId="772" priority="2394" operator="equal">
      <formula>AS_DEV_EFFORT</formula>
    </cfRule>
  </conditionalFormatting>
  <conditionalFormatting sqref="F102">
    <cfRule type="expression" dxfId="771" priority="2392">
      <formula>$K102&lt;&gt;""</formula>
    </cfRule>
  </conditionalFormatting>
  <conditionalFormatting sqref="C102">
    <cfRule type="expression" dxfId="770" priority="2391">
      <formula>$G102&lt;&gt;"-"</formula>
    </cfRule>
  </conditionalFormatting>
  <conditionalFormatting sqref="D102">
    <cfRule type="expression" dxfId="769" priority="2390">
      <formula>$H102&lt;&gt;"-"</formula>
    </cfRule>
  </conditionalFormatting>
  <conditionalFormatting sqref="E102">
    <cfRule type="expression" dxfId="768" priority="2389">
      <formula>$I102&lt;&gt;"-"</formula>
    </cfRule>
  </conditionalFormatting>
  <conditionalFormatting sqref="B101">
    <cfRule type="expression" dxfId="767" priority="2386">
      <formula>AD101&lt;&gt;""</formula>
    </cfRule>
  </conditionalFormatting>
  <conditionalFormatting sqref="Z101">
    <cfRule type="cellIs" dxfId="766" priority="2384" operator="greaterThan">
      <formula>0</formula>
    </cfRule>
    <cfRule type="cellIs" dxfId="765" priority="2385" operator="lessThan">
      <formula>0</formula>
    </cfRule>
  </conditionalFormatting>
  <conditionalFormatting sqref="S101">
    <cfRule type="cellIs" dxfId="764" priority="2383" operator="lessThan">
      <formula>0</formula>
    </cfRule>
  </conditionalFormatting>
  <conditionalFormatting sqref="P101">
    <cfRule type="cellIs" dxfId="763" priority="2381" operator="equal">
      <formula>AS_DURATION_EFFORT</formula>
    </cfRule>
    <cfRule type="cellIs" dxfId="762" priority="2382" operator="equal">
      <formula>AS_DEV_EFFORT</formula>
    </cfRule>
  </conditionalFormatting>
  <conditionalFormatting sqref="F101">
    <cfRule type="expression" dxfId="761" priority="2380">
      <formula>$K101&lt;&gt;""</formula>
    </cfRule>
  </conditionalFormatting>
  <conditionalFormatting sqref="C101">
    <cfRule type="expression" dxfId="760" priority="2379">
      <formula>$G101&lt;&gt;"-"</formula>
    </cfRule>
  </conditionalFormatting>
  <conditionalFormatting sqref="D101">
    <cfRule type="expression" dxfId="759" priority="2378">
      <formula>$H101&lt;&gt;"-"</formula>
    </cfRule>
  </conditionalFormatting>
  <conditionalFormatting sqref="E101">
    <cfRule type="expression" dxfId="758" priority="2377">
      <formula>$I101&lt;&gt;"-"</formula>
    </cfRule>
  </conditionalFormatting>
  <conditionalFormatting sqref="B100">
    <cfRule type="expression" dxfId="757" priority="2374">
      <formula>AD100&lt;&gt;""</formula>
    </cfRule>
  </conditionalFormatting>
  <conditionalFormatting sqref="Z100">
    <cfRule type="cellIs" dxfId="756" priority="2372" operator="greaterThan">
      <formula>0</formula>
    </cfRule>
    <cfRule type="cellIs" dxfId="755" priority="2373" operator="lessThan">
      <formula>0</formula>
    </cfRule>
  </conditionalFormatting>
  <conditionalFormatting sqref="S100">
    <cfRule type="cellIs" dxfId="754" priority="2371" operator="lessThan">
      <formula>0</formula>
    </cfRule>
  </conditionalFormatting>
  <conditionalFormatting sqref="P100">
    <cfRule type="cellIs" dxfId="753" priority="2369" operator="equal">
      <formula>AS_DURATION_EFFORT</formula>
    </cfRule>
    <cfRule type="cellIs" dxfId="752" priority="2370" operator="equal">
      <formula>AS_DEV_EFFORT</formula>
    </cfRule>
  </conditionalFormatting>
  <conditionalFormatting sqref="F100">
    <cfRule type="expression" dxfId="751" priority="2368">
      <formula>$K100&lt;&gt;""</formula>
    </cfRule>
  </conditionalFormatting>
  <conditionalFormatting sqref="C100">
    <cfRule type="expression" dxfId="750" priority="2367">
      <formula>$G100&lt;&gt;"-"</formula>
    </cfRule>
  </conditionalFormatting>
  <conditionalFormatting sqref="D100">
    <cfRule type="expression" dxfId="749" priority="2366">
      <formula>$H100&lt;&gt;"-"</formula>
    </cfRule>
  </conditionalFormatting>
  <conditionalFormatting sqref="E100">
    <cfRule type="expression" dxfId="748" priority="2365">
      <formula>$I100&lt;&gt;"-"</formula>
    </cfRule>
  </conditionalFormatting>
  <conditionalFormatting sqref="B99">
    <cfRule type="expression" dxfId="747" priority="2362">
      <formula>AD99&lt;&gt;""</formula>
    </cfRule>
  </conditionalFormatting>
  <conditionalFormatting sqref="Z99">
    <cfRule type="cellIs" dxfId="746" priority="2360" operator="greaterThan">
      <formula>0</formula>
    </cfRule>
    <cfRule type="cellIs" dxfId="745" priority="2361" operator="lessThan">
      <formula>0</formula>
    </cfRule>
  </conditionalFormatting>
  <conditionalFormatting sqref="S99">
    <cfRule type="cellIs" dxfId="744" priority="2359" operator="lessThan">
      <formula>0</formula>
    </cfRule>
  </conditionalFormatting>
  <conditionalFormatting sqref="P99">
    <cfRule type="cellIs" dxfId="743" priority="2357" operator="equal">
      <formula>AS_DURATION_EFFORT</formula>
    </cfRule>
    <cfRule type="cellIs" dxfId="742" priority="2358" operator="equal">
      <formula>AS_DEV_EFFORT</formula>
    </cfRule>
  </conditionalFormatting>
  <conditionalFormatting sqref="F99">
    <cfRule type="expression" dxfId="741" priority="2356">
      <formula>$K99&lt;&gt;""</formula>
    </cfRule>
  </conditionalFormatting>
  <conditionalFormatting sqref="C99">
    <cfRule type="expression" dxfId="740" priority="2355">
      <formula>$G99&lt;&gt;"-"</formula>
    </cfRule>
  </conditionalFormatting>
  <conditionalFormatting sqref="D99">
    <cfRule type="expression" dxfId="739" priority="2354">
      <formula>$H99&lt;&gt;"-"</formula>
    </cfRule>
  </conditionalFormatting>
  <conditionalFormatting sqref="E99">
    <cfRule type="expression" dxfId="738" priority="2353">
      <formula>$I99&lt;&gt;"-"</formula>
    </cfRule>
  </conditionalFormatting>
  <conditionalFormatting sqref="B108">
    <cfRule type="expression" dxfId="737" priority="2350">
      <formula>AD108&lt;&gt;""</formula>
    </cfRule>
  </conditionalFormatting>
  <conditionalFormatting sqref="Z108">
    <cfRule type="cellIs" dxfId="736" priority="2348" operator="greaterThan">
      <formula>0</formula>
    </cfRule>
    <cfRule type="cellIs" dxfId="735" priority="2349" operator="lessThan">
      <formula>0</formula>
    </cfRule>
  </conditionalFormatting>
  <conditionalFormatting sqref="S108">
    <cfRule type="cellIs" dxfId="734" priority="2347" operator="lessThan">
      <formula>0</formula>
    </cfRule>
  </conditionalFormatting>
  <conditionalFormatting sqref="P108">
    <cfRule type="cellIs" dxfId="733" priority="2345" operator="equal">
      <formula>AS_DURATION_EFFORT</formula>
    </cfRule>
    <cfRule type="cellIs" dxfId="732" priority="2346" operator="equal">
      <formula>AS_DEV_EFFORT</formula>
    </cfRule>
  </conditionalFormatting>
  <conditionalFormatting sqref="F108">
    <cfRule type="expression" dxfId="731" priority="2344">
      <formula>$K108&lt;&gt;""</formula>
    </cfRule>
  </conditionalFormatting>
  <conditionalFormatting sqref="C108">
    <cfRule type="expression" dxfId="730" priority="2343">
      <formula>$G108&lt;&gt;"-"</formula>
    </cfRule>
  </conditionalFormatting>
  <conditionalFormatting sqref="D108">
    <cfRule type="expression" dxfId="729" priority="2342">
      <formula>$H108&lt;&gt;"-"</formula>
    </cfRule>
  </conditionalFormatting>
  <conditionalFormatting sqref="E108">
    <cfRule type="expression" dxfId="728" priority="2341">
      <formula>$I108&lt;&gt;"-"</formula>
    </cfRule>
  </conditionalFormatting>
  <conditionalFormatting sqref="S110">
    <cfRule type="expression" dxfId="727" priority="2340">
      <formula>#REF!="Yes"</formula>
    </cfRule>
  </conditionalFormatting>
  <conditionalFormatting sqref="B110">
    <cfRule type="expression" dxfId="726" priority="2339">
      <formula>AD110&lt;&gt;""</formula>
    </cfRule>
  </conditionalFormatting>
  <conditionalFormatting sqref="B118">
    <cfRule type="expression" dxfId="725" priority="2335">
      <formula>AD118&lt;&gt;""</formula>
    </cfRule>
  </conditionalFormatting>
  <conditionalFormatting sqref="Z118">
    <cfRule type="cellIs" dxfId="724" priority="2333" operator="greaterThan">
      <formula>0</formula>
    </cfRule>
    <cfRule type="cellIs" dxfId="723" priority="2334" operator="lessThan">
      <formula>0</formula>
    </cfRule>
  </conditionalFormatting>
  <conditionalFormatting sqref="S118">
    <cfRule type="cellIs" dxfId="722" priority="2332" operator="lessThan">
      <formula>0</formula>
    </cfRule>
  </conditionalFormatting>
  <conditionalFormatting sqref="T116:T117">
    <cfRule type="expression" dxfId="721" priority="2336">
      <formula>#REF!="Yes"</formula>
    </cfRule>
  </conditionalFormatting>
  <conditionalFormatting sqref="P118">
    <cfRule type="cellIs" dxfId="720" priority="2330" operator="equal">
      <formula>AS_DURATION_EFFORT</formula>
    </cfRule>
    <cfRule type="cellIs" dxfId="719" priority="2331" operator="equal">
      <formula>AS_DEV_EFFORT</formula>
    </cfRule>
  </conditionalFormatting>
  <conditionalFormatting sqref="B116:B117">
    <cfRule type="expression" dxfId="718" priority="2329">
      <formula>AD116&lt;&gt;""</formula>
    </cfRule>
  </conditionalFormatting>
  <conditionalFormatting sqref="F118">
    <cfRule type="expression" dxfId="717" priority="2328">
      <formula>$K118&lt;&gt;""</formula>
    </cfRule>
  </conditionalFormatting>
  <conditionalFormatting sqref="C118">
    <cfRule type="expression" dxfId="716" priority="2327">
      <formula>$G118&lt;&gt;"-"</formula>
    </cfRule>
  </conditionalFormatting>
  <conditionalFormatting sqref="D118">
    <cfRule type="expression" dxfId="715" priority="2326">
      <formula>$H118&lt;&gt;"-"</formula>
    </cfRule>
  </conditionalFormatting>
  <conditionalFormatting sqref="E118">
    <cfRule type="expression" dxfId="714" priority="2325">
      <formula>$I118&lt;&gt;"-"</formula>
    </cfRule>
  </conditionalFormatting>
  <conditionalFormatting sqref="B114">
    <cfRule type="expression" dxfId="713" priority="2322">
      <formula>AD114&lt;&gt;""</formula>
    </cfRule>
  </conditionalFormatting>
  <conditionalFormatting sqref="Z114">
    <cfRule type="cellIs" dxfId="712" priority="2320" operator="greaterThan">
      <formula>0</formula>
    </cfRule>
    <cfRule type="cellIs" dxfId="711" priority="2321" operator="lessThan">
      <formula>0</formula>
    </cfRule>
  </conditionalFormatting>
  <conditionalFormatting sqref="S114">
    <cfRule type="cellIs" dxfId="710" priority="2319" operator="lessThan">
      <formula>0</formula>
    </cfRule>
  </conditionalFormatting>
  <conditionalFormatting sqref="P114">
    <cfRule type="cellIs" dxfId="709" priority="2317" operator="equal">
      <formula>AS_DURATION_EFFORT</formula>
    </cfRule>
    <cfRule type="cellIs" dxfId="708" priority="2318" operator="equal">
      <formula>AS_DEV_EFFORT</formula>
    </cfRule>
  </conditionalFormatting>
  <conditionalFormatting sqref="F114">
    <cfRule type="expression" dxfId="707" priority="2316">
      <formula>$K114&lt;&gt;""</formula>
    </cfRule>
  </conditionalFormatting>
  <conditionalFormatting sqref="C114">
    <cfRule type="expression" dxfId="706" priority="2315">
      <formula>$G114&lt;&gt;"-"</formula>
    </cfRule>
  </conditionalFormatting>
  <conditionalFormatting sqref="D114">
    <cfRule type="expression" dxfId="705" priority="2314">
      <formula>$H114&lt;&gt;"-"</formula>
    </cfRule>
  </conditionalFormatting>
  <conditionalFormatting sqref="E114">
    <cfRule type="expression" dxfId="704" priority="2313">
      <formula>$I114&lt;&gt;"-"</formula>
    </cfRule>
  </conditionalFormatting>
  <conditionalFormatting sqref="B145">
    <cfRule type="expression" dxfId="703" priority="2305">
      <formula>AD145&lt;&gt;""</formula>
    </cfRule>
  </conditionalFormatting>
  <conditionalFormatting sqref="Z145">
    <cfRule type="cellIs" dxfId="702" priority="2303" operator="greaterThan">
      <formula>0</formula>
    </cfRule>
    <cfRule type="cellIs" dxfId="701" priority="2304" operator="lessThan">
      <formula>0</formula>
    </cfRule>
  </conditionalFormatting>
  <conditionalFormatting sqref="S145">
    <cfRule type="cellIs" dxfId="700" priority="2302" operator="lessThan">
      <formula>0</formula>
    </cfRule>
  </conditionalFormatting>
  <conditionalFormatting sqref="T143:T144">
    <cfRule type="expression" dxfId="699" priority="2306">
      <formula>#REF!="Yes"</formula>
    </cfRule>
  </conditionalFormatting>
  <conditionalFormatting sqref="P145">
    <cfRule type="cellIs" dxfId="698" priority="2300" operator="equal">
      <formula>AS_DURATION_EFFORT</formula>
    </cfRule>
    <cfRule type="cellIs" dxfId="697" priority="2301" operator="equal">
      <formula>AS_DEV_EFFORT</formula>
    </cfRule>
  </conditionalFormatting>
  <conditionalFormatting sqref="B143:B144">
    <cfRule type="expression" dxfId="696" priority="2299">
      <formula>AD143&lt;&gt;""</formula>
    </cfRule>
  </conditionalFormatting>
  <conditionalFormatting sqref="F145">
    <cfRule type="expression" dxfId="695" priority="2298">
      <formula>$K145&lt;&gt;""</formula>
    </cfRule>
  </conditionalFormatting>
  <conditionalFormatting sqref="C145">
    <cfRule type="expression" dxfId="694" priority="2297">
      <formula>$G145&lt;&gt;"-"</formula>
    </cfRule>
  </conditionalFormatting>
  <conditionalFormatting sqref="D145">
    <cfRule type="expression" dxfId="693" priority="2296">
      <formula>$H145&lt;&gt;"-"</formula>
    </cfRule>
  </conditionalFormatting>
  <conditionalFormatting sqref="E145">
    <cfRule type="expression" dxfId="692" priority="2295">
      <formula>$I145&lt;&gt;"-"</formula>
    </cfRule>
  </conditionalFormatting>
  <conditionalFormatting sqref="B146">
    <cfRule type="expression" dxfId="691" priority="2292">
      <formula>AD146&lt;&gt;""</formula>
    </cfRule>
  </conditionalFormatting>
  <conditionalFormatting sqref="Z146">
    <cfRule type="cellIs" dxfId="690" priority="2290" operator="greaterThan">
      <formula>0</formula>
    </cfRule>
    <cfRule type="cellIs" dxfId="689" priority="2291" operator="lessThan">
      <formula>0</formula>
    </cfRule>
  </conditionalFormatting>
  <conditionalFormatting sqref="S146">
    <cfRule type="cellIs" dxfId="688" priority="2289" operator="lessThan">
      <formula>0</formula>
    </cfRule>
  </conditionalFormatting>
  <conditionalFormatting sqref="F146">
    <cfRule type="expression" dxfId="687" priority="2286">
      <formula>$K146&lt;&gt;""</formula>
    </cfRule>
  </conditionalFormatting>
  <conditionalFormatting sqref="C146">
    <cfRule type="expression" dxfId="686" priority="2285">
      <formula>$G146&lt;&gt;"-"</formula>
    </cfRule>
  </conditionalFormatting>
  <conditionalFormatting sqref="D146">
    <cfRule type="expression" dxfId="685" priority="2284">
      <formula>$H146&lt;&gt;"-"</formula>
    </cfRule>
  </conditionalFormatting>
  <conditionalFormatting sqref="E146">
    <cfRule type="expression" dxfId="684" priority="2283">
      <formula>$I146&lt;&gt;"-"</formula>
    </cfRule>
  </conditionalFormatting>
  <conditionalFormatting sqref="B150">
    <cfRule type="expression" dxfId="683" priority="2279">
      <formula>AD150&lt;&gt;""</formula>
    </cfRule>
  </conditionalFormatting>
  <conditionalFormatting sqref="Z150">
    <cfRule type="cellIs" dxfId="682" priority="2277" operator="greaterThan">
      <formula>0</formula>
    </cfRule>
    <cfRule type="cellIs" dxfId="681" priority="2278" operator="lessThan">
      <formula>0</formula>
    </cfRule>
  </conditionalFormatting>
  <conditionalFormatting sqref="S150">
    <cfRule type="cellIs" dxfId="680" priority="2276" operator="lessThan">
      <formula>0</formula>
    </cfRule>
  </conditionalFormatting>
  <conditionalFormatting sqref="T148:T149">
    <cfRule type="expression" dxfId="679" priority="2280">
      <formula>#REF!="Yes"</formula>
    </cfRule>
  </conditionalFormatting>
  <conditionalFormatting sqref="P157">
    <cfRule type="cellIs" dxfId="678" priority="2216" operator="equal">
      <formula>AS_DURATION_EFFORT</formula>
    </cfRule>
    <cfRule type="cellIs" dxfId="677" priority="2217" operator="equal">
      <formula>AS_DEV_EFFORT</formula>
    </cfRule>
  </conditionalFormatting>
  <conditionalFormatting sqref="B148:B149">
    <cfRule type="expression" dxfId="676" priority="2273">
      <formula>AD148&lt;&gt;""</formula>
    </cfRule>
  </conditionalFormatting>
  <conditionalFormatting sqref="F150">
    <cfRule type="expression" dxfId="675" priority="2272">
      <formula>$K150&lt;&gt;""</formula>
    </cfRule>
  </conditionalFormatting>
  <conditionalFormatting sqref="C150">
    <cfRule type="expression" dxfId="674" priority="2271">
      <formula>$G150&lt;&gt;"-"</formula>
    </cfRule>
  </conditionalFormatting>
  <conditionalFormatting sqref="D150">
    <cfRule type="expression" dxfId="673" priority="2270">
      <formula>$H150&lt;&gt;"-"</formula>
    </cfRule>
  </conditionalFormatting>
  <conditionalFormatting sqref="E150">
    <cfRule type="expression" dxfId="672" priority="2269">
      <formula>$I150&lt;&gt;"-"</formula>
    </cfRule>
  </conditionalFormatting>
  <conditionalFormatting sqref="B151">
    <cfRule type="expression" dxfId="671" priority="2266">
      <formula>AD151&lt;&gt;""</formula>
    </cfRule>
  </conditionalFormatting>
  <conditionalFormatting sqref="Z151">
    <cfRule type="cellIs" dxfId="670" priority="2264" operator="greaterThan">
      <formula>0</formula>
    </cfRule>
    <cfRule type="cellIs" dxfId="669" priority="2265" operator="lessThan">
      <formula>0</formula>
    </cfRule>
  </conditionalFormatting>
  <conditionalFormatting sqref="S151">
    <cfRule type="cellIs" dxfId="668" priority="2263" operator="lessThan">
      <formula>0</formula>
    </cfRule>
  </conditionalFormatting>
  <conditionalFormatting sqref="P152">
    <cfRule type="cellIs" dxfId="667" priority="2227" operator="equal">
      <formula>AS_DURATION_EFFORT</formula>
    </cfRule>
    <cfRule type="cellIs" dxfId="666" priority="2228" operator="equal">
      <formula>AS_DEV_EFFORT</formula>
    </cfRule>
  </conditionalFormatting>
  <conditionalFormatting sqref="F151">
    <cfRule type="expression" dxfId="665" priority="2260">
      <formula>$K151&lt;&gt;""</formula>
    </cfRule>
  </conditionalFormatting>
  <conditionalFormatting sqref="C151">
    <cfRule type="expression" dxfId="664" priority="2259">
      <formula>$G151&lt;&gt;"-"</formula>
    </cfRule>
  </conditionalFormatting>
  <conditionalFormatting sqref="D151">
    <cfRule type="expression" dxfId="663" priority="2258">
      <formula>$H151&lt;&gt;"-"</formula>
    </cfRule>
  </conditionalFormatting>
  <conditionalFormatting sqref="E151">
    <cfRule type="expression" dxfId="662" priority="2257">
      <formula>$I151&lt;&gt;"-"</formula>
    </cfRule>
  </conditionalFormatting>
  <conditionalFormatting sqref="B153">
    <cfRule type="expression" dxfId="661" priority="2254">
      <formula>AD153&lt;&gt;""</formula>
    </cfRule>
  </conditionalFormatting>
  <conditionalFormatting sqref="Z153">
    <cfRule type="cellIs" dxfId="660" priority="2252" operator="greaterThan">
      <formula>0</formula>
    </cfRule>
    <cfRule type="cellIs" dxfId="659" priority="2253" operator="lessThan">
      <formula>0</formula>
    </cfRule>
  </conditionalFormatting>
  <conditionalFormatting sqref="S153">
    <cfRule type="cellIs" dxfId="658" priority="2251" operator="lessThan">
      <formula>0</formula>
    </cfRule>
  </conditionalFormatting>
  <conditionalFormatting sqref="P153">
    <cfRule type="cellIs" dxfId="657" priority="2249" operator="equal">
      <formula>AS_DURATION_EFFORT</formula>
    </cfRule>
    <cfRule type="cellIs" dxfId="656" priority="2250" operator="equal">
      <formula>AS_DEV_EFFORT</formula>
    </cfRule>
  </conditionalFormatting>
  <conditionalFormatting sqref="F153">
    <cfRule type="expression" dxfId="655" priority="2248">
      <formula>$K153&lt;&gt;""</formula>
    </cfRule>
  </conditionalFormatting>
  <conditionalFormatting sqref="C153">
    <cfRule type="expression" dxfId="654" priority="2247">
      <formula>$G153&lt;&gt;"-"</formula>
    </cfRule>
  </conditionalFormatting>
  <conditionalFormatting sqref="D153">
    <cfRule type="expression" dxfId="653" priority="2246">
      <formula>$H153&lt;&gt;"-"</formula>
    </cfRule>
  </conditionalFormatting>
  <conditionalFormatting sqref="E153">
    <cfRule type="expression" dxfId="652" priority="2245">
      <formula>$I153&lt;&gt;"-"</formula>
    </cfRule>
  </conditionalFormatting>
  <conditionalFormatting sqref="B152">
    <cfRule type="expression" dxfId="651" priority="2242">
      <formula>AD152&lt;&gt;""</formula>
    </cfRule>
  </conditionalFormatting>
  <conditionalFormatting sqref="Z152">
    <cfRule type="cellIs" dxfId="650" priority="2240" operator="greaterThan">
      <formula>0</formula>
    </cfRule>
    <cfRule type="cellIs" dxfId="649" priority="2241" operator="lessThan">
      <formula>0</formula>
    </cfRule>
  </conditionalFormatting>
  <conditionalFormatting sqref="S152">
    <cfRule type="cellIs" dxfId="648" priority="2239" operator="lessThan">
      <formula>0</formula>
    </cfRule>
  </conditionalFormatting>
  <conditionalFormatting sqref="P150">
    <cfRule type="cellIs" dxfId="647" priority="2229" operator="equal">
      <formula>AS_DURATION_EFFORT</formula>
    </cfRule>
    <cfRule type="cellIs" dxfId="646" priority="2230" operator="equal">
      <formula>AS_DEV_EFFORT</formula>
    </cfRule>
  </conditionalFormatting>
  <conditionalFormatting sqref="F152">
    <cfRule type="expression" dxfId="645" priority="2236">
      <formula>$K152&lt;&gt;""</formula>
    </cfRule>
  </conditionalFormatting>
  <conditionalFormatting sqref="C152">
    <cfRule type="expression" dxfId="644" priority="2235">
      <formula>$G152&lt;&gt;"-"</formula>
    </cfRule>
  </conditionalFormatting>
  <conditionalFormatting sqref="D152">
    <cfRule type="expression" dxfId="643" priority="2234">
      <formula>$H152&lt;&gt;"-"</formula>
    </cfRule>
  </conditionalFormatting>
  <conditionalFormatting sqref="E152">
    <cfRule type="expression" dxfId="642" priority="2233">
      <formula>$I152&lt;&gt;"-"</formula>
    </cfRule>
  </conditionalFormatting>
  <conditionalFormatting sqref="P160">
    <cfRule type="cellIs" dxfId="641" priority="2203" operator="equal">
      <formula>AS_DURATION_EFFORT</formula>
    </cfRule>
    <cfRule type="cellIs" dxfId="640" priority="2204" operator="equal">
      <formula>AS_DEV_EFFORT</formula>
    </cfRule>
  </conditionalFormatting>
  <conditionalFormatting sqref="P151:P152">
    <cfRule type="cellIs" dxfId="639" priority="2225" operator="equal">
      <formula>AS_DURATION_EFFORT</formula>
    </cfRule>
    <cfRule type="cellIs" dxfId="638" priority="2226" operator="equal">
      <formula>AS_DEV_EFFORT</formula>
    </cfRule>
  </conditionalFormatting>
  <conditionalFormatting sqref="B157">
    <cfRule type="expression" dxfId="637" priority="2221">
      <formula>AD157&lt;&gt;""</formula>
    </cfRule>
  </conditionalFormatting>
  <conditionalFormatting sqref="Z157">
    <cfRule type="cellIs" dxfId="636" priority="2219" operator="greaterThan">
      <formula>0</formula>
    </cfRule>
    <cfRule type="cellIs" dxfId="635" priority="2220" operator="lessThan">
      <formula>0</formula>
    </cfRule>
  </conditionalFormatting>
  <conditionalFormatting sqref="S157">
    <cfRule type="cellIs" dxfId="634" priority="2218" operator="lessThan">
      <formula>0</formula>
    </cfRule>
  </conditionalFormatting>
  <conditionalFormatting sqref="T155:T156">
    <cfRule type="expression" dxfId="633" priority="2222">
      <formula>#REF!="Yes"</formula>
    </cfRule>
  </conditionalFormatting>
  <conditionalFormatting sqref="B155:B156">
    <cfRule type="expression" dxfId="632" priority="2215">
      <formula>AD155&lt;&gt;""</formula>
    </cfRule>
  </conditionalFormatting>
  <conditionalFormatting sqref="F157">
    <cfRule type="expression" dxfId="631" priority="2214">
      <formula>$K157&lt;&gt;""</formula>
    </cfRule>
  </conditionalFormatting>
  <conditionalFormatting sqref="C157">
    <cfRule type="expression" dxfId="630" priority="2213">
      <formula>$G157&lt;&gt;"-"</formula>
    </cfRule>
  </conditionalFormatting>
  <conditionalFormatting sqref="D157">
    <cfRule type="expression" dxfId="629" priority="2212">
      <formula>$H157&lt;&gt;"-"</formula>
    </cfRule>
  </conditionalFormatting>
  <conditionalFormatting sqref="E157">
    <cfRule type="expression" dxfId="628" priority="2211">
      <formula>$I157&lt;&gt;"-"</formula>
    </cfRule>
  </conditionalFormatting>
  <conditionalFormatting sqref="B160">
    <cfRule type="expression" dxfId="627" priority="2208">
      <formula>AD160&lt;&gt;""</formula>
    </cfRule>
  </conditionalFormatting>
  <conditionalFormatting sqref="Z160">
    <cfRule type="cellIs" dxfId="626" priority="2206" operator="greaterThan">
      <formula>0</formula>
    </cfRule>
    <cfRule type="cellIs" dxfId="625" priority="2207" operator="lessThan">
      <formula>0</formula>
    </cfRule>
  </conditionalFormatting>
  <conditionalFormatting sqref="S160">
    <cfRule type="cellIs" dxfId="624" priority="2205" operator="lessThan">
      <formula>0</formula>
    </cfRule>
  </conditionalFormatting>
  <conditionalFormatting sqref="P159">
    <cfRule type="cellIs" dxfId="623" priority="2191" operator="equal">
      <formula>AS_DURATION_EFFORT</formula>
    </cfRule>
    <cfRule type="cellIs" dxfId="622" priority="2192" operator="equal">
      <formula>AS_DEV_EFFORT</formula>
    </cfRule>
  </conditionalFormatting>
  <conditionalFormatting sqref="F160">
    <cfRule type="expression" dxfId="621" priority="2202">
      <formula>$K160&lt;&gt;""</formula>
    </cfRule>
  </conditionalFormatting>
  <conditionalFormatting sqref="C160">
    <cfRule type="expression" dxfId="620" priority="2201">
      <formula>$G160&lt;&gt;"-"</formula>
    </cfRule>
  </conditionalFormatting>
  <conditionalFormatting sqref="D160">
    <cfRule type="expression" dxfId="619" priority="2200">
      <formula>$H160&lt;&gt;"-"</formula>
    </cfRule>
  </conditionalFormatting>
  <conditionalFormatting sqref="E160">
    <cfRule type="expression" dxfId="618" priority="2199">
      <formula>$I160&lt;&gt;"-"</formula>
    </cfRule>
  </conditionalFormatting>
  <conditionalFormatting sqref="B159">
    <cfRule type="expression" dxfId="617" priority="2196">
      <formula>AD159&lt;&gt;""</formula>
    </cfRule>
  </conditionalFormatting>
  <conditionalFormatting sqref="Z159">
    <cfRule type="cellIs" dxfId="616" priority="2194" operator="greaterThan">
      <formula>0</formula>
    </cfRule>
    <cfRule type="cellIs" dxfId="615" priority="2195" operator="lessThan">
      <formula>0</formula>
    </cfRule>
  </conditionalFormatting>
  <conditionalFormatting sqref="S159">
    <cfRule type="cellIs" dxfId="614" priority="2193" operator="lessThan">
      <formula>0</formula>
    </cfRule>
  </conditionalFormatting>
  <conditionalFormatting sqref="P158">
    <cfRule type="cellIs" dxfId="613" priority="2179" operator="equal">
      <formula>AS_DURATION_EFFORT</formula>
    </cfRule>
    <cfRule type="cellIs" dxfId="612" priority="2180" operator="equal">
      <formula>AS_DEV_EFFORT</formula>
    </cfRule>
  </conditionalFormatting>
  <conditionalFormatting sqref="F159">
    <cfRule type="expression" dxfId="611" priority="2190">
      <formula>$K159&lt;&gt;""</formula>
    </cfRule>
  </conditionalFormatting>
  <conditionalFormatting sqref="C159">
    <cfRule type="expression" dxfId="610" priority="2189">
      <formula>$G159&lt;&gt;"-"</formula>
    </cfRule>
  </conditionalFormatting>
  <conditionalFormatting sqref="D159">
    <cfRule type="expression" dxfId="609" priority="2188">
      <formula>$H159&lt;&gt;"-"</formula>
    </cfRule>
  </conditionalFormatting>
  <conditionalFormatting sqref="E159">
    <cfRule type="expression" dxfId="608" priority="2187">
      <formula>$I159&lt;&gt;"-"</formula>
    </cfRule>
  </conditionalFormatting>
  <conditionalFormatting sqref="B158">
    <cfRule type="expression" dxfId="607" priority="2184">
      <formula>AD158&lt;&gt;""</formula>
    </cfRule>
  </conditionalFormatting>
  <conditionalFormatting sqref="Z158">
    <cfRule type="cellIs" dxfId="606" priority="2182" operator="greaterThan">
      <formula>0</formula>
    </cfRule>
    <cfRule type="cellIs" dxfId="605" priority="2183" operator="lessThan">
      <formula>0</formula>
    </cfRule>
  </conditionalFormatting>
  <conditionalFormatting sqref="S158">
    <cfRule type="cellIs" dxfId="604" priority="2181" operator="lessThan">
      <formula>0</formula>
    </cfRule>
  </conditionalFormatting>
  <conditionalFormatting sqref="F158">
    <cfRule type="expression" dxfId="603" priority="2178">
      <formula>$K158&lt;&gt;""</formula>
    </cfRule>
  </conditionalFormatting>
  <conditionalFormatting sqref="C158">
    <cfRule type="expression" dxfId="602" priority="2177">
      <formula>$G158&lt;&gt;"-"</formula>
    </cfRule>
  </conditionalFormatting>
  <conditionalFormatting sqref="D158">
    <cfRule type="expression" dxfId="601" priority="2176">
      <formula>$H158&lt;&gt;"-"</formula>
    </cfRule>
  </conditionalFormatting>
  <conditionalFormatting sqref="E158">
    <cfRule type="expression" dxfId="600" priority="2175">
      <formula>$I158&lt;&gt;"-"</formula>
    </cfRule>
  </conditionalFormatting>
  <conditionalFormatting sqref="B169">
    <cfRule type="expression" dxfId="599" priority="2143">
      <formula>AD169&lt;&gt;""</formula>
    </cfRule>
  </conditionalFormatting>
  <conditionalFormatting sqref="Z169">
    <cfRule type="cellIs" dxfId="598" priority="2141" operator="greaterThan">
      <formula>0</formula>
    </cfRule>
    <cfRule type="cellIs" dxfId="597" priority="2142" operator="lessThan">
      <formula>0</formula>
    </cfRule>
  </conditionalFormatting>
  <conditionalFormatting sqref="S169">
    <cfRule type="cellIs" dxfId="596" priority="2140" operator="lessThan">
      <formula>0</formula>
    </cfRule>
  </conditionalFormatting>
  <conditionalFormatting sqref="T167:T168">
    <cfRule type="expression" dxfId="595" priority="2144">
      <formula>#REF!="Yes"</formula>
    </cfRule>
  </conditionalFormatting>
  <conditionalFormatting sqref="P169">
    <cfRule type="cellIs" dxfId="594" priority="2138" operator="equal">
      <formula>AS_DURATION_EFFORT</formula>
    </cfRule>
    <cfRule type="cellIs" dxfId="593" priority="2139" operator="equal">
      <formula>AS_DEV_EFFORT</formula>
    </cfRule>
  </conditionalFormatting>
  <conditionalFormatting sqref="B167:B168">
    <cfRule type="expression" dxfId="592" priority="2137">
      <formula>AD167&lt;&gt;""</formula>
    </cfRule>
  </conditionalFormatting>
  <conditionalFormatting sqref="F169">
    <cfRule type="expression" dxfId="591" priority="2136">
      <formula>$K169&lt;&gt;""</formula>
    </cfRule>
  </conditionalFormatting>
  <conditionalFormatting sqref="C169">
    <cfRule type="expression" dxfId="590" priority="2135">
      <formula>$G169&lt;&gt;"-"</formula>
    </cfRule>
  </conditionalFormatting>
  <conditionalFormatting sqref="D169">
    <cfRule type="expression" dxfId="589" priority="2134">
      <formula>$H169&lt;&gt;"-"</formula>
    </cfRule>
  </conditionalFormatting>
  <conditionalFormatting sqref="E169">
    <cfRule type="expression" dxfId="588" priority="2133">
      <formula>$I169&lt;&gt;"-"</formula>
    </cfRule>
  </conditionalFormatting>
  <conditionalFormatting sqref="B170">
    <cfRule type="expression" dxfId="587" priority="2130">
      <formula>AD170&lt;&gt;""</formula>
    </cfRule>
  </conditionalFormatting>
  <conditionalFormatting sqref="Z170">
    <cfRule type="cellIs" dxfId="586" priority="2128" operator="greaterThan">
      <formula>0</formula>
    </cfRule>
    <cfRule type="cellIs" dxfId="585" priority="2129" operator="lessThan">
      <formula>0</formula>
    </cfRule>
  </conditionalFormatting>
  <conditionalFormatting sqref="S170">
    <cfRule type="cellIs" dxfId="584" priority="2127" operator="lessThan">
      <formula>0</formula>
    </cfRule>
  </conditionalFormatting>
  <conditionalFormatting sqref="P170">
    <cfRule type="cellIs" dxfId="583" priority="2125" operator="equal">
      <formula>AS_DURATION_EFFORT</formula>
    </cfRule>
    <cfRule type="cellIs" dxfId="582" priority="2126" operator="equal">
      <formula>AS_DEV_EFFORT</formula>
    </cfRule>
  </conditionalFormatting>
  <conditionalFormatting sqref="F170">
    <cfRule type="expression" dxfId="581" priority="2124">
      <formula>$K170&lt;&gt;""</formula>
    </cfRule>
  </conditionalFormatting>
  <conditionalFormatting sqref="C170">
    <cfRule type="expression" dxfId="580" priority="2123">
      <formula>$G170&lt;&gt;"-"</formula>
    </cfRule>
  </conditionalFormatting>
  <conditionalFormatting sqref="D170">
    <cfRule type="expression" dxfId="579" priority="2122">
      <formula>$H170&lt;&gt;"-"</formula>
    </cfRule>
  </conditionalFormatting>
  <conditionalFormatting sqref="E170">
    <cfRule type="expression" dxfId="578" priority="2121">
      <formula>$I170&lt;&gt;"-"</formula>
    </cfRule>
  </conditionalFormatting>
  <conditionalFormatting sqref="B174">
    <cfRule type="expression" dxfId="577" priority="2117">
      <formula>AD174&lt;&gt;""</formula>
    </cfRule>
  </conditionalFormatting>
  <conditionalFormatting sqref="Z174">
    <cfRule type="cellIs" dxfId="576" priority="2115" operator="greaterThan">
      <formula>0</formula>
    </cfRule>
    <cfRule type="cellIs" dxfId="575" priority="2116" operator="lessThan">
      <formula>0</formula>
    </cfRule>
  </conditionalFormatting>
  <conditionalFormatting sqref="S174">
    <cfRule type="cellIs" dxfId="574" priority="2114" operator="lessThan">
      <formula>0</formula>
    </cfRule>
  </conditionalFormatting>
  <conditionalFormatting sqref="T172:T173">
    <cfRule type="expression" dxfId="573" priority="2118">
      <formula>#REF!="Yes"</formula>
    </cfRule>
  </conditionalFormatting>
  <conditionalFormatting sqref="P174">
    <cfRule type="cellIs" dxfId="572" priority="2112" operator="equal">
      <formula>AS_DURATION_EFFORT</formula>
    </cfRule>
    <cfRule type="cellIs" dxfId="571" priority="2113" operator="equal">
      <formula>AS_DEV_EFFORT</formula>
    </cfRule>
  </conditionalFormatting>
  <conditionalFormatting sqref="B172:B173">
    <cfRule type="expression" dxfId="570" priority="2111">
      <formula>AD172&lt;&gt;""</formula>
    </cfRule>
  </conditionalFormatting>
  <conditionalFormatting sqref="F174">
    <cfRule type="expression" dxfId="569" priority="2110">
      <formula>$K174&lt;&gt;""</formula>
    </cfRule>
  </conditionalFormatting>
  <conditionalFormatting sqref="C174">
    <cfRule type="expression" dxfId="568" priority="2109">
      <formula>$G174&lt;&gt;"-"</formula>
    </cfRule>
  </conditionalFormatting>
  <conditionalFormatting sqref="D174">
    <cfRule type="expression" dxfId="567" priority="2108">
      <formula>$H174&lt;&gt;"-"</formula>
    </cfRule>
  </conditionalFormatting>
  <conditionalFormatting sqref="E174">
    <cfRule type="expression" dxfId="566" priority="2107">
      <formula>$I174&lt;&gt;"-"</formula>
    </cfRule>
  </conditionalFormatting>
  <conditionalFormatting sqref="B178">
    <cfRule type="expression" dxfId="565" priority="2079">
      <formula>AD178&lt;&gt;""</formula>
    </cfRule>
  </conditionalFormatting>
  <conditionalFormatting sqref="Z178">
    <cfRule type="cellIs" dxfId="564" priority="2077" operator="greaterThan">
      <formula>0</formula>
    </cfRule>
    <cfRule type="cellIs" dxfId="563" priority="2078" operator="lessThan">
      <formula>0</formula>
    </cfRule>
  </conditionalFormatting>
  <conditionalFormatting sqref="S178">
    <cfRule type="cellIs" dxfId="562" priority="2076" operator="lessThan">
      <formula>0</formula>
    </cfRule>
  </conditionalFormatting>
  <conditionalFormatting sqref="T176:T177">
    <cfRule type="expression" dxfId="561" priority="2080">
      <formula>#REF!="Yes"</formula>
    </cfRule>
  </conditionalFormatting>
  <conditionalFormatting sqref="P178">
    <cfRule type="cellIs" dxfId="560" priority="2074" operator="equal">
      <formula>AS_DURATION_EFFORT</formula>
    </cfRule>
    <cfRule type="cellIs" dxfId="559" priority="2075" operator="equal">
      <formula>AS_DEV_EFFORT</formula>
    </cfRule>
  </conditionalFormatting>
  <conditionalFormatting sqref="B176:B177">
    <cfRule type="expression" dxfId="558" priority="2073">
      <formula>AD176&lt;&gt;""</formula>
    </cfRule>
  </conditionalFormatting>
  <conditionalFormatting sqref="F178">
    <cfRule type="expression" dxfId="557" priority="2072">
      <formula>$K178&lt;&gt;""</formula>
    </cfRule>
  </conditionalFormatting>
  <conditionalFormatting sqref="C178">
    <cfRule type="expression" dxfId="556" priority="2071">
      <formula>$G178&lt;&gt;"-"</formula>
    </cfRule>
  </conditionalFormatting>
  <conditionalFormatting sqref="D178">
    <cfRule type="expression" dxfId="555" priority="2070">
      <formula>$H178&lt;&gt;"-"</formula>
    </cfRule>
  </conditionalFormatting>
  <conditionalFormatting sqref="E178">
    <cfRule type="expression" dxfId="554" priority="2069">
      <formula>$I178&lt;&gt;"-"</formula>
    </cfRule>
  </conditionalFormatting>
  <conditionalFormatting sqref="B182">
    <cfRule type="expression" dxfId="553" priority="2053">
      <formula>AD182&lt;&gt;""</formula>
    </cfRule>
  </conditionalFormatting>
  <conditionalFormatting sqref="Z182">
    <cfRule type="cellIs" dxfId="552" priority="2051" operator="greaterThan">
      <formula>0</formula>
    </cfRule>
    <cfRule type="cellIs" dxfId="551" priority="2052" operator="lessThan">
      <formula>0</formula>
    </cfRule>
  </conditionalFormatting>
  <conditionalFormatting sqref="S182">
    <cfRule type="cellIs" dxfId="550" priority="2050" operator="lessThan">
      <formula>0</formula>
    </cfRule>
  </conditionalFormatting>
  <conditionalFormatting sqref="T180:T181">
    <cfRule type="expression" dxfId="549" priority="2054">
      <formula>#REF!="Yes"</formula>
    </cfRule>
  </conditionalFormatting>
  <conditionalFormatting sqref="P182">
    <cfRule type="cellIs" dxfId="548" priority="2048" operator="equal">
      <formula>AS_DURATION_EFFORT</formula>
    </cfRule>
    <cfRule type="cellIs" dxfId="547" priority="2049" operator="equal">
      <formula>AS_DEV_EFFORT</formula>
    </cfRule>
  </conditionalFormatting>
  <conditionalFormatting sqref="B180:B181">
    <cfRule type="expression" dxfId="546" priority="2047">
      <formula>AD180&lt;&gt;""</formula>
    </cfRule>
  </conditionalFormatting>
  <conditionalFormatting sqref="F182">
    <cfRule type="expression" dxfId="545" priority="2046">
      <formula>$K182&lt;&gt;""</formula>
    </cfRule>
  </conditionalFormatting>
  <conditionalFormatting sqref="C182">
    <cfRule type="expression" dxfId="544" priority="2045">
      <formula>$G182&lt;&gt;"-"</formula>
    </cfRule>
  </conditionalFormatting>
  <conditionalFormatting sqref="D182">
    <cfRule type="expression" dxfId="543" priority="2044">
      <formula>$H182&lt;&gt;"-"</formula>
    </cfRule>
  </conditionalFormatting>
  <conditionalFormatting sqref="E182">
    <cfRule type="expression" dxfId="542" priority="2043">
      <formula>$I182&lt;&gt;"-"</formula>
    </cfRule>
  </conditionalFormatting>
  <conditionalFormatting sqref="B185">
    <cfRule type="expression" dxfId="541" priority="2040">
      <formula>AD185&lt;&gt;""</formula>
    </cfRule>
  </conditionalFormatting>
  <conditionalFormatting sqref="Z185">
    <cfRule type="cellIs" dxfId="540" priority="2038" operator="greaterThan">
      <formula>0</formula>
    </cfRule>
    <cfRule type="cellIs" dxfId="539" priority="2039" operator="lessThan">
      <formula>0</formula>
    </cfRule>
  </conditionalFormatting>
  <conditionalFormatting sqref="S185">
    <cfRule type="cellIs" dxfId="538" priority="2037" operator="lessThan">
      <formula>0</formula>
    </cfRule>
  </conditionalFormatting>
  <conditionalFormatting sqref="P185">
    <cfRule type="cellIs" dxfId="537" priority="2035" operator="equal">
      <formula>AS_DURATION_EFFORT</formula>
    </cfRule>
    <cfRule type="cellIs" dxfId="536" priority="2036" operator="equal">
      <formula>AS_DEV_EFFORT</formula>
    </cfRule>
  </conditionalFormatting>
  <conditionalFormatting sqref="F185">
    <cfRule type="expression" dxfId="535" priority="2034">
      <formula>$K185&lt;&gt;""</formula>
    </cfRule>
  </conditionalFormatting>
  <conditionalFormatting sqref="C185">
    <cfRule type="expression" dxfId="534" priority="2033">
      <formula>$G185&lt;&gt;"-"</formula>
    </cfRule>
  </conditionalFormatting>
  <conditionalFormatting sqref="D185">
    <cfRule type="expression" dxfId="533" priority="2032">
      <formula>$H185&lt;&gt;"-"</formula>
    </cfRule>
  </conditionalFormatting>
  <conditionalFormatting sqref="E185">
    <cfRule type="expression" dxfId="532" priority="2031">
      <formula>$I185&lt;&gt;"-"</formula>
    </cfRule>
  </conditionalFormatting>
  <conditionalFormatting sqref="B184">
    <cfRule type="expression" dxfId="531" priority="2028">
      <formula>AD184&lt;&gt;""</formula>
    </cfRule>
  </conditionalFormatting>
  <conditionalFormatting sqref="Z184">
    <cfRule type="cellIs" dxfId="530" priority="2026" operator="greaterThan">
      <formula>0</formula>
    </cfRule>
    <cfRule type="cellIs" dxfId="529" priority="2027" operator="lessThan">
      <formula>0</formula>
    </cfRule>
  </conditionalFormatting>
  <conditionalFormatting sqref="S184">
    <cfRule type="cellIs" dxfId="528" priority="2025" operator="lessThan">
      <formula>0</formula>
    </cfRule>
  </conditionalFormatting>
  <conditionalFormatting sqref="P184">
    <cfRule type="cellIs" dxfId="527" priority="2023" operator="equal">
      <formula>AS_DURATION_EFFORT</formula>
    </cfRule>
    <cfRule type="cellIs" dxfId="526" priority="2024" operator="equal">
      <formula>AS_DEV_EFFORT</formula>
    </cfRule>
  </conditionalFormatting>
  <conditionalFormatting sqref="F184">
    <cfRule type="expression" dxfId="525" priority="2022">
      <formula>$K184&lt;&gt;""</formula>
    </cfRule>
  </conditionalFormatting>
  <conditionalFormatting sqref="C184">
    <cfRule type="expression" dxfId="524" priority="2021">
      <formula>$G184&lt;&gt;"-"</formula>
    </cfRule>
  </conditionalFormatting>
  <conditionalFormatting sqref="D184">
    <cfRule type="expression" dxfId="523" priority="2020">
      <formula>$H184&lt;&gt;"-"</formula>
    </cfRule>
  </conditionalFormatting>
  <conditionalFormatting sqref="E184">
    <cfRule type="expression" dxfId="522" priority="2019">
      <formula>$I184&lt;&gt;"-"</formula>
    </cfRule>
  </conditionalFormatting>
  <conditionalFormatting sqref="B183">
    <cfRule type="expression" dxfId="521" priority="2016">
      <formula>AD183&lt;&gt;""</formula>
    </cfRule>
  </conditionalFormatting>
  <conditionalFormatting sqref="Z183">
    <cfRule type="cellIs" dxfId="520" priority="2014" operator="greaterThan">
      <formula>0</formula>
    </cfRule>
    <cfRule type="cellIs" dxfId="519" priority="2015" operator="lessThan">
      <formula>0</formula>
    </cfRule>
  </conditionalFormatting>
  <conditionalFormatting sqref="S183">
    <cfRule type="cellIs" dxfId="518" priority="2013" operator="lessThan">
      <formula>0</formula>
    </cfRule>
  </conditionalFormatting>
  <conditionalFormatting sqref="P183">
    <cfRule type="cellIs" dxfId="517" priority="2011" operator="equal">
      <formula>AS_DURATION_EFFORT</formula>
    </cfRule>
    <cfRule type="cellIs" dxfId="516" priority="2012" operator="equal">
      <formula>AS_DEV_EFFORT</formula>
    </cfRule>
  </conditionalFormatting>
  <conditionalFormatting sqref="F183">
    <cfRule type="expression" dxfId="515" priority="2010">
      <formula>$K183&lt;&gt;""</formula>
    </cfRule>
  </conditionalFormatting>
  <conditionalFormatting sqref="C183">
    <cfRule type="expression" dxfId="514" priority="2009">
      <formula>$G183&lt;&gt;"-"</formula>
    </cfRule>
  </conditionalFormatting>
  <conditionalFormatting sqref="D183">
    <cfRule type="expression" dxfId="513" priority="2008">
      <formula>$H183&lt;&gt;"-"</formula>
    </cfRule>
  </conditionalFormatting>
  <conditionalFormatting sqref="E183">
    <cfRule type="expression" dxfId="512" priority="2007">
      <formula>$I183&lt;&gt;"-"</formula>
    </cfRule>
  </conditionalFormatting>
  <conditionalFormatting sqref="B192">
    <cfRule type="expression" dxfId="511" priority="1997">
      <formula>AD192&lt;&gt;""</formula>
    </cfRule>
  </conditionalFormatting>
  <conditionalFormatting sqref="Z192">
    <cfRule type="cellIs" dxfId="510" priority="1995" operator="greaterThan">
      <formula>0</formula>
    </cfRule>
    <cfRule type="cellIs" dxfId="509" priority="1996" operator="lessThan">
      <formula>0</formula>
    </cfRule>
  </conditionalFormatting>
  <conditionalFormatting sqref="S192">
    <cfRule type="cellIs" dxfId="508" priority="1994" operator="lessThan">
      <formula>0</formula>
    </cfRule>
  </conditionalFormatting>
  <conditionalFormatting sqref="T190:T191">
    <cfRule type="expression" dxfId="507" priority="1998">
      <formula>#REF!="Yes"</formula>
    </cfRule>
  </conditionalFormatting>
  <conditionalFormatting sqref="P192">
    <cfRule type="cellIs" dxfId="506" priority="1992" operator="equal">
      <formula>AS_DURATION_EFFORT</formula>
    </cfRule>
    <cfRule type="cellIs" dxfId="505" priority="1993" operator="equal">
      <formula>AS_DEV_EFFORT</formula>
    </cfRule>
  </conditionalFormatting>
  <conditionalFormatting sqref="B190:B191">
    <cfRule type="expression" dxfId="504" priority="1991">
      <formula>AD190&lt;&gt;""</formula>
    </cfRule>
  </conditionalFormatting>
  <conditionalFormatting sqref="F192">
    <cfRule type="expression" dxfId="503" priority="1990">
      <formula>$K192&lt;&gt;""</formula>
    </cfRule>
  </conditionalFormatting>
  <conditionalFormatting sqref="C192">
    <cfRule type="expression" dxfId="502" priority="1989">
      <formula>$G192&lt;&gt;"-"</formula>
    </cfRule>
  </conditionalFormatting>
  <conditionalFormatting sqref="D192">
    <cfRule type="expression" dxfId="501" priority="1988">
      <formula>$H192&lt;&gt;"-"</formula>
    </cfRule>
  </conditionalFormatting>
  <conditionalFormatting sqref="E192">
    <cfRule type="expression" dxfId="500" priority="1987">
      <formula>$I192&lt;&gt;"-"</formula>
    </cfRule>
  </conditionalFormatting>
  <conditionalFormatting sqref="B18">
    <cfRule type="expression" dxfId="499" priority="1044">
      <formula>AD18&lt;&gt;""</formula>
    </cfRule>
  </conditionalFormatting>
  <conditionalFormatting sqref="Z18">
    <cfRule type="cellIs" dxfId="498" priority="1042" operator="greaterThan">
      <formula>0</formula>
    </cfRule>
    <cfRule type="cellIs" dxfId="497" priority="1043" operator="lessThan">
      <formula>0</formula>
    </cfRule>
  </conditionalFormatting>
  <conditionalFormatting sqref="S18">
    <cfRule type="cellIs" dxfId="496" priority="1041" operator="lessThan">
      <formula>0</formula>
    </cfRule>
  </conditionalFormatting>
  <conditionalFormatting sqref="L18:M18 O18 R18:AC18">
    <cfRule type="expression" dxfId="495" priority="1045">
      <formula>AND($G18="Yes", $S$6="Exclude")</formula>
    </cfRule>
    <cfRule type="expression" dxfId="494" priority="1046">
      <formula>$J18="Yes"</formula>
    </cfRule>
  </conditionalFormatting>
  <conditionalFormatting sqref="F18">
    <cfRule type="expression" dxfId="493" priority="1038">
      <formula>$K18&lt;&gt;""</formula>
    </cfRule>
  </conditionalFormatting>
  <conditionalFormatting sqref="C18">
    <cfRule type="expression" dxfId="492" priority="1037">
      <formula>$G18&lt;&gt;"-"</formula>
    </cfRule>
  </conditionalFormatting>
  <conditionalFormatting sqref="D18">
    <cfRule type="expression" dxfId="491" priority="1036">
      <formula>$H18&lt;&gt;"-"</formula>
    </cfRule>
  </conditionalFormatting>
  <conditionalFormatting sqref="E18">
    <cfRule type="expression" dxfId="490" priority="1035">
      <formula>$I18&lt;&gt;"-"</formula>
    </cfRule>
  </conditionalFormatting>
  <conditionalFormatting sqref="B28">
    <cfRule type="expression" dxfId="489" priority="1031">
      <formula>AD28&lt;&gt;""</formula>
    </cfRule>
  </conditionalFormatting>
  <conditionalFormatting sqref="Z28">
    <cfRule type="cellIs" dxfId="488" priority="1029" operator="greaterThan">
      <formula>0</formula>
    </cfRule>
    <cfRule type="cellIs" dxfId="487" priority="1030" operator="lessThan">
      <formula>0</formula>
    </cfRule>
  </conditionalFormatting>
  <conditionalFormatting sqref="S28">
    <cfRule type="cellIs" dxfId="486" priority="1028" operator="lessThan">
      <formula>0</formula>
    </cfRule>
  </conditionalFormatting>
  <conditionalFormatting sqref="T26:T27">
    <cfRule type="expression" dxfId="485" priority="1032">
      <formula>#REF!="Yes"</formula>
    </cfRule>
  </conditionalFormatting>
  <conditionalFormatting sqref="P28">
    <cfRule type="cellIs" dxfId="484" priority="1026" operator="equal">
      <formula>AS_DURATION_EFFORT</formula>
    </cfRule>
    <cfRule type="cellIs" dxfId="483" priority="1027" operator="equal">
      <formula>AS_DEV_EFFORT</formula>
    </cfRule>
  </conditionalFormatting>
  <conditionalFormatting sqref="B26:B27">
    <cfRule type="expression" dxfId="482" priority="1025">
      <formula>AD26&lt;&gt;""</formula>
    </cfRule>
  </conditionalFormatting>
  <conditionalFormatting sqref="F28">
    <cfRule type="expression" dxfId="481" priority="1024">
      <formula>$K28&lt;&gt;""</formula>
    </cfRule>
  </conditionalFormatting>
  <conditionalFormatting sqref="C28">
    <cfRule type="expression" dxfId="480" priority="1023">
      <formula>$G28&lt;&gt;"-"</formula>
    </cfRule>
  </conditionalFormatting>
  <conditionalFormatting sqref="D28">
    <cfRule type="expression" dxfId="479" priority="1022">
      <formula>$H28&lt;&gt;"-"</formula>
    </cfRule>
  </conditionalFormatting>
  <conditionalFormatting sqref="E28">
    <cfRule type="expression" dxfId="478" priority="1021">
      <formula>$I28&lt;&gt;"-"</formula>
    </cfRule>
  </conditionalFormatting>
  <conditionalFormatting sqref="B35">
    <cfRule type="expression" dxfId="477" priority="1017">
      <formula>AD35&lt;&gt;""</formula>
    </cfRule>
  </conditionalFormatting>
  <conditionalFormatting sqref="Z35">
    <cfRule type="cellIs" dxfId="476" priority="1015" operator="greaterThan">
      <formula>0</formula>
    </cfRule>
    <cfRule type="cellIs" dxfId="475" priority="1016" operator="lessThan">
      <formula>0</formula>
    </cfRule>
  </conditionalFormatting>
  <conditionalFormatting sqref="S35">
    <cfRule type="cellIs" dxfId="474" priority="1014" operator="lessThan">
      <formula>0</formula>
    </cfRule>
  </conditionalFormatting>
  <conditionalFormatting sqref="T33:T34">
    <cfRule type="expression" dxfId="473" priority="1018">
      <formula>#REF!="Yes"</formula>
    </cfRule>
  </conditionalFormatting>
  <conditionalFormatting sqref="P35">
    <cfRule type="cellIs" dxfId="472" priority="1012" operator="equal">
      <formula>AS_DURATION_EFFORT</formula>
    </cfRule>
    <cfRule type="cellIs" dxfId="471" priority="1013" operator="equal">
      <formula>AS_DEV_EFFORT</formula>
    </cfRule>
  </conditionalFormatting>
  <conditionalFormatting sqref="B33:B34">
    <cfRule type="expression" dxfId="470" priority="1011">
      <formula>AD33&lt;&gt;""</formula>
    </cfRule>
  </conditionalFormatting>
  <conditionalFormatting sqref="F35">
    <cfRule type="expression" dxfId="469" priority="1010">
      <formula>$K35&lt;&gt;""</formula>
    </cfRule>
  </conditionalFormatting>
  <conditionalFormatting sqref="C35">
    <cfRule type="expression" dxfId="468" priority="1009">
      <formula>$G35&lt;&gt;"-"</formula>
    </cfRule>
  </conditionalFormatting>
  <conditionalFormatting sqref="D35">
    <cfRule type="expression" dxfId="467" priority="1008">
      <formula>$H35&lt;&gt;"-"</formula>
    </cfRule>
  </conditionalFormatting>
  <conditionalFormatting sqref="E35">
    <cfRule type="expression" dxfId="466" priority="1007">
      <formula>$I35&lt;&gt;"-"</formula>
    </cfRule>
  </conditionalFormatting>
  <conditionalFormatting sqref="B41">
    <cfRule type="expression" dxfId="465" priority="1003">
      <formula>AD41&lt;&gt;""</formula>
    </cfRule>
  </conditionalFormatting>
  <conditionalFormatting sqref="Z41">
    <cfRule type="cellIs" dxfId="464" priority="1001" operator="greaterThan">
      <formula>0</formula>
    </cfRule>
    <cfRule type="cellIs" dxfId="463" priority="1002" operator="lessThan">
      <formula>0</formula>
    </cfRule>
  </conditionalFormatting>
  <conditionalFormatting sqref="S41">
    <cfRule type="cellIs" dxfId="462" priority="1000" operator="lessThan">
      <formula>0</formula>
    </cfRule>
  </conditionalFormatting>
  <conditionalFormatting sqref="T39:T40">
    <cfRule type="expression" dxfId="461" priority="1004">
      <formula>#REF!="Yes"</formula>
    </cfRule>
  </conditionalFormatting>
  <conditionalFormatting sqref="P41">
    <cfRule type="cellIs" dxfId="460" priority="998" operator="equal">
      <formula>AS_DURATION_EFFORT</formula>
    </cfRule>
    <cfRule type="cellIs" dxfId="459" priority="999" operator="equal">
      <formula>AS_DEV_EFFORT</formula>
    </cfRule>
  </conditionalFormatting>
  <conditionalFormatting sqref="B39:B40">
    <cfRule type="expression" dxfId="458" priority="997">
      <formula>AD39&lt;&gt;""</formula>
    </cfRule>
  </conditionalFormatting>
  <conditionalFormatting sqref="F41">
    <cfRule type="expression" dxfId="457" priority="996">
      <formula>$K41&lt;&gt;""</formula>
    </cfRule>
  </conditionalFormatting>
  <conditionalFormatting sqref="C41">
    <cfRule type="expression" dxfId="456" priority="995">
      <formula>$G41&lt;&gt;"-"</formula>
    </cfRule>
  </conditionalFormatting>
  <conditionalFormatting sqref="D41">
    <cfRule type="expression" dxfId="455" priority="994">
      <formula>$H41&lt;&gt;"-"</formula>
    </cfRule>
  </conditionalFormatting>
  <conditionalFormatting sqref="E41">
    <cfRule type="expression" dxfId="454" priority="993">
      <formula>$I41&lt;&gt;"-"</formula>
    </cfRule>
  </conditionalFormatting>
  <conditionalFormatting sqref="T45:T46">
    <cfRule type="expression" dxfId="453" priority="990">
      <formula>#REF!="Yes"</formula>
    </cfRule>
  </conditionalFormatting>
  <conditionalFormatting sqref="B45:B46">
    <cfRule type="expression" dxfId="452" priority="983">
      <formula>AD45&lt;&gt;""</formula>
    </cfRule>
  </conditionalFormatting>
  <conditionalFormatting sqref="B53">
    <cfRule type="expression" dxfId="451" priority="975">
      <formula>AD53&lt;&gt;""</formula>
    </cfRule>
  </conditionalFormatting>
  <conditionalFormatting sqref="Z53">
    <cfRule type="cellIs" dxfId="450" priority="973" operator="greaterThan">
      <formula>0</formula>
    </cfRule>
    <cfRule type="cellIs" dxfId="449" priority="974" operator="lessThan">
      <formula>0</formula>
    </cfRule>
  </conditionalFormatting>
  <conditionalFormatting sqref="S53">
    <cfRule type="cellIs" dxfId="448" priority="972" operator="lessThan">
      <formula>0</formula>
    </cfRule>
  </conditionalFormatting>
  <conditionalFormatting sqref="T51:T52">
    <cfRule type="expression" dxfId="447" priority="976">
      <formula>#REF!="Yes"</formula>
    </cfRule>
  </conditionalFormatting>
  <conditionalFormatting sqref="P53">
    <cfRule type="cellIs" dxfId="446" priority="970" operator="equal">
      <formula>AS_DURATION_EFFORT</formula>
    </cfRule>
    <cfRule type="cellIs" dxfId="445" priority="971" operator="equal">
      <formula>AS_DEV_EFFORT</formula>
    </cfRule>
  </conditionalFormatting>
  <conditionalFormatting sqref="B51:B52">
    <cfRule type="expression" dxfId="444" priority="969">
      <formula>AD51&lt;&gt;""</formula>
    </cfRule>
  </conditionalFormatting>
  <conditionalFormatting sqref="F53">
    <cfRule type="expression" dxfId="443" priority="968">
      <formula>$K53&lt;&gt;""</formula>
    </cfRule>
  </conditionalFormatting>
  <conditionalFormatting sqref="C53">
    <cfRule type="expression" dxfId="442" priority="967">
      <formula>$G53&lt;&gt;"-"</formula>
    </cfRule>
  </conditionalFormatting>
  <conditionalFormatting sqref="D53">
    <cfRule type="expression" dxfId="441" priority="966">
      <formula>$H53&lt;&gt;"-"</formula>
    </cfRule>
  </conditionalFormatting>
  <conditionalFormatting sqref="E53">
    <cfRule type="expression" dxfId="440" priority="965">
      <formula>$I53&lt;&gt;"-"</formula>
    </cfRule>
  </conditionalFormatting>
  <conditionalFormatting sqref="N18">
    <cfRule type="expression" dxfId="439" priority="963">
      <formula>AND($G18="Yes", $S$6="Exclude")</formula>
    </cfRule>
    <cfRule type="expression" dxfId="438" priority="964">
      <formula>$J18="Yes"</formula>
    </cfRule>
  </conditionalFormatting>
  <conditionalFormatting sqref="P18">
    <cfRule type="cellIs" dxfId="437" priority="959" operator="equal">
      <formula>AS_DURATION_EFFORT</formula>
    </cfRule>
    <cfRule type="cellIs" dxfId="436" priority="960" operator="equal">
      <formula>AS_DEV_EFFORT</formula>
    </cfRule>
  </conditionalFormatting>
  <conditionalFormatting sqref="P18:Q18">
    <cfRule type="expression" dxfId="435" priority="961">
      <formula>AND($G18="Yes", $S$6="Exclude")</formula>
    </cfRule>
    <cfRule type="expression" dxfId="434" priority="962">
      <formula>$J18="Yes"</formula>
    </cfRule>
  </conditionalFormatting>
  <conditionalFormatting sqref="B22">
    <cfRule type="expression" dxfId="433" priority="956">
      <formula>AD22&lt;&gt;""</formula>
    </cfRule>
  </conditionalFormatting>
  <conditionalFormatting sqref="Z22">
    <cfRule type="cellIs" dxfId="432" priority="954" operator="greaterThan">
      <formula>0</formula>
    </cfRule>
    <cfRule type="cellIs" dxfId="431" priority="955" operator="lessThan">
      <formula>0</formula>
    </cfRule>
  </conditionalFormatting>
  <conditionalFormatting sqref="S22">
    <cfRule type="cellIs" dxfId="430" priority="953" operator="lessThan">
      <formula>0</formula>
    </cfRule>
  </conditionalFormatting>
  <conditionalFormatting sqref="P22">
    <cfRule type="cellIs" dxfId="429" priority="951" operator="equal">
      <formula>AS_DURATION_EFFORT</formula>
    </cfRule>
    <cfRule type="cellIs" dxfId="428" priority="952" operator="equal">
      <formula>AS_DEV_EFFORT</formula>
    </cfRule>
  </conditionalFormatting>
  <conditionalFormatting sqref="L22:M22 O22:AC22">
    <cfRule type="expression" dxfId="427" priority="957">
      <formula>AND($G22="Yes", $S$6="Exclude")</formula>
    </cfRule>
    <cfRule type="expression" dxfId="426" priority="958">
      <formula>$J22="Yes"</formula>
    </cfRule>
  </conditionalFormatting>
  <conditionalFormatting sqref="F22">
    <cfRule type="expression" dxfId="425" priority="950">
      <formula>$K22&lt;&gt;""</formula>
    </cfRule>
  </conditionalFormatting>
  <conditionalFormatting sqref="C22">
    <cfRule type="expression" dxfId="424" priority="949">
      <formula>$G22&lt;&gt;"-"</formula>
    </cfRule>
  </conditionalFormatting>
  <conditionalFormatting sqref="D22">
    <cfRule type="expression" dxfId="423" priority="948">
      <formula>$H22&lt;&gt;"-"</formula>
    </cfRule>
  </conditionalFormatting>
  <conditionalFormatting sqref="E22">
    <cfRule type="expression" dxfId="422" priority="947">
      <formula>$I22&lt;&gt;"-"</formula>
    </cfRule>
  </conditionalFormatting>
  <conditionalFormatting sqref="N22">
    <cfRule type="expression" dxfId="421" priority="945">
      <formula>AND($G22="Yes", $S$6="Exclude")</formula>
    </cfRule>
    <cfRule type="expression" dxfId="420" priority="946">
      <formula>$J22="Yes"</formula>
    </cfRule>
  </conditionalFormatting>
  <conditionalFormatting sqref="B31">
    <cfRule type="expression" dxfId="419" priority="942">
      <formula>AD31&lt;&gt;""</formula>
    </cfRule>
  </conditionalFormatting>
  <conditionalFormatting sqref="Z31">
    <cfRule type="cellIs" dxfId="418" priority="940" operator="greaterThan">
      <formula>0</formula>
    </cfRule>
    <cfRule type="cellIs" dxfId="417" priority="941" operator="lessThan">
      <formula>0</formula>
    </cfRule>
  </conditionalFormatting>
  <conditionalFormatting sqref="S31">
    <cfRule type="cellIs" dxfId="416" priority="939" operator="lessThan">
      <formula>0</formula>
    </cfRule>
  </conditionalFormatting>
  <conditionalFormatting sqref="P31">
    <cfRule type="cellIs" dxfId="415" priority="937" operator="equal">
      <formula>AS_DURATION_EFFORT</formula>
    </cfRule>
    <cfRule type="cellIs" dxfId="414" priority="938" operator="equal">
      <formula>AS_DEV_EFFORT</formula>
    </cfRule>
  </conditionalFormatting>
  <conditionalFormatting sqref="L31:M31 O31:AC31">
    <cfRule type="expression" dxfId="413" priority="943">
      <formula>AND($G31="Yes", $S$6="Exclude")</formula>
    </cfRule>
    <cfRule type="expression" dxfId="412" priority="944">
      <formula>$J31="Yes"</formula>
    </cfRule>
  </conditionalFormatting>
  <conditionalFormatting sqref="F31">
    <cfRule type="expression" dxfId="411" priority="936">
      <formula>$K31&lt;&gt;""</formula>
    </cfRule>
  </conditionalFormatting>
  <conditionalFormatting sqref="C31">
    <cfRule type="expression" dxfId="410" priority="935">
      <formula>$G31&lt;&gt;"-"</formula>
    </cfRule>
  </conditionalFormatting>
  <conditionalFormatting sqref="D31">
    <cfRule type="expression" dxfId="409" priority="934">
      <formula>$H31&lt;&gt;"-"</formula>
    </cfRule>
  </conditionalFormatting>
  <conditionalFormatting sqref="E31">
    <cfRule type="expression" dxfId="408" priority="933">
      <formula>$I31&lt;&gt;"-"</formula>
    </cfRule>
  </conditionalFormatting>
  <conditionalFormatting sqref="B30">
    <cfRule type="expression" dxfId="407" priority="930">
      <formula>AD30&lt;&gt;""</formula>
    </cfRule>
  </conditionalFormatting>
  <conditionalFormatting sqref="Z30">
    <cfRule type="cellIs" dxfId="406" priority="928" operator="greaterThan">
      <formula>0</formula>
    </cfRule>
    <cfRule type="cellIs" dxfId="405" priority="929" operator="lessThan">
      <formula>0</formula>
    </cfRule>
  </conditionalFormatting>
  <conditionalFormatting sqref="S30">
    <cfRule type="cellIs" dxfId="404" priority="927" operator="lessThan">
      <formula>0</formula>
    </cfRule>
  </conditionalFormatting>
  <conditionalFormatting sqref="P30">
    <cfRule type="cellIs" dxfId="403" priority="925" operator="equal">
      <formula>AS_DURATION_EFFORT</formula>
    </cfRule>
    <cfRule type="cellIs" dxfId="402" priority="926" operator="equal">
      <formula>AS_DEV_EFFORT</formula>
    </cfRule>
  </conditionalFormatting>
  <conditionalFormatting sqref="L30:M30 P30:AC30">
    <cfRule type="expression" dxfId="401" priority="931">
      <formula>AND($G30="Yes", $S$6="Exclude")</formula>
    </cfRule>
    <cfRule type="expression" dxfId="400" priority="932">
      <formula>$J30="Yes"</formula>
    </cfRule>
  </conditionalFormatting>
  <conditionalFormatting sqref="F30">
    <cfRule type="expression" dxfId="399" priority="924">
      <formula>$K30&lt;&gt;""</formula>
    </cfRule>
  </conditionalFormatting>
  <conditionalFormatting sqref="C30">
    <cfRule type="expression" dxfId="398" priority="923">
      <formula>$G30&lt;&gt;"-"</formula>
    </cfRule>
  </conditionalFormatting>
  <conditionalFormatting sqref="D30">
    <cfRule type="expression" dxfId="397" priority="922">
      <formula>$H30&lt;&gt;"-"</formula>
    </cfRule>
  </conditionalFormatting>
  <conditionalFormatting sqref="E30">
    <cfRule type="expression" dxfId="396" priority="921">
      <formula>$I30&lt;&gt;"-"</formula>
    </cfRule>
  </conditionalFormatting>
  <conditionalFormatting sqref="B29">
    <cfRule type="expression" dxfId="395" priority="918">
      <formula>AD29&lt;&gt;""</formula>
    </cfRule>
  </conditionalFormatting>
  <conditionalFormatting sqref="Z29">
    <cfRule type="cellIs" dxfId="394" priority="916" operator="greaterThan">
      <formula>0</formula>
    </cfRule>
    <cfRule type="cellIs" dxfId="393" priority="917" operator="lessThan">
      <formula>0</formula>
    </cfRule>
  </conditionalFormatting>
  <conditionalFormatting sqref="S29">
    <cfRule type="cellIs" dxfId="392" priority="915" operator="lessThan">
      <formula>0</formula>
    </cfRule>
  </conditionalFormatting>
  <conditionalFormatting sqref="P29">
    <cfRule type="cellIs" dxfId="391" priority="913" operator="equal">
      <formula>AS_DURATION_EFFORT</formula>
    </cfRule>
    <cfRule type="cellIs" dxfId="390" priority="914" operator="equal">
      <formula>AS_DEV_EFFORT</formula>
    </cfRule>
  </conditionalFormatting>
  <conditionalFormatting sqref="L29:M29 P29:AC29">
    <cfRule type="expression" dxfId="389" priority="919">
      <formula>AND($G29="Yes", $S$6="Exclude")</formula>
    </cfRule>
    <cfRule type="expression" dxfId="388" priority="920">
      <formula>$J29="Yes"</formula>
    </cfRule>
  </conditionalFormatting>
  <conditionalFormatting sqref="F29">
    <cfRule type="expression" dxfId="387" priority="912">
      <formula>$K29&lt;&gt;""</formula>
    </cfRule>
  </conditionalFormatting>
  <conditionalFormatting sqref="C29">
    <cfRule type="expression" dxfId="386" priority="911">
      <formula>$G29&lt;&gt;"-"</formula>
    </cfRule>
  </conditionalFormatting>
  <conditionalFormatting sqref="D29">
    <cfRule type="expression" dxfId="385" priority="910">
      <formula>$H29&lt;&gt;"-"</formula>
    </cfRule>
  </conditionalFormatting>
  <conditionalFormatting sqref="E29">
    <cfRule type="expression" dxfId="384" priority="909">
      <formula>$I29&lt;&gt;"-"</formula>
    </cfRule>
  </conditionalFormatting>
  <conditionalFormatting sqref="N30:N31">
    <cfRule type="expression" dxfId="383" priority="907">
      <formula>AND($G30="Yes", $S$6="Exclude")</formula>
    </cfRule>
    <cfRule type="expression" dxfId="382" priority="908">
      <formula>$J30="Yes"</formula>
    </cfRule>
  </conditionalFormatting>
  <conditionalFormatting sqref="N28">
    <cfRule type="expression" dxfId="381" priority="905">
      <formula>AND($G28="Yes", $S$6="Exclude")</formula>
    </cfRule>
    <cfRule type="expression" dxfId="380" priority="906">
      <formula>$J28="Yes"</formula>
    </cfRule>
  </conditionalFormatting>
  <conditionalFormatting sqref="N29">
    <cfRule type="expression" dxfId="379" priority="903">
      <formula>AND($G29="Yes", $S$6="Exclude")</formula>
    </cfRule>
    <cfRule type="expression" dxfId="378" priority="904">
      <formula>$J29="Yes"</formula>
    </cfRule>
  </conditionalFormatting>
  <conditionalFormatting sqref="O30">
    <cfRule type="expression" dxfId="377" priority="901">
      <formula>AND($G30="Yes", $S$6="Exclude")</formula>
    </cfRule>
    <cfRule type="expression" dxfId="376" priority="902">
      <formula>$J30="Yes"</formula>
    </cfRule>
  </conditionalFormatting>
  <conditionalFormatting sqref="O29">
    <cfRule type="expression" dxfId="375" priority="899">
      <formula>AND($G29="Yes", $S$6="Exclude")</formula>
    </cfRule>
    <cfRule type="expression" dxfId="374" priority="900">
      <formula>$J29="Yes"</formula>
    </cfRule>
  </conditionalFormatting>
  <conditionalFormatting sqref="B37">
    <cfRule type="expression" dxfId="373" priority="896">
      <formula>AD37&lt;&gt;""</formula>
    </cfRule>
  </conditionalFormatting>
  <conditionalFormatting sqref="Z37">
    <cfRule type="cellIs" dxfId="372" priority="894" operator="greaterThan">
      <formula>0</formula>
    </cfRule>
    <cfRule type="cellIs" dxfId="371" priority="895" operator="lessThan">
      <formula>0</formula>
    </cfRule>
  </conditionalFormatting>
  <conditionalFormatting sqref="S37">
    <cfRule type="cellIs" dxfId="370" priority="893" operator="lessThan">
      <formula>0</formula>
    </cfRule>
  </conditionalFormatting>
  <conditionalFormatting sqref="P37">
    <cfRule type="cellIs" dxfId="369" priority="891" operator="equal">
      <formula>AS_DURATION_EFFORT</formula>
    </cfRule>
    <cfRule type="cellIs" dxfId="368" priority="892" operator="equal">
      <formula>AS_DEV_EFFORT</formula>
    </cfRule>
  </conditionalFormatting>
  <conditionalFormatting sqref="F37">
    <cfRule type="expression" dxfId="367" priority="890">
      <formula>$K37&lt;&gt;""</formula>
    </cfRule>
  </conditionalFormatting>
  <conditionalFormatting sqref="C37">
    <cfRule type="expression" dxfId="366" priority="889">
      <formula>$G37&lt;&gt;"-"</formula>
    </cfRule>
  </conditionalFormatting>
  <conditionalFormatting sqref="D37">
    <cfRule type="expression" dxfId="365" priority="888">
      <formula>$H37&lt;&gt;"-"</formula>
    </cfRule>
  </conditionalFormatting>
  <conditionalFormatting sqref="E37">
    <cfRule type="expression" dxfId="364" priority="887">
      <formula>$I37&lt;&gt;"-"</formula>
    </cfRule>
  </conditionalFormatting>
  <conditionalFormatting sqref="B36">
    <cfRule type="expression" dxfId="363" priority="872">
      <formula>AD36&lt;&gt;""</formula>
    </cfRule>
  </conditionalFormatting>
  <conditionalFormatting sqref="Z36">
    <cfRule type="cellIs" dxfId="362" priority="870" operator="greaterThan">
      <formula>0</formula>
    </cfRule>
    <cfRule type="cellIs" dxfId="361" priority="871" operator="lessThan">
      <formula>0</formula>
    </cfRule>
  </conditionalFormatting>
  <conditionalFormatting sqref="S36">
    <cfRule type="cellIs" dxfId="360" priority="869" operator="lessThan">
      <formula>0</formula>
    </cfRule>
  </conditionalFormatting>
  <conditionalFormatting sqref="P36">
    <cfRule type="cellIs" dxfId="359" priority="867" operator="equal">
      <formula>AS_DURATION_EFFORT</formula>
    </cfRule>
    <cfRule type="cellIs" dxfId="358" priority="868" operator="equal">
      <formula>AS_DEV_EFFORT</formula>
    </cfRule>
  </conditionalFormatting>
  <conditionalFormatting sqref="F36">
    <cfRule type="expression" dxfId="357" priority="866">
      <formula>$K36&lt;&gt;""</formula>
    </cfRule>
  </conditionalFormatting>
  <conditionalFormatting sqref="C36">
    <cfRule type="expression" dxfId="356" priority="865">
      <formula>$G36&lt;&gt;"-"</formula>
    </cfRule>
  </conditionalFormatting>
  <conditionalFormatting sqref="D36">
    <cfRule type="expression" dxfId="355" priority="864">
      <formula>$H36&lt;&gt;"-"</formula>
    </cfRule>
  </conditionalFormatting>
  <conditionalFormatting sqref="E36">
    <cfRule type="expression" dxfId="354" priority="863">
      <formula>$I36&lt;&gt;"-"</formula>
    </cfRule>
  </conditionalFormatting>
  <conditionalFormatting sqref="N35">
    <cfRule type="expression" dxfId="353" priority="849">
      <formula>AND($G35="Yes", $S$6="Exclude")</formula>
    </cfRule>
    <cfRule type="expression" dxfId="352" priority="850">
      <formula>$J35="Yes"</formula>
    </cfRule>
  </conditionalFormatting>
  <conditionalFormatting sqref="B43">
    <cfRule type="expression" dxfId="351" priority="832">
      <formula>AD43&lt;&gt;""</formula>
    </cfRule>
  </conditionalFormatting>
  <conditionalFormatting sqref="Z43">
    <cfRule type="cellIs" dxfId="350" priority="830" operator="greaterThan">
      <formula>0</formula>
    </cfRule>
    <cfRule type="cellIs" dxfId="349" priority="831" operator="lessThan">
      <formula>0</formula>
    </cfRule>
  </conditionalFormatting>
  <conditionalFormatting sqref="S43">
    <cfRule type="cellIs" dxfId="348" priority="829" operator="lessThan">
      <formula>0</formula>
    </cfRule>
  </conditionalFormatting>
  <conditionalFormatting sqref="P43">
    <cfRule type="cellIs" dxfId="347" priority="827" operator="equal">
      <formula>AS_DURATION_EFFORT</formula>
    </cfRule>
    <cfRule type="cellIs" dxfId="346" priority="828" operator="equal">
      <formula>AS_DEV_EFFORT</formula>
    </cfRule>
  </conditionalFormatting>
  <conditionalFormatting sqref="F43">
    <cfRule type="expression" dxfId="345" priority="826">
      <formula>$K43&lt;&gt;""</formula>
    </cfRule>
  </conditionalFormatting>
  <conditionalFormatting sqref="C43">
    <cfRule type="expression" dxfId="344" priority="825">
      <formula>$G43&lt;&gt;"-"</formula>
    </cfRule>
  </conditionalFormatting>
  <conditionalFormatting sqref="D43">
    <cfRule type="expression" dxfId="343" priority="824">
      <formula>$H43&lt;&gt;"-"</formula>
    </cfRule>
  </conditionalFormatting>
  <conditionalFormatting sqref="E43">
    <cfRule type="expression" dxfId="342" priority="823">
      <formula>$I43&lt;&gt;"-"</formula>
    </cfRule>
  </conditionalFormatting>
  <conditionalFormatting sqref="B42">
    <cfRule type="expression" dxfId="341" priority="820">
      <formula>AD42&lt;&gt;""</formula>
    </cfRule>
  </conditionalFormatting>
  <conditionalFormatting sqref="Z42">
    <cfRule type="cellIs" dxfId="340" priority="818" operator="greaterThan">
      <formula>0</formula>
    </cfRule>
    <cfRule type="cellIs" dxfId="339" priority="819" operator="lessThan">
      <formula>0</formula>
    </cfRule>
  </conditionalFormatting>
  <conditionalFormatting sqref="S42">
    <cfRule type="cellIs" dxfId="338" priority="817" operator="lessThan">
      <formula>0</formula>
    </cfRule>
  </conditionalFormatting>
  <conditionalFormatting sqref="P42">
    <cfRule type="cellIs" dxfId="337" priority="815" operator="equal">
      <formula>AS_DURATION_EFFORT</formula>
    </cfRule>
    <cfRule type="cellIs" dxfId="336" priority="816" operator="equal">
      <formula>AS_DEV_EFFORT</formula>
    </cfRule>
  </conditionalFormatting>
  <conditionalFormatting sqref="F42">
    <cfRule type="expression" dxfId="335" priority="814">
      <formula>$K42&lt;&gt;""</formula>
    </cfRule>
  </conditionalFormatting>
  <conditionalFormatting sqref="C42">
    <cfRule type="expression" dxfId="334" priority="813">
      <formula>$G42&lt;&gt;"-"</formula>
    </cfRule>
  </conditionalFormatting>
  <conditionalFormatting sqref="D42">
    <cfRule type="expression" dxfId="333" priority="812">
      <formula>$H42&lt;&gt;"-"</formula>
    </cfRule>
  </conditionalFormatting>
  <conditionalFormatting sqref="E42">
    <cfRule type="expression" dxfId="332" priority="811">
      <formula>$I42&lt;&gt;"-"</formula>
    </cfRule>
  </conditionalFormatting>
  <conditionalFormatting sqref="P41">
    <cfRule type="cellIs" dxfId="331" priority="807" operator="equal">
      <formula>AS_DURATION_EFFORT</formula>
    </cfRule>
    <cfRule type="cellIs" dxfId="330" priority="808" operator="equal">
      <formula>AS_DEV_EFFORT</formula>
    </cfRule>
  </conditionalFormatting>
  <conditionalFormatting sqref="B49">
    <cfRule type="expression" dxfId="329" priority="804">
      <formula>AD49&lt;&gt;""</formula>
    </cfRule>
  </conditionalFormatting>
  <conditionalFormatting sqref="Z49">
    <cfRule type="cellIs" dxfId="328" priority="802" operator="greaterThan">
      <formula>0</formula>
    </cfRule>
    <cfRule type="cellIs" dxfId="327" priority="803" operator="lessThan">
      <formula>0</formula>
    </cfRule>
  </conditionalFormatting>
  <conditionalFormatting sqref="S49">
    <cfRule type="cellIs" dxfId="326" priority="801" operator="lessThan">
      <formula>0</formula>
    </cfRule>
  </conditionalFormatting>
  <conditionalFormatting sqref="P49">
    <cfRule type="cellIs" dxfId="325" priority="799" operator="equal">
      <formula>AS_DURATION_EFFORT</formula>
    </cfRule>
    <cfRule type="cellIs" dxfId="324" priority="800" operator="equal">
      <formula>AS_DEV_EFFORT</formula>
    </cfRule>
  </conditionalFormatting>
  <conditionalFormatting sqref="F49">
    <cfRule type="expression" dxfId="323" priority="798">
      <formula>$K49&lt;&gt;""</formula>
    </cfRule>
  </conditionalFormatting>
  <conditionalFormatting sqref="C49">
    <cfRule type="expression" dxfId="322" priority="797">
      <formula>$G49&lt;&gt;"-"</formula>
    </cfRule>
  </conditionalFormatting>
  <conditionalFormatting sqref="D49">
    <cfRule type="expression" dxfId="321" priority="796">
      <formula>$H49&lt;&gt;"-"</formula>
    </cfRule>
  </conditionalFormatting>
  <conditionalFormatting sqref="E49">
    <cfRule type="expression" dxfId="320" priority="795">
      <formula>$I49&lt;&gt;"-"</formula>
    </cfRule>
  </conditionalFormatting>
  <conditionalFormatting sqref="B48">
    <cfRule type="expression" dxfId="319" priority="792">
      <formula>AD48&lt;&gt;""</formula>
    </cfRule>
  </conditionalFormatting>
  <conditionalFormatting sqref="Z48">
    <cfRule type="cellIs" dxfId="318" priority="790" operator="greaterThan">
      <formula>0</formula>
    </cfRule>
    <cfRule type="cellIs" dxfId="317" priority="791" operator="lessThan">
      <formula>0</formula>
    </cfRule>
  </conditionalFormatting>
  <conditionalFormatting sqref="S48">
    <cfRule type="cellIs" dxfId="316" priority="789" operator="lessThan">
      <formula>0</formula>
    </cfRule>
  </conditionalFormatting>
  <conditionalFormatting sqref="P48">
    <cfRule type="cellIs" dxfId="315" priority="787" operator="equal">
      <formula>AS_DURATION_EFFORT</formula>
    </cfRule>
    <cfRule type="cellIs" dxfId="314" priority="788" operator="equal">
      <formula>AS_DEV_EFFORT</formula>
    </cfRule>
  </conditionalFormatting>
  <conditionalFormatting sqref="F48">
    <cfRule type="expression" dxfId="313" priority="786">
      <formula>$K48&lt;&gt;""</formula>
    </cfRule>
  </conditionalFormatting>
  <conditionalFormatting sqref="C48">
    <cfRule type="expression" dxfId="312" priority="785">
      <formula>$G48&lt;&gt;"-"</formula>
    </cfRule>
  </conditionalFormatting>
  <conditionalFormatting sqref="D48">
    <cfRule type="expression" dxfId="311" priority="784">
      <formula>$H48&lt;&gt;"-"</formula>
    </cfRule>
  </conditionalFormatting>
  <conditionalFormatting sqref="E48">
    <cfRule type="expression" dxfId="310" priority="783">
      <formula>$I48&lt;&gt;"-"</formula>
    </cfRule>
  </conditionalFormatting>
  <conditionalFormatting sqref="B47">
    <cfRule type="expression" dxfId="309" priority="756">
      <formula>AD47&lt;&gt;""</formula>
    </cfRule>
  </conditionalFormatting>
  <conditionalFormatting sqref="Z47">
    <cfRule type="cellIs" dxfId="308" priority="754" operator="greaterThan">
      <formula>0</formula>
    </cfRule>
    <cfRule type="cellIs" dxfId="307" priority="755" operator="lessThan">
      <formula>0</formula>
    </cfRule>
  </conditionalFormatting>
  <conditionalFormatting sqref="S47">
    <cfRule type="cellIs" dxfId="306" priority="753" operator="lessThan">
      <formula>0</formula>
    </cfRule>
  </conditionalFormatting>
  <conditionalFormatting sqref="P47">
    <cfRule type="cellIs" dxfId="305" priority="751" operator="equal">
      <formula>AS_DURATION_EFFORT</formula>
    </cfRule>
    <cfRule type="cellIs" dxfId="304" priority="752" operator="equal">
      <formula>AS_DEV_EFFORT</formula>
    </cfRule>
  </conditionalFormatting>
  <conditionalFormatting sqref="F47">
    <cfRule type="expression" dxfId="303" priority="750">
      <formula>$K47&lt;&gt;""</formula>
    </cfRule>
  </conditionalFormatting>
  <conditionalFormatting sqref="C47">
    <cfRule type="expression" dxfId="302" priority="749">
      <formula>$G47&lt;&gt;"-"</formula>
    </cfRule>
  </conditionalFormatting>
  <conditionalFormatting sqref="D47">
    <cfRule type="expression" dxfId="301" priority="748">
      <formula>$H47&lt;&gt;"-"</formula>
    </cfRule>
  </conditionalFormatting>
  <conditionalFormatting sqref="E47">
    <cfRule type="expression" dxfId="300" priority="747">
      <formula>$I47&lt;&gt;"-"</formula>
    </cfRule>
  </conditionalFormatting>
  <conditionalFormatting sqref="B56">
    <cfRule type="expression" dxfId="299" priority="742">
      <formula>AD56&lt;&gt;""</formula>
    </cfRule>
  </conditionalFormatting>
  <conditionalFormatting sqref="Z56">
    <cfRule type="cellIs" dxfId="298" priority="740" operator="greaterThan">
      <formula>0</formula>
    </cfRule>
    <cfRule type="cellIs" dxfId="297" priority="741" operator="lessThan">
      <formula>0</formula>
    </cfRule>
  </conditionalFormatting>
  <conditionalFormatting sqref="S56">
    <cfRule type="cellIs" dxfId="296" priority="739" operator="lessThan">
      <formula>0</formula>
    </cfRule>
  </conditionalFormatting>
  <conditionalFormatting sqref="P56">
    <cfRule type="cellIs" dxfId="295" priority="737" operator="equal">
      <formula>AS_DURATION_EFFORT</formula>
    </cfRule>
    <cfRule type="cellIs" dxfId="294" priority="738" operator="equal">
      <formula>AS_DEV_EFFORT</formula>
    </cfRule>
  </conditionalFormatting>
  <conditionalFormatting sqref="F56">
    <cfRule type="expression" dxfId="293" priority="736">
      <formula>$K56&lt;&gt;""</formula>
    </cfRule>
  </conditionalFormatting>
  <conditionalFormatting sqref="C56">
    <cfRule type="expression" dxfId="292" priority="735">
      <formula>$G56&lt;&gt;"-"</formula>
    </cfRule>
  </conditionalFormatting>
  <conditionalFormatting sqref="D56">
    <cfRule type="expression" dxfId="291" priority="734">
      <formula>$H56&lt;&gt;"-"</formula>
    </cfRule>
  </conditionalFormatting>
  <conditionalFormatting sqref="E56">
    <cfRule type="expression" dxfId="290" priority="733">
      <formula>$I56&lt;&gt;"-"</formula>
    </cfRule>
  </conditionalFormatting>
  <conditionalFormatting sqref="B55">
    <cfRule type="expression" dxfId="289" priority="730">
      <formula>AD55&lt;&gt;""</formula>
    </cfRule>
  </conditionalFormatting>
  <conditionalFormatting sqref="Z55">
    <cfRule type="cellIs" dxfId="288" priority="728" operator="greaterThan">
      <formula>0</formula>
    </cfRule>
    <cfRule type="cellIs" dxfId="287" priority="729" operator="lessThan">
      <formula>0</formula>
    </cfRule>
  </conditionalFormatting>
  <conditionalFormatting sqref="S55">
    <cfRule type="cellIs" dxfId="286" priority="727" operator="lessThan">
      <formula>0</formula>
    </cfRule>
  </conditionalFormatting>
  <conditionalFormatting sqref="P55">
    <cfRule type="cellIs" dxfId="285" priority="725" operator="equal">
      <formula>AS_DURATION_EFFORT</formula>
    </cfRule>
    <cfRule type="cellIs" dxfId="284" priority="726" operator="equal">
      <formula>AS_DEV_EFFORT</formula>
    </cfRule>
  </conditionalFormatting>
  <conditionalFormatting sqref="F55">
    <cfRule type="expression" dxfId="283" priority="724">
      <formula>$K55&lt;&gt;""</formula>
    </cfRule>
  </conditionalFormatting>
  <conditionalFormatting sqref="C55">
    <cfRule type="expression" dxfId="282" priority="723">
      <formula>$G55&lt;&gt;"-"</formula>
    </cfRule>
  </conditionalFormatting>
  <conditionalFormatting sqref="D55">
    <cfRule type="expression" dxfId="281" priority="722">
      <formula>$H55&lt;&gt;"-"</formula>
    </cfRule>
  </conditionalFormatting>
  <conditionalFormatting sqref="E55">
    <cfRule type="expression" dxfId="280" priority="721">
      <formula>$I55&lt;&gt;"-"</formula>
    </cfRule>
  </conditionalFormatting>
  <conditionalFormatting sqref="B54">
    <cfRule type="expression" dxfId="279" priority="706">
      <formula>AD54&lt;&gt;""</formula>
    </cfRule>
  </conditionalFormatting>
  <conditionalFormatting sqref="Z54">
    <cfRule type="cellIs" dxfId="278" priority="704" operator="greaterThan">
      <formula>0</formula>
    </cfRule>
    <cfRule type="cellIs" dxfId="277" priority="705" operator="lessThan">
      <formula>0</formula>
    </cfRule>
  </conditionalFormatting>
  <conditionalFormatting sqref="S54">
    <cfRule type="cellIs" dxfId="276" priority="703" operator="lessThan">
      <formula>0</formula>
    </cfRule>
  </conditionalFormatting>
  <conditionalFormatting sqref="P54">
    <cfRule type="cellIs" dxfId="275" priority="701" operator="equal">
      <formula>AS_DURATION_EFFORT</formula>
    </cfRule>
    <cfRule type="cellIs" dxfId="274" priority="702" operator="equal">
      <formula>AS_DEV_EFFORT</formula>
    </cfRule>
  </conditionalFormatting>
  <conditionalFormatting sqref="F54">
    <cfRule type="expression" dxfId="273" priority="700">
      <formula>$K54&lt;&gt;""</formula>
    </cfRule>
  </conditionalFormatting>
  <conditionalFormatting sqref="C54">
    <cfRule type="expression" dxfId="272" priority="699">
      <formula>$G54&lt;&gt;"-"</formula>
    </cfRule>
  </conditionalFormatting>
  <conditionalFormatting sqref="D54">
    <cfRule type="expression" dxfId="271" priority="698">
      <formula>$H54&lt;&gt;"-"</formula>
    </cfRule>
  </conditionalFormatting>
  <conditionalFormatting sqref="E54">
    <cfRule type="expression" dxfId="270" priority="697">
      <formula>$I54&lt;&gt;"-"</formula>
    </cfRule>
  </conditionalFormatting>
  <conditionalFormatting sqref="B123">
    <cfRule type="expression" dxfId="269" priority="689">
      <formula>AD123&lt;&gt;""</formula>
    </cfRule>
  </conditionalFormatting>
  <conditionalFormatting sqref="Z123">
    <cfRule type="cellIs" dxfId="268" priority="687" operator="greaterThan">
      <formula>0</formula>
    </cfRule>
    <cfRule type="cellIs" dxfId="267" priority="688" operator="lessThan">
      <formula>0</formula>
    </cfRule>
  </conditionalFormatting>
  <conditionalFormatting sqref="S123">
    <cfRule type="cellIs" dxfId="266" priority="686" operator="lessThan">
      <formula>0</formula>
    </cfRule>
  </conditionalFormatting>
  <conditionalFormatting sqref="T121:T122">
    <cfRule type="expression" dxfId="265" priority="690">
      <formula>#REF!="Yes"</formula>
    </cfRule>
  </conditionalFormatting>
  <conditionalFormatting sqref="P123">
    <cfRule type="cellIs" dxfId="264" priority="684" operator="equal">
      <formula>AS_DURATION_EFFORT</formula>
    </cfRule>
    <cfRule type="cellIs" dxfId="263" priority="685" operator="equal">
      <formula>AS_DEV_EFFORT</formula>
    </cfRule>
  </conditionalFormatting>
  <conditionalFormatting sqref="B121:B122">
    <cfRule type="expression" dxfId="262" priority="683">
      <formula>AD121&lt;&gt;""</formula>
    </cfRule>
  </conditionalFormatting>
  <conditionalFormatting sqref="F123">
    <cfRule type="expression" dxfId="261" priority="682">
      <formula>$K123&lt;&gt;""</formula>
    </cfRule>
  </conditionalFormatting>
  <conditionalFormatting sqref="C123">
    <cfRule type="expression" dxfId="260" priority="681">
      <formula>$G123&lt;&gt;"-"</formula>
    </cfRule>
  </conditionalFormatting>
  <conditionalFormatting sqref="D123">
    <cfRule type="expression" dxfId="259" priority="680">
      <formula>$H123&lt;&gt;"-"</formula>
    </cfRule>
  </conditionalFormatting>
  <conditionalFormatting sqref="E123">
    <cfRule type="expression" dxfId="258" priority="679">
      <formula>$I123&lt;&gt;"-"</formula>
    </cfRule>
  </conditionalFormatting>
  <conditionalFormatting sqref="S120">
    <cfRule type="expression" dxfId="257" priority="678">
      <formula>#REF!="Yes"</formula>
    </cfRule>
  </conditionalFormatting>
  <conditionalFormatting sqref="B120">
    <cfRule type="expression" dxfId="256" priority="677">
      <formula>AD120&lt;&gt;""</formula>
    </cfRule>
  </conditionalFormatting>
  <conditionalFormatting sqref="B124">
    <cfRule type="expression" dxfId="255" priority="674">
      <formula>AD124&lt;&gt;""</formula>
    </cfRule>
  </conditionalFormatting>
  <conditionalFormatting sqref="Z124">
    <cfRule type="cellIs" dxfId="254" priority="672" operator="greaterThan">
      <formula>0</formula>
    </cfRule>
    <cfRule type="cellIs" dxfId="253" priority="673" operator="lessThan">
      <formula>0</formula>
    </cfRule>
  </conditionalFormatting>
  <conditionalFormatting sqref="S124">
    <cfRule type="cellIs" dxfId="252" priority="671" operator="lessThan">
      <formula>0</formula>
    </cfRule>
  </conditionalFormatting>
  <conditionalFormatting sqref="P124">
    <cfRule type="cellIs" dxfId="251" priority="669" operator="equal">
      <formula>AS_DURATION_EFFORT</formula>
    </cfRule>
    <cfRule type="cellIs" dxfId="250" priority="670" operator="equal">
      <formula>AS_DEV_EFFORT</formula>
    </cfRule>
  </conditionalFormatting>
  <conditionalFormatting sqref="F124">
    <cfRule type="expression" dxfId="249" priority="668">
      <formula>$K124&lt;&gt;""</formula>
    </cfRule>
  </conditionalFormatting>
  <conditionalFormatting sqref="C124">
    <cfRule type="expression" dxfId="248" priority="667">
      <formula>$G124&lt;&gt;"-"</formula>
    </cfRule>
  </conditionalFormatting>
  <conditionalFormatting sqref="D124">
    <cfRule type="expression" dxfId="247" priority="666">
      <formula>$H124&lt;&gt;"-"</formula>
    </cfRule>
  </conditionalFormatting>
  <conditionalFormatting sqref="E124">
    <cfRule type="expression" dxfId="246" priority="665">
      <formula>$I124&lt;&gt;"-"</formula>
    </cfRule>
  </conditionalFormatting>
  <conditionalFormatting sqref="B138">
    <cfRule type="expression" dxfId="245" priority="263">
      <formula>AD138&lt;&gt;""</formula>
    </cfRule>
  </conditionalFormatting>
  <conditionalFormatting sqref="Z138">
    <cfRule type="cellIs" dxfId="244" priority="261" operator="greaterThan">
      <formula>0</formula>
    </cfRule>
    <cfRule type="cellIs" dxfId="243" priority="262" operator="lessThan">
      <formula>0</formula>
    </cfRule>
  </conditionalFormatting>
  <conditionalFormatting sqref="S138">
    <cfRule type="cellIs" dxfId="242" priority="260" operator="lessThan">
      <formula>0</formula>
    </cfRule>
  </conditionalFormatting>
  <conditionalFormatting sqref="T136:T137">
    <cfRule type="expression" dxfId="241" priority="264">
      <formula>#REF!="Yes"</formula>
    </cfRule>
  </conditionalFormatting>
  <conditionalFormatting sqref="P138">
    <cfRule type="cellIs" dxfId="240" priority="258" operator="equal">
      <formula>AS_DURATION_EFFORT</formula>
    </cfRule>
    <cfRule type="cellIs" dxfId="239" priority="259" operator="equal">
      <formula>AS_DEV_EFFORT</formula>
    </cfRule>
  </conditionalFormatting>
  <conditionalFormatting sqref="B136:B137">
    <cfRule type="expression" dxfId="238" priority="257">
      <formula>AD136&lt;&gt;""</formula>
    </cfRule>
  </conditionalFormatting>
  <conditionalFormatting sqref="F138">
    <cfRule type="expression" dxfId="237" priority="256">
      <formula>$K138&lt;&gt;""</formula>
    </cfRule>
  </conditionalFormatting>
  <conditionalFormatting sqref="C138">
    <cfRule type="expression" dxfId="236" priority="255">
      <formula>$G138&lt;&gt;"-"</formula>
    </cfRule>
  </conditionalFormatting>
  <conditionalFormatting sqref="D138">
    <cfRule type="expression" dxfId="235" priority="254">
      <formula>$H138&lt;&gt;"-"</formula>
    </cfRule>
  </conditionalFormatting>
  <conditionalFormatting sqref="E138">
    <cfRule type="expression" dxfId="234" priority="253">
      <formula>$I138&lt;&gt;"-"</formula>
    </cfRule>
  </conditionalFormatting>
  <conditionalFormatting sqref="B139">
    <cfRule type="expression" dxfId="233" priority="252">
      <formula>AD139&lt;&gt;""</formula>
    </cfRule>
  </conditionalFormatting>
  <conditionalFormatting sqref="Z139">
    <cfRule type="cellIs" dxfId="232" priority="250" operator="greaterThan">
      <formula>0</formula>
    </cfRule>
    <cfRule type="cellIs" dxfId="231" priority="251" operator="lessThan">
      <formula>0</formula>
    </cfRule>
  </conditionalFormatting>
  <conditionalFormatting sqref="S139">
    <cfRule type="cellIs" dxfId="230" priority="249" operator="lessThan">
      <formula>0</formula>
    </cfRule>
  </conditionalFormatting>
  <conditionalFormatting sqref="P139">
    <cfRule type="cellIs" dxfId="229" priority="247" operator="equal">
      <formula>AS_DURATION_EFFORT</formula>
    </cfRule>
    <cfRule type="cellIs" dxfId="228" priority="248" operator="equal">
      <formula>AS_DEV_EFFORT</formula>
    </cfRule>
  </conditionalFormatting>
  <conditionalFormatting sqref="F139">
    <cfRule type="expression" dxfId="227" priority="246">
      <formula>$K139&lt;&gt;""</formula>
    </cfRule>
  </conditionalFormatting>
  <conditionalFormatting sqref="C139">
    <cfRule type="expression" dxfId="226" priority="245">
      <formula>$G139&lt;&gt;"-"</formula>
    </cfRule>
  </conditionalFormatting>
  <conditionalFormatting sqref="D139">
    <cfRule type="expression" dxfId="225" priority="244">
      <formula>$H139&lt;&gt;"-"</formula>
    </cfRule>
  </conditionalFormatting>
  <conditionalFormatting sqref="E139">
    <cfRule type="expression" dxfId="224" priority="243">
      <formula>$I139&lt;&gt;"-"</formula>
    </cfRule>
  </conditionalFormatting>
  <conditionalFormatting sqref="B140">
    <cfRule type="expression" dxfId="223" priority="242">
      <formula>AD140&lt;&gt;""</formula>
    </cfRule>
  </conditionalFormatting>
  <conditionalFormatting sqref="Z140">
    <cfRule type="cellIs" dxfId="222" priority="240" operator="greaterThan">
      <formula>0</formula>
    </cfRule>
    <cfRule type="cellIs" dxfId="221" priority="241" operator="lessThan">
      <formula>0</formula>
    </cfRule>
  </conditionalFormatting>
  <conditionalFormatting sqref="S140">
    <cfRule type="cellIs" dxfId="220" priority="239" operator="lessThan">
      <formula>0</formula>
    </cfRule>
  </conditionalFormatting>
  <conditionalFormatting sqref="P140">
    <cfRule type="cellIs" dxfId="219" priority="237" operator="equal">
      <formula>AS_DURATION_EFFORT</formula>
    </cfRule>
    <cfRule type="cellIs" dxfId="218" priority="238" operator="equal">
      <formula>AS_DEV_EFFORT</formula>
    </cfRule>
  </conditionalFormatting>
  <conditionalFormatting sqref="F140">
    <cfRule type="expression" dxfId="217" priority="236">
      <formula>$K140&lt;&gt;""</formula>
    </cfRule>
  </conditionalFormatting>
  <conditionalFormatting sqref="C140">
    <cfRule type="expression" dxfId="216" priority="235">
      <formula>$G140&lt;&gt;"-"</formula>
    </cfRule>
  </conditionalFormatting>
  <conditionalFormatting sqref="D140">
    <cfRule type="expression" dxfId="215" priority="234">
      <formula>$H140&lt;&gt;"-"</formula>
    </cfRule>
  </conditionalFormatting>
  <conditionalFormatting sqref="E140">
    <cfRule type="expression" dxfId="214" priority="233">
      <formula>$I140&lt;&gt;"-"</formula>
    </cfRule>
  </conditionalFormatting>
  <conditionalFormatting sqref="B141">
    <cfRule type="expression" dxfId="213" priority="232">
      <formula>AD141&lt;&gt;""</formula>
    </cfRule>
  </conditionalFormatting>
  <conditionalFormatting sqref="Z141">
    <cfRule type="cellIs" dxfId="212" priority="230" operator="greaterThan">
      <formula>0</formula>
    </cfRule>
    <cfRule type="cellIs" dxfId="211" priority="231" operator="lessThan">
      <formula>0</formula>
    </cfRule>
  </conditionalFormatting>
  <conditionalFormatting sqref="S141">
    <cfRule type="cellIs" dxfId="210" priority="229" operator="lessThan">
      <formula>0</formula>
    </cfRule>
  </conditionalFormatting>
  <conditionalFormatting sqref="P141">
    <cfRule type="cellIs" dxfId="209" priority="227" operator="equal">
      <formula>AS_DURATION_EFFORT</formula>
    </cfRule>
    <cfRule type="cellIs" dxfId="208" priority="228" operator="equal">
      <formula>AS_DEV_EFFORT</formula>
    </cfRule>
  </conditionalFormatting>
  <conditionalFormatting sqref="F141">
    <cfRule type="expression" dxfId="207" priority="226">
      <formula>$K141&lt;&gt;""</formula>
    </cfRule>
  </conditionalFormatting>
  <conditionalFormatting sqref="C141">
    <cfRule type="expression" dxfId="206" priority="225">
      <formula>$G141&lt;&gt;"-"</formula>
    </cfRule>
  </conditionalFormatting>
  <conditionalFormatting sqref="D141">
    <cfRule type="expression" dxfId="205" priority="224">
      <formula>$H141&lt;&gt;"-"</formula>
    </cfRule>
  </conditionalFormatting>
  <conditionalFormatting sqref="E141">
    <cfRule type="expression" dxfId="204" priority="223">
      <formula>$I141&lt;&gt;"-"</formula>
    </cfRule>
  </conditionalFormatting>
  <conditionalFormatting sqref="B132">
    <cfRule type="expression" dxfId="203" priority="219">
      <formula>AD132&lt;&gt;""</formula>
    </cfRule>
  </conditionalFormatting>
  <conditionalFormatting sqref="Z132">
    <cfRule type="cellIs" dxfId="202" priority="217" operator="greaterThan">
      <formula>0</formula>
    </cfRule>
    <cfRule type="cellIs" dxfId="201" priority="218" operator="lessThan">
      <formula>0</formula>
    </cfRule>
  </conditionalFormatting>
  <conditionalFormatting sqref="S132">
    <cfRule type="cellIs" dxfId="200" priority="216" operator="lessThan">
      <formula>0</formula>
    </cfRule>
  </conditionalFormatting>
  <conditionalFormatting sqref="T130:T131">
    <cfRule type="expression" dxfId="199" priority="220">
      <formula>#REF!="Yes"</formula>
    </cfRule>
  </conditionalFormatting>
  <conditionalFormatting sqref="P132">
    <cfRule type="cellIs" dxfId="198" priority="214" operator="equal">
      <formula>AS_DURATION_EFFORT</formula>
    </cfRule>
    <cfRule type="cellIs" dxfId="197" priority="215" operator="equal">
      <formula>AS_DEV_EFFORT</formula>
    </cfRule>
  </conditionalFormatting>
  <conditionalFormatting sqref="B130:B131">
    <cfRule type="expression" dxfId="196" priority="213">
      <formula>AD130&lt;&gt;""</formula>
    </cfRule>
  </conditionalFormatting>
  <conditionalFormatting sqref="F132">
    <cfRule type="expression" dxfId="195" priority="212">
      <formula>$K132&lt;&gt;""</formula>
    </cfRule>
  </conditionalFormatting>
  <conditionalFormatting sqref="C132">
    <cfRule type="expression" dxfId="194" priority="211">
      <formula>$G132&lt;&gt;"-"</formula>
    </cfRule>
  </conditionalFormatting>
  <conditionalFormatting sqref="D132">
    <cfRule type="expression" dxfId="193" priority="210">
      <formula>$H132&lt;&gt;"-"</formula>
    </cfRule>
  </conditionalFormatting>
  <conditionalFormatting sqref="E132">
    <cfRule type="expression" dxfId="192" priority="209">
      <formula>$I132&lt;&gt;"-"</formula>
    </cfRule>
  </conditionalFormatting>
  <conditionalFormatting sqref="S129">
    <cfRule type="expression" dxfId="191" priority="208">
      <formula>#REF!="Yes"</formula>
    </cfRule>
  </conditionalFormatting>
  <conditionalFormatting sqref="B129">
    <cfRule type="expression" dxfId="190" priority="207">
      <formula>AD129&lt;&gt;""</formula>
    </cfRule>
  </conditionalFormatting>
  <conditionalFormatting sqref="B133">
    <cfRule type="expression" dxfId="189" priority="204">
      <formula>AD133&lt;&gt;""</formula>
    </cfRule>
  </conditionalFormatting>
  <conditionalFormatting sqref="Z133">
    <cfRule type="cellIs" dxfId="188" priority="202" operator="greaterThan">
      <formula>0</formula>
    </cfRule>
    <cfRule type="cellIs" dxfId="187" priority="203" operator="lessThan">
      <formula>0</formula>
    </cfRule>
  </conditionalFormatting>
  <conditionalFormatting sqref="S133">
    <cfRule type="cellIs" dxfId="186" priority="201" operator="lessThan">
      <formula>0</formula>
    </cfRule>
  </conditionalFormatting>
  <conditionalFormatting sqref="F133">
    <cfRule type="expression" dxfId="185" priority="198">
      <formula>$K133&lt;&gt;""</formula>
    </cfRule>
  </conditionalFormatting>
  <conditionalFormatting sqref="C133">
    <cfRule type="expression" dxfId="184" priority="197">
      <formula>$G133&lt;&gt;"-"</formula>
    </cfRule>
  </conditionalFormatting>
  <conditionalFormatting sqref="D133">
    <cfRule type="expression" dxfId="183" priority="196">
      <formula>$H133&lt;&gt;"-"</formula>
    </cfRule>
  </conditionalFormatting>
  <conditionalFormatting sqref="E133">
    <cfRule type="expression" dxfId="182" priority="195">
      <formula>$I133&lt;&gt;"-"</formula>
    </cfRule>
  </conditionalFormatting>
  <conditionalFormatting sqref="P133">
    <cfRule type="cellIs" dxfId="181" priority="189" operator="equal">
      <formula>AS_DURATION_EFFORT</formula>
    </cfRule>
    <cfRule type="cellIs" dxfId="180" priority="190" operator="equal">
      <formula>AS_DEV_EFFORT</formula>
    </cfRule>
  </conditionalFormatting>
  <conditionalFormatting sqref="S135">
    <cfRule type="expression" dxfId="179" priority="188">
      <formula>#REF!="Yes"</formula>
    </cfRule>
  </conditionalFormatting>
  <conditionalFormatting sqref="B135">
    <cfRule type="expression" dxfId="178" priority="187">
      <formula>AD135&lt;&gt;""</formula>
    </cfRule>
  </conditionalFormatting>
  <conditionalFormatting sqref="P146">
    <cfRule type="cellIs" dxfId="177" priority="183" operator="equal">
      <formula>AS_DURATION_EFFORT</formula>
    </cfRule>
    <cfRule type="cellIs" dxfId="176" priority="184" operator="equal">
      <formula>AS_DEV_EFFORT</formula>
    </cfRule>
  </conditionalFormatting>
  <conditionalFormatting sqref="B161">
    <cfRule type="expression" dxfId="175" priority="178">
      <formula>AD161&lt;&gt;""</formula>
    </cfRule>
  </conditionalFormatting>
  <conditionalFormatting sqref="Z161">
    <cfRule type="cellIs" dxfId="174" priority="176" operator="greaterThan">
      <formula>0</formula>
    </cfRule>
    <cfRule type="cellIs" dxfId="173" priority="177" operator="lessThan">
      <formula>0</formula>
    </cfRule>
  </conditionalFormatting>
  <conditionalFormatting sqref="S161">
    <cfRule type="cellIs" dxfId="172" priority="175" operator="lessThan">
      <formula>0</formula>
    </cfRule>
  </conditionalFormatting>
  <conditionalFormatting sqref="P161">
    <cfRule type="cellIs" dxfId="171" priority="173" operator="equal">
      <formula>AS_DURATION_EFFORT</formula>
    </cfRule>
    <cfRule type="cellIs" dxfId="170" priority="174" operator="equal">
      <formula>AS_DEV_EFFORT</formula>
    </cfRule>
  </conditionalFormatting>
  <conditionalFormatting sqref="F161">
    <cfRule type="expression" dxfId="169" priority="172">
      <formula>$K161&lt;&gt;""</formula>
    </cfRule>
  </conditionalFormatting>
  <conditionalFormatting sqref="C161">
    <cfRule type="expression" dxfId="168" priority="171">
      <formula>$G161&lt;&gt;"-"</formula>
    </cfRule>
  </conditionalFormatting>
  <conditionalFormatting sqref="D161">
    <cfRule type="expression" dxfId="167" priority="170">
      <formula>$H161&lt;&gt;"-"</formula>
    </cfRule>
  </conditionalFormatting>
  <conditionalFormatting sqref="E161">
    <cfRule type="expression" dxfId="166" priority="169">
      <formula>$I161&lt;&gt;"-"</formula>
    </cfRule>
  </conditionalFormatting>
  <conditionalFormatting sqref="B162">
    <cfRule type="expression" dxfId="165" priority="166">
      <formula>AD162&lt;&gt;""</formula>
    </cfRule>
  </conditionalFormatting>
  <conditionalFormatting sqref="Z162">
    <cfRule type="cellIs" dxfId="164" priority="164" operator="greaterThan">
      <formula>0</formula>
    </cfRule>
    <cfRule type="cellIs" dxfId="163" priority="165" operator="lessThan">
      <formula>0</formula>
    </cfRule>
  </conditionalFormatting>
  <conditionalFormatting sqref="S162">
    <cfRule type="cellIs" dxfId="162" priority="163" operator="lessThan">
      <formula>0</formula>
    </cfRule>
  </conditionalFormatting>
  <conditionalFormatting sqref="P162">
    <cfRule type="cellIs" dxfId="161" priority="161" operator="equal">
      <formula>AS_DURATION_EFFORT</formula>
    </cfRule>
    <cfRule type="cellIs" dxfId="160" priority="162" operator="equal">
      <formula>AS_DEV_EFFORT</formula>
    </cfRule>
  </conditionalFormatting>
  <conditionalFormatting sqref="F162">
    <cfRule type="expression" dxfId="159" priority="160">
      <formula>$K162&lt;&gt;""</formula>
    </cfRule>
  </conditionalFormatting>
  <conditionalFormatting sqref="C162">
    <cfRule type="expression" dxfId="158" priority="159">
      <formula>$G162&lt;&gt;"-"</formula>
    </cfRule>
  </conditionalFormatting>
  <conditionalFormatting sqref="D162">
    <cfRule type="expression" dxfId="157" priority="158">
      <formula>$H162&lt;&gt;"-"</formula>
    </cfRule>
  </conditionalFormatting>
  <conditionalFormatting sqref="E162">
    <cfRule type="expression" dxfId="156" priority="157">
      <formula>$I162&lt;&gt;"-"</formula>
    </cfRule>
  </conditionalFormatting>
  <conditionalFormatting sqref="B75">
    <cfRule type="expression" dxfId="155" priority="154">
      <formula>AD75&lt;&gt;""</formula>
    </cfRule>
  </conditionalFormatting>
  <conditionalFormatting sqref="Z75">
    <cfRule type="cellIs" dxfId="154" priority="152" operator="greaterThan">
      <formula>0</formula>
    </cfRule>
    <cfRule type="cellIs" dxfId="153" priority="153" operator="lessThan">
      <formula>0</formula>
    </cfRule>
  </conditionalFormatting>
  <conditionalFormatting sqref="S75">
    <cfRule type="cellIs" dxfId="152" priority="151" operator="lessThan">
      <formula>0</formula>
    </cfRule>
  </conditionalFormatting>
  <conditionalFormatting sqref="L75:O75 Q75:AC75">
    <cfRule type="expression" dxfId="149" priority="155">
      <formula>AND($G75="Yes", $S$6="Exclude")</formula>
    </cfRule>
    <cfRule type="expression" dxfId="148" priority="156">
      <formula>$J75="Yes"</formula>
    </cfRule>
  </conditionalFormatting>
  <conditionalFormatting sqref="F75">
    <cfRule type="expression" dxfId="147" priority="148">
      <formula>$K75&lt;&gt;""</formula>
    </cfRule>
  </conditionalFormatting>
  <conditionalFormatting sqref="C75">
    <cfRule type="expression" dxfId="146" priority="147">
      <formula>$G75&lt;&gt;"-"</formula>
    </cfRule>
  </conditionalFormatting>
  <conditionalFormatting sqref="D75">
    <cfRule type="expression" dxfId="145" priority="146">
      <formula>$H75&lt;&gt;"-"</formula>
    </cfRule>
  </conditionalFormatting>
  <conditionalFormatting sqref="E75">
    <cfRule type="expression" dxfId="144" priority="145">
      <formula>$I75&lt;&gt;"-"</formula>
    </cfRule>
  </conditionalFormatting>
  <conditionalFormatting sqref="P84">
    <cfRule type="cellIs" dxfId="143" priority="143" operator="equal">
      <formula>AS_DURATION_EFFORT</formula>
    </cfRule>
    <cfRule type="cellIs" dxfId="142" priority="144" operator="equal">
      <formula>AS_DEV_EFFORT</formula>
    </cfRule>
  </conditionalFormatting>
  <conditionalFormatting sqref="P99:P100">
    <cfRule type="cellIs" dxfId="141" priority="141" operator="equal">
      <formula>AS_DURATION_EFFORT</formula>
    </cfRule>
    <cfRule type="cellIs" dxfId="140" priority="142" operator="equal">
      <formula>AS_DEV_EFFORT</formula>
    </cfRule>
  </conditionalFormatting>
  <conditionalFormatting sqref="P102">
    <cfRule type="cellIs" dxfId="139" priority="139" operator="equal">
      <formula>AS_DURATION_EFFORT</formula>
    </cfRule>
    <cfRule type="cellIs" dxfId="138" priority="140" operator="equal">
      <formula>AS_DEV_EFFORT</formula>
    </cfRule>
  </conditionalFormatting>
  <conditionalFormatting sqref="P102">
    <cfRule type="cellIs" dxfId="137" priority="137" operator="equal">
      <formula>AS_DURATION_EFFORT</formula>
    </cfRule>
    <cfRule type="cellIs" dxfId="136" priority="138" operator="equal">
      <formula>AS_DEV_EFFORT</formula>
    </cfRule>
  </conditionalFormatting>
  <conditionalFormatting sqref="AB98">
    <cfRule type="cellIs" dxfId="135" priority="135" operator="equal">
      <formula>AS_DURATION_EFFORT</formula>
    </cfRule>
    <cfRule type="cellIs" dxfId="134" priority="136" operator="equal">
      <formula>AS_DEV_EFFORT</formula>
    </cfRule>
  </conditionalFormatting>
  <conditionalFormatting sqref="AB99:AB100">
    <cfRule type="cellIs" dxfId="133" priority="133" operator="equal">
      <formula>AS_DURATION_EFFORT</formula>
    </cfRule>
    <cfRule type="cellIs" dxfId="132" priority="134" operator="equal">
      <formula>AS_DEV_EFFORT</formula>
    </cfRule>
  </conditionalFormatting>
  <conditionalFormatting sqref="AB102">
    <cfRule type="cellIs" dxfId="131" priority="131" operator="equal">
      <formula>AS_DURATION_EFFORT</formula>
    </cfRule>
    <cfRule type="cellIs" dxfId="130" priority="132" operator="equal">
      <formula>AS_DEV_EFFORT</formula>
    </cfRule>
  </conditionalFormatting>
  <conditionalFormatting sqref="P99">
    <cfRule type="cellIs" dxfId="129" priority="129" operator="equal">
      <formula>AS_DURATION_EFFORT</formula>
    </cfRule>
    <cfRule type="cellIs" dxfId="128" priority="130" operator="equal">
      <formula>AS_DEV_EFFORT</formula>
    </cfRule>
  </conditionalFormatting>
  <conditionalFormatting sqref="P100">
    <cfRule type="cellIs" dxfId="127" priority="127" operator="equal">
      <formula>AS_DURATION_EFFORT</formula>
    </cfRule>
    <cfRule type="cellIs" dxfId="126" priority="128" operator="equal">
      <formula>AS_DEV_EFFORT</formula>
    </cfRule>
  </conditionalFormatting>
  <conditionalFormatting sqref="P100">
    <cfRule type="cellIs" dxfId="125" priority="125" operator="equal">
      <formula>AS_DURATION_EFFORT</formula>
    </cfRule>
    <cfRule type="cellIs" dxfId="124" priority="126" operator="equal">
      <formula>AS_DEV_EFFORT</formula>
    </cfRule>
  </conditionalFormatting>
  <conditionalFormatting sqref="P101">
    <cfRule type="cellIs" dxfId="123" priority="123" operator="equal">
      <formula>AS_DURATION_EFFORT</formula>
    </cfRule>
    <cfRule type="cellIs" dxfId="122" priority="124" operator="equal">
      <formula>AS_DEV_EFFORT</formula>
    </cfRule>
  </conditionalFormatting>
  <conditionalFormatting sqref="P101">
    <cfRule type="cellIs" dxfId="121" priority="121" operator="equal">
      <formula>AS_DURATION_EFFORT</formula>
    </cfRule>
    <cfRule type="cellIs" dxfId="120" priority="122" operator="equal">
      <formula>AS_DEV_EFFORT</formula>
    </cfRule>
  </conditionalFormatting>
  <conditionalFormatting sqref="P101">
    <cfRule type="cellIs" dxfId="119" priority="119" operator="equal">
      <formula>AS_DURATION_EFFORT</formula>
    </cfRule>
    <cfRule type="cellIs" dxfId="118" priority="120" operator="equal">
      <formula>AS_DEV_EFFORT</formula>
    </cfRule>
  </conditionalFormatting>
  <conditionalFormatting sqref="P101">
    <cfRule type="cellIs" dxfId="117" priority="117" operator="equal">
      <formula>AS_DURATION_EFFORT</formula>
    </cfRule>
    <cfRule type="cellIs" dxfId="116" priority="118" operator="equal">
      <formula>AS_DEV_EFFORT</formula>
    </cfRule>
  </conditionalFormatting>
  <conditionalFormatting sqref="P102">
    <cfRule type="cellIs" dxfId="115" priority="115" operator="equal">
      <formula>AS_DURATION_EFFORT</formula>
    </cfRule>
    <cfRule type="cellIs" dxfId="114" priority="116" operator="equal">
      <formula>AS_DEV_EFFORT</formula>
    </cfRule>
  </conditionalFormatting>
  <conditionalFormatting sqref="P102">
    <cfRule type="cellIs" dxfId="113" priority="113" operator="equal">
      <formula>AS_DURATION_EFFORT</formula>
    </cfRule>
    <cfRule type="cellIs" dxfId="112" priority="114" operator="equal">
      <formula>AS_DEV_EFFORT</formula>
    </cfRule>
  </conditionalFormatting>
  <conditionalFormatting sqref="P102">
    <cfRule type="cellIs" dxfId="111" priority="111" operator="equal">
      <formula>AS_DURATION_EFFORT</formula>
    </cfRule>
    <cfRule type="cellIs" dxfId="110" priority="112" operator="equal">
      <formula>AS_DEV_EFFORT</formula>
    </cfRule>
  </conditionalFormatting>
  <conditionalFormatting sqref="P102">
    <cfRule type="cellIs" dxfId="109" priority="109" operator="equal">
      <formula>AS_DURATION_EFFORT</formula>
    </cfRule>
    <cfRule type="cellIs" dxfId="108" priority="110" operator="equal">
      <formula>AS_DEV_EFFORT</formula>
    </cfRule>
  </conditionalFormatting>
  <conditionalFormatting sqref="P102">
    <cfRule type="cellIs" dxfId="107" priority="107" operator="equal">
      <formula>AS_DURATION_EFFORT</formula>
    </cfRule>
    <cfRule type="cellIs" dxfId="106" priority="108" operator="equal">
      <formula>AS_DEV_EFFORT</formula>
    </cfRule>
  </conditionalFormatting>
  <conditionalFormatting sqref="P91">
    <cfRule type="cellIs" dxfId="105" priority="105" operator="equal">
      <formula>AS_DURATION_EFFORT</formula>
    </cfRule>
    <cfRule type="cellIs" dxfId="104" priority="106" operator="equal">
      <formula>AS_DEV_EFFORT</formula>
    </cfRule>
  </conditionalFormatting>
  <conditionalFormatting sqref="P92:P94">
    <cfRule type="cellIs" dxfId="103" priority="103" operator="equal">
      <formula>AS_DURATION_EFFORT</formula>
    </cfRule>
    <cfRule type="cellIs" dxfId="102" priority="104" operator="equal">
      <formula>AS_DEV_EFFORT</formula>
    </cfRule>
  </conditionalFormatting>
  <conditionalFormatting sqref="P92:P94">
    <cfRule type="cellIs" dxfId="101" priority="101" operator="equal">
      <formula>AS_DURATION_EFFORT</formula>
    </cfRule>
    <cfRule type="cellIs" dxfId="100" priority="102" operator="equal">
      <formula>AS_DEV_EFFORT</formula>
    </cfRule>
  </conditionalFormatting>
  <conditionalFormatting sqref="P80">
    <cfRule type="cellIs" dxfId="99" priority="99" operator="equal">
      <formula>AS_DURATION_EFFORT</formula>
    </cfRule>
    <cfRule type="cellIs" dxfId="98" priority="100" operator="equal">
      <formula>AS_DEV_EFFORT</formula>
    </cfRule>
  </conditionalFormatting>
  <conditionalFormatting sqref="P80">
    <cfRule type="cellIs" dxfId="97" priority="97" operator="equal">
      <formula>AS_DURATION_EFFORT</formula>
    </cfRule>
    <cfRule type="cellIs" dxfId="96" priority="98" operator="equal">
      <formula>AS_DEV_EFFORT</formula>
    </cfRule>
  </conditionalFormatting>
  <conditionalFormatting sqref="P81:P84">
    <cfRule type="cellIs" dxfId="95" priority="95" operator="equal">
      <formula>AS_DURATION_EFFORT</formula>
    </cfRule>
    <cfRule type="cellIs" dxfId="94" priority="96" operator="equal">
      <formula>AS_DEV_EFFORT</formula>
    </cfRule>
  </conditionalFormatting>
  <conditionalFormatting sqref="P81:P84">
    <cfRule type="cellIs" dxfId="93" priority="93" operator="equal">
      <formula>AS_DURATION_EFFORT</formula>
    </cfRule>
    <cfRule type="cellIs" dxfId="92" priority="94" operator="equal">
      <formula>AS_DEV_EFFORT</formula>
    </cfRule>
  </conditionalFormatting>
  <conditionalFormatting sqref="P81:P84">
    <cfRule type="cellIs" dxfId="91" priority="91" operator="equal">
      <formula>AS_DURATION_EFFORT</formula>
    </cfRule>
    <cfRule type="cellIs" dxfId="90" priority="92" operator="equal">
      <formula>AS_DEV_EFFORT</formula>
    </cfRule>
  </conditionalFormatting>
  <conditionalFormatting sqref="P72:P73">
    <cfRule type="cellIs" dxfId="89" priority="89" operator="equal">
      <formula>AS_DURATION_EFFORT</formula>
    </cfRule>
    <cfRule type="cellIs" dxfId="88" priority="90" operator="equal">
      <formula>AS_DEV_EFFORT</formula>
    </cfRule>
  </conditionalFormatting>
  <conditionalFormatting sqref="P72:P73">
    <cfRule type="cellIs" dxfId="87" priority="87" operator="equal">
      <formula>AS_DURATION_EFFORT</formula>
    </cfRule>
    <cfRule type="cellIs" dxfId="86" priority="88" operator="equal">
      <formula>AS_DEV_EFFORT</formula>
    </cfRule>
  </conditionalFormatting>
  <conditionalFormatting sqref="P72:P73">
    <cfRule type="cellIs" dxfId="85" priority="85" operator="equal">
      <formula>AS_DURATION_EFFORT</formula>
    </cfRule>
    <cfRule type="cellIs" dxfId="84" priority="86" operator="equal">
      <formula>AS_DEV_EFFORT</formula>
    </cfRule>
  </conditionalFormatting>
  <conditionalFormatting sqref="P74:P76">
    <cfRule type="expression" dxfId="83" priority="83">
      <formula>AND($G74="Yes", $S$6="Exclude")</formula>
    </cfRule>
    <cfRule type="expression" dxfId="82" priority="84">
      <formula>$J74="Yes"</formula>
    </cfRule>
  </conditionalFormatting>
  <conditionalFormatting sqref="P74:P76">
    <cfRule type="cellIs" dxfId="81" priority="81" operator="equal">
      <formula>AS_DURATION_EFFORT</formula>
    </cfRule>
    <cfRule type="cellIs" dxfId="80" priority="82" operator="equal">
      <formula>AS_DEV_EFFORT</formula>
    </cfRule>
  </conditionalFormatting>
  <conditionalFormatting sqref="P74:P76">
    <cfRule type="cellIs" dxfId="79" priority="79" operator="equal">
      <formula>AS_DURATION_EFFORT</formula>
    </cfRule>
    <cfRule type="cellIs" dxfId="78" priority="80" operator="equal">
      <formula>AS_DEV_EFFORT</formula>
    </cfRule>
  </conditionalFormatting>
  <conditionalFormatting sqref="P74:P76">
    <cfRule type="cellIs" dxfId="77" priority="77" operator="equal">
      <formula>AS_DURATION_EFFORT</formula>
    </cfRule>
    <cfRule type="cellIs" dxfId="76" priority="78" operator="equal">
      <formula>AS_DEV_EFFORT</formula>
    </cfRule>
  </conditionalFormatting>
  <conditionalFormatting sqref="P74:P76">
    <cfRule type="cellIs" dxfId="75" priority="75" operator="equal">
      <formula>AS_DURATION_EFFORT</formula>
    </cfRule>
    <cfRule type="cellIs" dxfId="74" priority="76" operator="equal">
      <formula>AS_DEV_EFFORT</formula>
    </cfRule>
  </conditionalFormatting>
  <conditionalFormatting sqref="P63">
    <cfRule type="cellIs" dxfId="73" priority="73" operator="equal">
      <formula>AS_DURATION_EFFORT</formula>
    </cfRule>
    <cfRule type="cellIs" dxfId="72" priority="74" operator="equal">
      <formula>AS_DEV_EFFORT</formula>
    </cfRule>
  </conditionalFormatting>
  <conditionalFormatting sqref="P63">
    <cfRule type="cellIs" dxfId="71" priority="71" operator="equal">
      <formula>AS_DURATION_EFFORT</formula>
    </cfRule>
    <cfRule type="cellIs" dxfId="70" priority="72" operator="equal">
      <formula>AS_DEV_EFFORT</formula>
    </cfRule>
  </conditionalFormatting>
  <conditionalFormatting sqref="P63">
    <cfRule type="cellIs" dxfId="69" priority="69" operator="equal">
      <formula>AS_DURATION_EFFORT</formula>
    </cfRule>
    <cfRule type="cellIs" dxfId="68" priority="70" operator="equal">
      <formula>AS_DEV_EFFORT</formula>
    </cfRule>
  </conditionalFormatting>
  <conditionalFormatting sqref="P63">
    <cfRule type="cellIs" dxfId="67" priority="67" operator="equal">
      <formula>AS_DURATION_EFFORT</formula>
    </cfRule>
    <cfRule type="cellIs" dxfId="66" priority="68" operator="equal">
      <formula>AS_DEV_EFFORT</formula>
    </cfRule>
  </conditionalFormatting>
  <conditionalFormatting sqref="P64">
    <cfRule type="cellIs" dxfId="65" priority="65" operator="equal">
      <formula>AS_DURATION_EFFORT</formula>
    </cfRule>
    <cfRule type="cellIs" dxfId="64" priority="66" operator="equal">
      <formula>AS_DEV_EFFORT</formula>
    </cfRule>
  </conditionalFormatting>
  <conditionalFormatting sqref="P64">
    <cfRule type="cellIs" dxfId="63" priority="63" operator="equal">
      <formula>AS_DURATION_EFFORT</formula>
    </cfRule>
    <cfRule type="cellIs" dxfId="62" priority="64" operator="equal">
      <formula>AS_DEV_EFFORT</formula>
    </cfRule>
  </conditionalFormatting>
  <conditionalFormatting sqref="P64">
    <cfRule type="cellIs" dxfId="61" priority="61" operator="equal">
      <formula>AS_DURATION_EFFORT</formula>
    </cfRule>
    <cfRule type="cellIs" dxfId="60" priority="62" operator="equal">
      <formula>AS_DEV_EFFORT</formula>
    </cfRule>
  </conditionalFormatting>
  <conditionalFormatting sqref="P64">
    <cfRule type="cellIs" dxfId="59" priority="59" operator="equal">
      <formula>AS_DURATION_EFFORT</formula>
    </cfRule>
    <cfRule type="cellIs" dxfId="58" priority="60" operator="equal">
      <formula>AS_DEV_EFFORT</formula>
    </cfRule>
  </conditionalFormatting>
  <conditionalFormatting sqref="P64">
    <cfRule type="cellIs" dxfId="57" priority="57" operator="equal">
      <formula>AS_DURATION_EFFORT</formula>
    </cfRule>
    <cfRule type="cellIs" dxfId="56" priority="58" operator="equal">
      <formula>AS_DEV_EFFORT</formula>
    </cfRule>
  </conditionalFormatting>
  <conditionalFormatting sqref="P16">
    <cfRule type="cellIs" dxfId="55" priority="55" operator="equal">
      <formula>AS_DURATION_EFFORT</formula>
    </cfRule>
    <cfRule type="cellIs" dxfId="54" priority="56" operator="equal">
      <formula>AS_DEV_EFFORT</formula>
    </cfRule>
  </conditionalFormatting>
  <conditionalFormatting sqref="P16">
    <cfRule type="cellIs" dxfId="53" priority="53" operator="equal">
      <formula>AS_DURATION_EFFORT</formula>
    </cfRule>
    <cfRule type="cellIs" dxfId="52" priority="54" operator="equal">
      <formula>AS_DEV_EFFORT</formula>
    </cfRule>
  </conditionalFormatting>
  <conditionalFormatting sqref="P16">
    <cfRule type="cellIs" dxfId="51" priority="51" operator="equal">
      <formula>AS_DURATION_EFFORT</formula>
    </cfRule>
    <cfRule type="cellIs" dxfId="50" priority="52" operator="equal">
      <formula>AS_DEV_EFFORT</formula>
    </cfRule>
  </conditionalFormatting>
  <conditionalFormatting sqref="P16">
    <cfRule type="cellIs" dxfId="49" priority="49" operator="equal">
      <formula>AS_DURATION_EFFORT</formula>
    </cfRule>
    <cfRule type="cellIs" dxfId="48" priority="50" operator="equal">
      <formula>AS_DEV_EFFORT</formula>
    </cfRule>
  </conditionalFormatting>
  <conditionalFormatting sqref="P16">
    <cfRule type="cellIs" dxfId="47" priority="47" operator="equal">
      <formula>AS_DURATION_EFFORT</formula>
    </cfRule>
    <cfRule type="cellIs" dxfId="46" priority="48" operator="equal">
      <formula>AS_DEV_EFFORT</formula>
    </cfRule>
  </conditionalFormatting>
  <conditionalFormatting sqref="P17">
    <cfRule type="cellIs" dxfId="45" priority="45" operator="equal">
      <formula>AS_DURATION_EFFORT</formula>
    </cfRule>
    <cfRule type="cellIs" dxfId="44" priority="46" operator="equal">
      <formula>AS_DEV_EFFORT</formula>
    </cfRule>
  </conditionalFormatting>
  <conditionalFormatting sqref="P17">
    <cfRule type="cellIs" dxfId="43" priority="43" operator="equal">
      <formula>AS_DURATION_EFFORT</formula>
    </cfRule>
    <cfRule type="cellIs" dxfId="42" priority="44" operator="equal">
      <formula>AS_DEV_EFFORT</formula>
    </cfRule>
  </conditionalFormatting>
  <conditionalFormatting sqref="P17">
    <cfRule type="cellIs" dxfId="41" priority="41" operator="equal">
      <formula>AS_DURATION_EFFORT</formula>
    </cfRule>
    <cfRule type="cellIs" dxfId="40" priority="42" operator="equal">
      <formula>AS_DEV_EFFORT</formula>
    </cfRule>
  </conditionalFormatting>
  <conditionalFormatting sqref="P17">
    <cfRule type="cellIs" dxfId="39" priority="39" operator="equal">
      <formula>AS_DURATION_EFFORT</formula>
    </cfRule>
    <cfRule type="cellIs" dxfId="38" priority="40" operator="equal">
      <formula>AS_DEV_EFFORT</formula>
    </cfRule>
  </conditionalFormatting>
  <conditionalFormatting sqref="P17">
    <cfRule type="cellIs" dxfId="37" priority="37" operator="equal">
      <formula>AS_DURATION_EFFORT</formula>
    </cfRule>
    <cfRule type="cellIs" dxfId="36" priority="38" operator="equal">
      <formula>AS_DEV_EFFORT</formula>
    </cfRule>
  </conditionalFormatting>
  <conditionalFormatting sqref="P17">
    <cfRule type="cellIs" dxfId="35" priority="35" operator="equal">
      <formula>AS_DURATION_EFFORT</formula>
    </cfRule>
    <cfRule type="cellIs" dxfId="34" priority="36" operator="equal">
      <formula>AS_DEV_EFFORT</formula>
    </cfRule>
  </conditionalFormatting>
  <conditionalFormatting sqref="P24">
    <cfRule type="cellIs" dxfId="33" priority="33" operator="equal">
      <formula>AS_DURATION_EFFORT</formula>
    </cfRule>
    <cfRule type="cellIs" dxfId="32" priority="34" operator="equal">
      <formula>AS_DEV_EFFORT</formula>
    </cfRule>
  </conditionalFormatting>
  <conditionalFormatting sqref="P24">
    <cfRule type="cellIs" dxfId="31" priority="31" operator="equal">
      <formula>AS_DURATION_EFFORT</formula>
    </cfRule>
    <cfRule type="cellIs" dxfId="30" priority="32" operator="equal">
      <formula>AS_DEV_EFFORT</formula>
    </cfRule>
  </conditionalFormatting>
  <conditionalFormatting sqref="P24">
    <cfRule type="cellIs" dxfId="29" priority="29" operator="equal">
      <formula>AS_DURATION_EFFORT</formula>
    </cfRule>
    <cfRule type="cellIs" dxfId="28" priority="30" operator="equal">
      <formula>AS_DEV_EFFORT</formula>
    </cfRule>
  </conditionalFormatting>
  <conditionalFormatting sqref="P24">
    <cfRule type="cellIs" dxfId="27" priority="27" operator="equal">
      <formula>AS_DURATION_EFFORT</formula>
    </cfRule>
    <cfRule type="cellIs" dxfId="26" priority="28" operator="equal">
      <formula>AS_DEV_EFFORT</formula>
    </cfRule>
  </conditionalFormatting>
  <conditionalFormatting sqref="P24">
    <cfRule type="cellIs" dxfId="25" priority="25" operator="equal">
      <formula>AS_DURATION_EFFORT</formula>
    </cfRule>
    <cfRule type="cellIs" dxfId="24" priority="26" operator="equal">
      <formula>AS_DEV_EFFORT</formula>
    </cfRule>
  </conditionalFormatting>
  <conditionalFormatting sqref="P42">
    <cfRule type="cellIs" dxfId="23" priority="23" operator="equal">
      <formula>AS_DURATION_EFFORT</formula>
    </cfRule>
    <cfRule type="cellIs" dxfId="22" priority="24" operator="equal">
      <formula>AS_DEV_EFFORT</formula>
    </cfRule>
  </conditionalFormatting>
  <conditionalFormatting sqref="P42">
    <cfRule type="cellIs" dxfId="21" priority="21" operator="equal">
      <formula>AS_DURATION_EFFORT</formula>
    </cfRule>
    <cfRule type="cellIs" dxfId="20" priority="22" operator="equal">
      <formula>AS_DEV_EFFORT</formula>
    </cfRule>
  </conditionalFormatting>
  <conditionalFormatting sqref="P42">
    <cfRule type="cellIs" dxfId="19" priority="19" operator="equal">
      <formula>AS_DURATION_EFFORT</formula>
    </cfRule>
    <cfRule type="cellIs" dxfId="18" priority="20" operator="equal">
      <formula>AS_DEV_EFFORT</formula>
    </cfRule>
  </conditionalFormatting>
  <conditionalFormatting sqref="P42">
    <cfRule type="cellIs" dxfId="17" priority="17" operator="equal">
      <formula>AS_DURATION_EFFORT</formula>
    </cfRule>
    <cfRule type="cellIs" dxfId="16" priority="18" operator="equal">
      <formula>AS_DEV_EFFORT</formula>
    </cfRule>
  </conditionalFormatting>
  <conditionalFormatting sqref="P42">
    <cfRule type="cellIs" dxfId="15" priority="15" operator="equal">
      <formula>AS_DURATION_EFFORT</formula>
    </cfRule>
    <cfRule type="cellIs" dxfId="14" priority="16" operator="equal">
      <formula>AS_DEV_EFFORT</formula>
    </cfRule>
  </conditionalFormatting>
  <conditionalFormatting sqref="P42">
    <cfRule type="cellIs" dxfId="13" priority="13" operator="equal">
      <formula>AS_DURATION_EFFORT</formula>
    </cfRule>
    <cfRule type="cellIs" dxfId="12" priority="14" operator="equal">
      <formula>AS_DEV_EFFORT</formula>
    </cfRule>
  </conditionalFormatting>
  <conditionalFormatting sqref="P68">
    <cfRule type="cellIs" dxfId="11" priority="11" operator="equal">
      <formula>AS_DURATION_EFFORT</formula>
    </cfRule>
    <cfRule type="cellIs" dxfId="10" priority="12" operator="equal">
      <formula>AS_DEV_EFFORT</formula>
    </cfRule>
  </conditionalFormatting>
  <conditionalFormatting sqref="P68">
    <cfRule type="cellIs" dxfId="9" priority="9" operator="equal">
      <formula>AS_DURATION_EFFORT</formula>
    </cfRule>
    <cfRule type="cellIs" dxfId="8" priority="10" operator="equal">
      <formula>AS_DEV_EFFORT</formula>
    </cfRule>
  </conditionalFormatting>
  <conditionalFormatting sqref="P68">
    <cfRule type="cellIs" dxfId="7" priority="7" operator="equal">
      <formula>AS_DURATION_EFFORT</formula>
    </cfRule>
    <cfRule type="cellIs" dxfId="6" priority="8" operator="equal">
      <formula>AS_DEV_EFFORT</formula>
    </cfRule>
  </conditionalFormatting>
  <conditionalFormatting sqref="P68">
    <cfRule type="cellIs" dxfId="5" priority="5" operator="equal">
      <formula>AS_DURATION_EFFORT</formula>
    </cfRule>
    <cfRule type="cellIs" dxfId="4" priority="6" operator="equal">
      <formula>AS_DEV_EFFORT</formula>
    </cfRule>
  </conditionalFormatting>
  <conditionalFormatting sqref="P68">
    <cfRule type="cellIs" dxfId="3" priority="3" operator="equal">
      <formula>AS_DURATION_EFFORT</formula>
    </cfRule>
    <cfRule type="cellIs" dxfId="2" priority="4" operator="equal">
      <formula>AS_DEV_EFFORT</formula>
    </cfRule>
  </conditionalFormatting>
  <conditionalFormatting sqref="P68">
    <cfRule type="cellIs" dxfId="1" priority="1" operator="equal">
      <formula>AS_DURATION_EFFORT</formula>
    </cfRule>
    <cfRule type="cellIs" dxfId="0" priority="2" operator="equal">
      <formula>AS_DEV_EFFORT</formula>
    </cfRule>
  </conditionalFormatting>
  <dataValidations disablePrompts="1" count="11">
    <dataValidation type="list" allowBlank="1" showInputMessage="1" showErrorMessage="1" sqref="S5" xr:uid="{00000000-0002-0000-0100-000000000000}">
      <formula1>SALES_CALL_SCALE_LIST</formula1>
    </dataValidation>
    <dataValidation type="list" allowBlank="1" showInputMessage="1" showErrorMessage="1" sqref="S6" xr:uid="{00000000-0002-0000-0100-000001000000}">
      <formula1>INCLUDE_OPTIONALS_LIST</formula1>
    </dataValidation>
    <dataValidation type="list" allowBlank="1" showInputMessage="1" showErrorMessage="1" sqref="O250" xr:uid="{00000000-0002-0000-0100-000002000000}">
      <formula1>YES_NO_LIST</formula1>
    </dataValidation>
    <dataValidation type="list" allowBlank="1" showInputMessage="1" showErrorMessage="1" sqref="O247" xr:uid="{00000000-0002-0000-0100-000003000000}">
      <formula1>PLATFORMS_LIST</formula1>
    </dataValidation>
    <dataValidation type="list" allowBlank="1" showInputMessage="1" showErrorMessage="1" sqref="O248" xr:uid="{00000000-0002-0000-0100-000004000000}">
      <formula1>PROJECT_TYPES_LIST</formula1>
    </dataValidation>
    <dataValidation type="list" allowBlank="1" showInputMessage="1" showErrorMessage="1" sqref="O252" xr:uid="{00000000-0002-0000-0100-000005000000}">
      <formula1>CURRENCIES_LIST</formula1>
    </dataValidation>
    <dataValidation type="list" allowBlank="1" showInputMessage="1" showErrorMessage="1" sqref="O251" xr:uid="{00000000-0002-0000-0100-000006000000}">
      <formula1>REGIONS_LIST</formula1>
    </dataValidation>
    <dataValidation type="list" showInputMessage="1" showErrorMessage="1" sqref="G368 J368 G16:G18 J63:J64 J113:J114 J118 J107:J108 J98:J102 G91:G94 J192 G68 J68 G63:G64 G53:G56 J91:J94 G98:G102 G107:G108 G118 G113:G114 J145:J146 G145:G146 J150:J153 G150:G153 J157:J162 G132:G133 J169:J170 G169:G170 G174 J174 J178 G178 J182:J185 G182:G185 G192 J16:J18 J22:J24 G28:G31 J41:J43 G22:G24 J28:J31 G41:G43 J123:J124 G123:G124 G138:G141 J138:J141 J132:J133 G157:G162 J35:J37 G35:G37 J47:J49 G47:G49 J53:J56 G72:G76 J72:J76 J80:J84 G80:G84" xr:uid="{00000000-0002-0000-0100-000007000000}">
      <formula1>YES_NO_LIST</formula1>
    </dataValidation>
    <dataValidation type="list" showInputMessage="1" showErrorMessage="1" sqref="I368 I118 I98:I102 I91:I94 I192 I68 I63:I64 I53:I56 I107:I108 I113:I114 I145:I146 I150:I153 I132:I133 I169:I170 I174 I178 I182:I185 I16:I18 I22:I24 I28:I31 I41:I43 I123:I124 I138:I141 I157:I162 I35:I37 I47:I49 I72:I76 I80:I84" xr:uid="{00000000-0002-0000-0100-000008000000}">
      <formula1>EXTRAS_LIST</formula1>
    </dataValidation>
    <dataValidation type="list" showInputMessage="1" showErrorMessage="1" sqref="H368 H118 H98:H102 H91:H94 H192 H68 H63:H64 H53:H56 H107:H108 H113:H114 H145:H146 H150:H153 H132:H133 H169:H170 H174 H178 H182:H185 H16:H18 H22:H24 H28:H31 H41:H43 H123:H124 H138:H141 H157:H162 H35:H37 H47:H49 H72:H76 H80:H84" xr:uid="{00000000-0002-0000-0100-000009000000}">
      <formula1>BUFFER_TYPES_LIST</formula1>
    </dataValidation>
    <dataValidation type="list" showInputMessage="1" showErrorMessage="1" sqref="S202" xr:uid="{00000000-0002-0000-0100-00000A000000}">
      <formula1>"Default, Extended"</formula1>
    </dataValidation>
  </dataValidations>
  <hyperlinks>
    <hyperlink ref="T238" location="Schedule!A1" display="click here." xr:uid="{00000000-0004-0000-0100-000000000000}"/>
    <hyperlink ref="AB9" location="Help!A1" tooltip="Know what, how and why around most frequently asked questions." display="Read Help for more details." xr:uid="{00000000-0004-0000-0100-000001000000}"/>
    <hyperlink ref="T9" location="Estimation!U9" tooltip="Copy full WBS content as image" display="Full" xr:uid="{00000000-0004-0000-0100-000002000000}"/>
    <hyperlink ref="S9" location="Estimation!V9" tooltip="Copy compact view of WBS as image" display="Compact" xr:uid="{00000000-0004-0000-0100-000003000000}"/>
    <hyperlink ref="C12:E12" location="Estimation!C12" tooltip="Collapse All" display="−" xr:uid="{00000000-0004-0000-0100-000004000000}"/>
    <hyperlink ref="F12" location="Estimation!F12" tooltip="Expand All" display="Estimation!F12" xr:uid="{00000000-0004-0000-0100-000005000000}"/>
    <hyperlink ref="C10:F10" location="Estimation!C10" tooltip="Open" display="→" xr:uid="{00000000-0004-0000-0100-000006000000}"/>
    <hyperlink ref="C11:F11" location="Estimation!C11" tooltip="Close" display="←" xr:uid="{00000000-0004-0000-0100-000007000000}"/>
    <hyperlink ref="T202" location="Estimation!T71" tooltip="Refresh FBS" display="here" xr:uid="{00000000-0004-0000-0100-000008000000}"/>
  </hyperlinks>
  <pageMargins left="0.7" right="0.7" top="0.75" bottom="0.75" header="0.3" footer="0.3"/>
  <pageSetup scale="58" orientation="landscape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AddRowsBefore">
                <anchor moveWithCells="1">
                  <from>
                    <xdr:col>11</xdr:col>
                    <xdr:colOff>19050</xdr:colOff>
                    <xdr:row>8</xdr:row>
                    <xdr:rowOff>12700</xdr:rowOff>
                  </from>
                  <to>
                    <xdr:col>13</xdr:col>
                    <xdr:colOff>76200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AddRows">
                <anchor moveWithCells="1">
                  <from>
                    <xdr:col>13</xdr:col>
                    <xdr:colOff>127000</xdr:colOff>
                    <xdr:row>8</xdr:row>
                    <xdr:rowOff>12700</xdr:rowOff>
                  </from>
                  <to>
                    <xdr:col>13</xdr:col>
                    <xdr:colOff>819150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3.RemoveRows">
                <anchor moveWithCells="1">
                  <from>
                    <xdr:col>13</xdr:col>
                    <xdr:colOff>1600200</xdr:colOff>
                    <xdr:row>8</xdr:row>
                    <xdr:rowOff>12700</xdr:rowOff>
                  </from>
                  <to>
                    <xdr:col>13</xdr:col>
                    <xdr:colOff>2298700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3.MoveRangeUp">
                <anchor moveWithCells="1">
                  <from>
                    <xdr:col>13</xdr:col>
                    <xdr:colOff>2336800</xdr:colOff>
                    <xdr:row>8</xdr:row>
                    <xdr:rowOff>12700</xdr:rowOff>
                  </from>
                  <to>
                    <xdr:col>14</xdr:col>
                    <xdr:colOff>190500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eet3.MoveRangeDown">
                <anchor moveWithCells="1">
                  <from>
                    <xdr:col>14</xdr:col>
                    <xdr:colOff>190500</xdr:colOff>
                    <xdr:row>8</xdr:row>
                    <xdr:rowOff>12700</xdr:rowOff>
                  </from>
                  <to>
                    <xdr:col>15</xdr:col>
                    <xdr:colOff>12700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Sheet3.AddModule">
                <anchor moveWithCells="1" sizeWithCells="1">
                  <from>
                    <xdr:col>13</xdr:col>
                    <xdr:colOff>857250</xdr:colOff>
                    <xdr:row>8</xdr:row>
                    <xdr:rowOff>12700</xdr:rowOff>
                  </from>
                  <to>
                    <xdr:col>13</xdr:col>
                    <xdr:colOff>1555750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195" id="{40AC60B3-7CB6-431B-B1AA-41BBC469E3D9}">
            <x14:iconSet iconSet="3Stars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</x14:iconSet>
          </x14:cfRule>
          <xm:sqref>M3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AL19"/>
  <sheetViews>
    <sheetView zoomScaleNormal="100" workbookViewId="0">
      <selection activeCell="M19" sqref="M19"/>
    </sheetView>
  </sheetViews>
  <sheetFormatPr defaultColWidth="3.81640625" defaultRowHeight="14.5" x14ac:dyDescent="0.35"/>
  <cols>
    <col min="2" max="2" width="38.453125" customWidth="1"/>
    <col min="3" max="4" width="3.81640625" customWidth="1"/>
  </cols>
  <sheetData>
    <row r="1" spans="2:38" ht="15" customHeight="1" x14ac:dyDescent="0.35">
      <c r="B1" s="70" t="s">
        <v>91</v>
      </c>
      <c r="C1" s="339">
        <f>START_DATE</f>
        <v>42583</v>
      </c>
      <c r="D1" s="339"/>
      <c r="E1" s="339"/>
      <c r="F1" s="339"/>
      <c r="I1" s="1" t="s">
        <v>95</v>
      </c>
      <c r="L1" s="340">
        <v>41583</v>
      </c>
      <c r="M1" s="340"/>
      <c r="N1" s="340"/>
      <c r="O1" s="340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</row>
    <row r="2" spans="2:38" x14ac:dyDescent="0.35">
      <c r="B2" s="135" t="s">
        <v>122</v>
      </c>
      <c r="C2" s="136" t="s">
        <v>123</v>
      </c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</row>
    <row r="3" spans="2:38" x14ac:dyDescent="0.35">
      <c r="B3" s="70" t="s">
        <v>93</v>
      </c>
      <c r="C3" s="337">
        <v>1</v>
      </c>
      <c r="D3" s="338"/>
      <c r="E3" s="338"/>
      <c r="F3" s="341"/>
      <c r="G3" s="337">
        <f>C3+1</f>
        <v>2</v>
      </c>
      <c r="H3" s="338"/>
      <c r="I3" s="338"/>
      <c r="J3" s="338"/>
      <c r="K3" s="337">
        <f>G3+1</f>
        <v>3</v>
      </c>
      <c r="L3" s="338"/>
      <c r="M3" s="338"/>
      <c r="N3" s="338"/>
      <c r="O3" s="337">
        <f>K3+1</f>
        <v>4</v>
      </c>
      <c r="P3" s="338"/>
      <c r="Q3" s="338"/>
      <c r="R3" s="338"/>
      <c r="S3" s="337">
        <f>O3+1</f>
        <v>5</v>
      </c>
      <c r="T3" s="338"/>
      <c r="U3" s="338"/>
      <c r="V3" s="338"/>
      <c r="W3" s="337">
        <f>S3+1</f>
        <v>6</v>
      </c>
      <c r="X3" s="338"/>
      <c r="Y3" s="338"/>
      <c r="Z3" s="338"/>
      <c r="AA3" s="337">
        <f>W3+1</f>
        <v>7</v>
      </c>
      <c r="AB3" s="338"/>
      <c r="AC3" s="338"/>
      <c r="AD3" s="338"/>
      <c r="AE3" s="337">
        <f>AA3+1</f>
        <v>8</v>
      </c>
      <c r="AF3" s="338"/>
      <c r="AG3" s="338"/>
      <c r="AH3" s="338"/>
      <c r="AI3" s="337">
        <f>AE3+1</f>
        <v>9</v>
      </c>
      <c r="AJ3" s="338"/>
      <c r="AK3" s="338"/>
      <c r="AL3" s="338"/>
    </row>
    <row r="4" spans="2:38" ht="45.75" customHeight="1" x14ac:dyDescent="0.35">
      <c r="B4" s="71" t="s">
        <v>94</v>
      </c>
      <c r="C4" s="72">
        <f>START_DATE</f>
        <v>42583</v>
      </c>
      <c r="D4" s="73">
        <f t="shared" ref="D4:AL4" si="0">WORKDAY(C4,5)</f>
        <v>42590</v>
      </c>
      <c r="E4" s="73">
        <f t="shared" si="0"/>
        <v>42597</v>
      </c>
      <c r="F4" s="74">
        <f t="shared" si="0"/>
        <v>42604</v>
      </c>
      <c r="G4" s="72">
        <f t="shared" si="0"/>
        <v>42611</v>
      </c>
      <c r="H4" s="73">
        <f t="shared" si="0"/>
        <v>42618</v>
      </c>
      <c r="I4" s="73">
        <f t="shared" si="0"/>
        <v>42625</v>
      </c>
      <c r="J4" s="73">
        <f t="shared" si="0"/>
        <v>42632</v>
      </c>
      <c r="K4" s="72">
        <f t="shared" si="0"/>
        <v>42639</v>
      </c>
      <c r="L4" s="73">
        <f t="shared" si="0"/>
        <v>42646</v>
      </c>
      <c r="M4" s="73">
        <f t="shared" si="0"/>
        <v>42653</v>
      </c>
      <c r="N4" s="73">
        <f t="shared" si="0"/>
        <v>42660</v>
      </c>
      <c r="O4" s="72">
        <f t="shared" si="0"/>
        <v>42667</v>
      </c>
      <c r="P4" s="73">
        <f t="shared" si="0"/>
        <v>42674</v>
      </c>
      <c r="Q4" s="73">
        <f t="shared" si="0"/>
        <v>42681</v>
      </c>
      <c r="R4" s="73">
        <f t="shared" si="0"/>
        <v>42688</v>
      </c>
      <c r="S4" s="72">
        <f t="shared" si="0"/>
        <v>42695</v>
      </c>
      <c r="T4" s="73">
        <f t="shared" si="0"/>
        <v>42702</v>
      </c>
      <c r="U4" s="73">
        <f t="shared" si="0"/>
        <v>42709</v>
      </c>
      <c r="V4" s="73">
        <f t="shared" si="0"/>
        <v>42716</v>
      </c>
      <c r="W4" s="72">
        <f t="shared" si="0"/>
        <v>42723</v>
      </c>
      <c r="X4" s="73">
        <f t="shared" si="0"/>
        <v>42730</v>
      </c>
      <c r="Y4" s="73">
        <f t="shared" si="0"/>
        <v>42737</v>
      </c>
      <c r="Z4" s="73">
        <f t="shared" si="0"/>
        <v>42744</v>
      </c>
      <c r="AA4" s="72">
        <f t="shared" si="0"/>
        <v>42751</v>
      </c>
      <c r="AB4" s="73">
        <f t="shared" si="0"/>
        <v>42758</v>
      </c>
      <c r="AC4" s="73">
        <f t="shared" si="0"/>
        <v>42765</v>
      </c>
      <c r="AD4" s="73">
        <f t="shared" si="0"/>
        <v>42772</v>
      </c>
      <c r="AE4" s="72">
        <f t="shared" si="0"/>
        <v>42779</v>
      </c>
      <c r="AF4" s="73">
        <f t="shared" si="0"/>
        <v>42786</v>
      </c>
      <c r="AG4" s="73">
        <f t="shared" si="0"/>
        <v>42793</v>
      </c>
      <c r="AH4" s="73">
        <f t="shared" si="0"/>
        <v>42800</v>
      </c>
      <c r="AI4" s="72">
        <f t="shared" si="0"/>
        <v>42807</v>
      </c>
      <c r="AJ4" s="73">
        <f t="shared" si="0"/>
        <v>42814</v>
      </c>
      <c r="AK4" s="73">
        <f t="shared" si="0"/>
        <v>42821</v>
      </c>
      <c r="AL4" s="73">
        <f t="shared" si="0"/>
        <v>42828</v>
      </c>
    </row>
    <row r="5" spans="2:38" x14ac:dyDescent="0.35">
      <c r="B5" s="127" t="s">
        <v>120</v>
      </c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</row>
    <row r="6" spans="2:38" x14ac:dyDescent="0.35">
      <c r="B6" s="125" t="str">
        <f>Estimation!N229</f>
        <v>Discovery / Requirement Analysis</v>
      </c>
      <c r="C6" s="129"/>
      <c r="D6" s="129"/>
      <c r="E6" s="129"/>
    </row>
    <row r="7" spans="2:38" x14ac:dyDescent="0.35">
      <c r="B7" s="125" t="str">
        <f>Estimation!N230</f>
        <v>System Design, Framework and Test Cases</v>
      </c>
      <c r="E7" s="130"/>
      <c r="F7" s="130"/>
      <c r="G7" s="130"/>
      <c r="H7" s="130"/>
      <c r="I7" s="130"/>
    </row>
    <row r="8" spans="2:38" x14ac:dyDescent="0.35">
      <c r="B8" s="125" t="str">
        <f>Estimation!N231</f>
        <v>Development and Unit Testing</v>
      </c>
      <c r="H8" s="131"/>
      <c r="I8" s="131"/>
      <c r="J8" s="131"/>
      <c r="K8" s="131"/>
      <c r="L8" s="131"/>
      <c r="M8" s="131"/>
      <c r="N8" s="131"/>
      <c r="O8" s="131"/>
      <c r="P8" s="131"/>
      <c r="Q8" s="131"/>
      <c r="R8" s="131"/>
      <c r="S8" s="131"/>
      <c r="T8" s="131"/>
    </row>
    <row r="9" spans="2:38" x14ac:dyDescent="0.35">
      <c r="B9" s="125" t="str">
        <f>Estimation!N232</f>
        <v>System Testing and Stabilization</v>
      </c>
      <c r="Q9" s="132"/>
      <c r="R9" s="132"/>
      <c r="S9" s="132"/>
      <c r="T9" s="132"/>
      <c r="U9" s="132"/>
      <c r="V9" s="132"/>
      <c r="W9" s="132"/>
      <c r="X9" s="132"/>
    </row>
    <row r="10" spans="2:38" x14ac:dyDescent="0.35">
      <c r="B10" s="125" t="str">
        <f>Estimation!N233</f>
        <v>Deployment, UAT and Documentation</v>
      </c>
      <c r="W10" s="133"/>
      <c r="X10" s="133"/>
      <c r="Y10" s="133"/>
      <c r="Z10" s="133"/>
      <c r="AA10" s="133"/>
    </row>
    <row r="11" spans="2:38" x14ac:dyDescent="0.35">
      <c r="B11" s="125" t="str">
        <f>Estimation!N234</f>
        <v>Others</v>
      </c>
      <c r="AA11" s="99"/>
      <c r="AB11" s="99"/>
    </row>
    <row r="12" spans="2:38" x14ac:dyDescent="0.35">
      <c r="B12" s="127" t="s">
        <v>121</v>
      </c>
      <c r="C12" s="126"/>
      <c r="D12" s="126"/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6"/>
      <c r="V12" s="126"/>
      <c r="W12" s="126"/>
      <c r="X12" s="126"/>
      <c r="Y12" s="126"/>
      <c r="Z12" s="126"/>
      <c r="AA12" s="126"/>
      <c r="AB12" s="126"/>
      <c r="AC12" s="126"/>
      <c r="AD12" s="126"/>
      <c r="AE12" s="126"/>
      <c r="AF12" s="126"/>
      <c r="AG12" s="126"/>
      <c r="AH12" s="126"/>
      <c r="AI12" s="126"/>
      <c r="AJ12" s="126"/>
      <c r="AK12" s="126"/>
      <c r="AL12" s="126"/>
    </row>
    <row r="13" spans="2:38" x14ac:dyDescent="0.35">
      <c r="B13" s="125" t="s">
        <v>8</v>
      </c>
      <c r="C13" s="128">
        <v>1</v>
      </c>
      <c r="D13" s="128"/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28"/>
      <c r="Q13" s="128"/>
      <c r="R13" s="128"/>
      <c r="S13" s="128"/>
      <c r="T13" s="128"/>
      <c r="U13" s="128"/>
      <c r="V13" s="128"/>
      <c r="W13" s="128"/>
      <c r="X13" s="128"/>
      <c r="Y13" s="128"/>
      <c r="Z13" s="128"/>
      <c r="AA13" s="128"/>
      <c r="AB13" s="128"/>
      <c r="AC13" s="128"/>
      <c r="AD13" s="128"/>
      <c r="AE13" s="128"/>
      <c r="AF13" s="128"/>
      <c r="AG13" s="128"/>
      <c r="AH13" s="128"/>
      <c r="AI13" s="128"/>
      <c r="AJ13" s="128"/>
      <c r="AK13" s="128"/>
      <c r="AL13" s="128"/>
    </row>
    <row r="14" spans="2:38" x14ac:dyDescent="0.35">
      <c r="B14" s="125" t="s">
        <v>9</v>
      </c>
      <c r="C14" s="128"/>
      <c r="D14" s="128">
        <v>1</v>
      </c>
      <c r="E14" s="128">
        <v>1</v>
      </c>
      <c r="F14" s="128">
        <v>1</v>
      </c>
      <c r="G14" s="128">
        <v>1</v>
      </c>
      <c r="H14" s="128">
        <v>1</v>
      </c>
      <c r="I14" s="128">
        <v>1</v>
      </c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8"/>
      <c r="AA14" s="128"/>
      <c r="AB14" s="128"/>
      <c r="AC14" s="128"/>
      <c r="AD14" s="128"/>
      <c r="AE14" s="128"/>
      <c r="AF14" s="128"/>
      <c r="AG14" s="128"/>
      <c r="AH14" s="128"/>
      <c r="AI14" s="128"/>
      <c r="AJ14" s="128"/>
      <c r="AK14" s="128"/>
      <c r="AL14" s="128"/>
    </row>
    <row r="15" spans="2:38" x14ac:dyDescent="0.35">
      <c r="B15" s="125" t="s">
        <v>10</v>
      </c>
      <c r="C15" s="128"/>
      <c r="D15" s="128"/>
      <c r="E15" s="128">
        <v>1</v>
      </c>
      <c r="F15" s="128">
        <v>1</v>
      </c>
      <c r="G15" s="128">
        <v>1</v>
      </c>
      <c r="H15" s="128">
        <v>1</v>
      </c>
      <c r="I15" s="128">
        <v>1</v>
      </c>
      <c r="J15" s="128">
        <v>1</v>
      </c>
      <c r="K15" s="128">
        <v>1</v>
      </c>
      <c r="L15" s="128">
        <v>1</v>
      </c>
      <c r="M15" s="128">
        <v>1</v>
      </c>
      <c r="N15" s="128">
        <v>1</v>
      </c>
      <c r="O15" s="128">
        <v>1</v>
      </c>
      <c r="P15" s="128">
        <v>1</v>
      </c>
      <c r="Q15" s="128">
        <v>1</v>
      </c>
      <c r="R15" s="128">
        <v>1</v>
      </c>
      <c r="S15" s="128">
        <v>1</v>
      </c>
      <c r="T15" s="128">
        <v>1</v>
      </c>
      <c r="U15" s="128">
        <v>1</v>
      </c>
      <c r="V15" s="128">
        <v>1</v>
      </c>
      <c r="W15" s="128">
        <v>1</v>
      </c>
      <c r="X15" s="128">
        <v>1</v>
      </c>
      <c r="Y15" s="128">
        <v>1</v>
      </c>
      <c r="Z15" s="128">
        <v>1</v>
      </c>
      <c r="AA15" s="128">
        <v>1</v>
      </c>
      <c r="AB15" s="128">
        <v>1</v>
      </c>
      <c r="AC15" s="128"/>
      <c r="AD15" s="128"/>
      <c r="AE15" s="128"/>
      <c r="AF15" s="128"/>
      <c r="AG15" s="128"/>
      <c r="AH15" s="128"/>
      <c r="AI15" s="128"/>
      <c r="AJ15" s="128"/>
      <c r="AK15" s="128"/>
      <c r="AL15" s="128"/>
    </row>
    <row r="16" spans="2:38" x14ac:dyDescent="0.35">
      <c r="B16" s="125" t="s">
        <v>12</v>
      </c>
      <c r="C16" s="128"/>
      <c r="D16" s="128"/>
      <c r="E16" s="128"/>
      <c r="F16" s="128"/>
      <c r="G16" s="128"/>
      <c r="H16" s="128">
        <v>2</v>
      </c>
      <c r="I16" s="128">
        <v>2</v>
      </c>
      <c r="J16" s="128">
        <v>2</v>
      </c>
      <c r="K16" s="128">
        <v>2</v>
      </c>
      <c r="L16" s="128">
        <v>2</v>
      </c>
      <c r="M16" s="128">
        <v>2</v>
      </c>
      <c r="N16" s="128">
        <v>2</v>
      </c>
      <c r="O16" s="128">
        <v>2</v>
      </c>
      <c r="P16" s="128">
        <v>2</v>
      </c>
      <c r="Q16" s="128">
        <v>2</v>
      </c>
      <c r="R16" s="128">
        <v>2</v>
      </c>
      <c r="S16" s="128">
        <v>2</v>
      </c>
      <c r="T16" s="128">
        <v>2</v>
      </c>
      <c r="U16" s="128">
        <v>2</v>
      </c>
      <c r="V16" s="128">
        <v>2</v>
      </c>
      <c r="W16" s="128">
        <v>2</v>
      </c>
      <c r="X16" s="128">
        <v>2</v>
      </c>
      <c r="Y16" s="128">
        <v>2</v>
      </c>
      <c r="Z16" s="128">
        <v>2</v>
      </c>
      <c r="AA16" s="128">
        <v>2</v>
      </c>
      <c r="AB16" s="128">
        <v>2</v>
      </c>
      <c r="AC16" s="128"/>
      <c r="AD16" s="128"/>
      <c r="AE16" s="128"/>
      <c r="AF16" s="128"/>
      <c r="AG16" s="128"/>
      <c r="AH16" s="128"/>
      <c r="AI16" s="128"/>
      <c r="AJ16" s="128"/>
      <c r="AK16" s="128"/>
      <c r="AL16" s="128"/>
    </row>
    <row r="17" spans="2:38" x14ac:dyDescent="0.35">
      <c r="B17" s="125" t="s">
        <v>11</v>
      </c>
      <c r="C17" s="128"/>
      <c r="D17" s="128"/>
      <c r="E17" s="128"/>
      <c r="F17" s="128"/>
      <c r="G17" s="128"/>
      <c r="H17" s="128">
        <v>1</v>
      </c>
      <c r="I17" s="128">
        <v>1</v>
      </c>
      <c r="J17" s="128"/>
      <c r="K17" s="128"/>
      <c r="L17" s="128"/>
      <c r="M17" s="128"/>
      <c r="N17" s="128"/>
      <c r="O17" s="128"/>
      <c r="P17" s="128"/>
      <c r="Q17" s="128">
        <v>1</v>
      </c>
      <c r="R17" s="128">
        <v>1</v>
      </c>
      <c r="S17" s="128">
        <v>1</v>
      </c>
      <c r="T17" s="128">
        <v>1</v>
      </c>
      <c r="U17" s="128">
        <v>1</v>
      </c>
      <c r="V17" s="128">
        <v>1</v>
      </c>
      <c r="W17" s="128">
        <v>1</v>
      </c>
      <c r="X17" s="128">
        <v>1</v>
      </c>
      <c r="Y17" s="128"/>
      <c r="Z17" s="128"/>
      <c r="AA17" s="128"/>
      <c r="AB17" s="128"/>
      <c r="AC17" s="128"/>
      <c r="AD17" s="128"/>
      <c r="AE17" s="128"/>
      <c r="AF17" s="128"/>
      <c r="AG17" s="128"/>
      <c r="AH17" s="128"/>
      <c r="AI17" s="128"/>
      <c r="AJ17" s="128"/>
      <c r="AK17" s="128"/>
      <c r="AL17" s="128"/>
    </row>
    <row r="18" spans="2:38" x14ac:dyDescent="0.35">
      <c r="B18" s="125" t="s">
        <v>13</v>
      </c>
      <c r="C18" s="128">
        <v>1</v>
      </c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8"/>
      <c r="S18" s="128"/>
      <c r="T18" s="128"/>
      <c r="U18" s="128"/>
      <c r="V18" s="128"/>
      <c r="W18" s="128"/>
      <c r="X18" s="128"/>
      <c r="Y18" s="128"/>
      <c r="Z18" s="128"/>
      <c r="AA18" s="128"/>
      <c r="AB18" s="128"/>
      <c r="AC18" s="128"/>
      <c r="AD18" s="128"/>
      <c r="AE18" s="128"/>
      <c r="AF18" s="128"/>
      <c r="AG18" s="128"/>
      <c r="AH18" s="128"/>
      <c r="AI18" s="128"/>
      <c r="AJ18" s="128"/>
      <c r="AK18" s="128"/>
      <c r="AL18" s="128"/>
    </row>
    <row r="19" spans="2:38" x14ac:dyDescent="0.35">
      <c r="C19" s="128"/>
      <c r="D19" s="128"/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28"/>
      <c r="Q19" s="128"/>
      <c r="R19" s="128"/>
      <c r="S19" s="128"/>
      <c r="T19" s="128"/>
      <c r="U19" s="128"/>
      <c r="V19" s="128"/>
      <c r="W19" s="128"/>
      <c r="X19" s="128"/>
      <c r="Y19" s="128"/>
      <c r="Z19" s="128"/>
      <c r="AA19" s="128"/>
      <c r="AB19" s="128"/>
      <c r="AC19" s="128"/>
      <c r="AD19" s="128"/>
      <c r="AE19" s="128"/>
      <c r="AF19" s="128"/>
      <c r="AG19" s="128"/>
      <c r="AH19" s="128"/>
      <c r="AI19" s="128"/>
      <c r="AJ19" s="128"/>
      <c r="AK19" s="128"/>
      <c r="AL19" s="128"/>
    </row>
  </sheetData>
  <mergeCells count="11">
    <mergeCell ref="AA3:AD3"/>
    <mergeCell ref="AE3:AH3"/>
    <mergeCell ref="AI3:AL3"/>
    <mergeCell ref="C1:F1"/>
    <mergeCell ref="L1:O1"/>
    <mergeCell ref="C3:F3"/>
    <mergeCell ref="G3:J3"/>
    <mergeCell ref="K3:N3"/>
    <mergeCell ref="O3:R3"/>
    <mergeCell ref="S3:V3"/>
    <mergeCell ref="W3:Z3"/>
  </mergeCells>
  <pageMargins left="0.7" right="0.7" top="0.75" bottom="0.75" header="0.3" footer="0.3"/>
  <pageSetup scale="72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C00000"/>
  </sheetPr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  <outlinePr summaryBelow="0" summaryRight="0"/>
  </sheetPr>
  <dimension ref="B2:BQ154"/>
  <sheetViews>
    <sheetView showGridLines="0" workbookViewId="0">
      <pane ySplit="2" topLeftCell="A150" activePane="bottomLeft" state="frozenSplit"/>
      <selection pane="bottomLeft" activeCell="T142" sqref="T142"/>
    </sheetView>
  </sheetViews>
  <sheetFormatPr defaultColWidth="2.81640625" defaultRowHeight="14.5" x14ac:dyDescent="0.35"/>
  <cols>
    <col min="1" max="16384" width="2.81640625" style="172"/>
  </cols>
  <sheetData>
    <row r="2" spans="2:58" ht="28.5" x14ac:dyDescent="0.35">
      <c r="B2" s="171" t="str">
        <f>TEMPLATE_NAME&amp;" "&amp;TEMPLATE_VER&amp;" - HELP"</f>
        <v>AG Estimation Template -  Version 2.0.4 - HELP</v>
      </c>
    </row>
    <row r="4" spans="2:58" x14ac:dyDescent="0.35">
      <c r="B4" s="172" t="s">
        <v>176</v>
      </c>
    </row>
    <row r="5" spans="2:58" x14ac:dyDescent="0.35">
      <c r="B5" s="209" t="s">
        <v>177</v>
      </c>
      <c r="D5" s="172" t="s">
        <v>178</v>
      </c>
    </row>
    <row r="6" spans="2:58" x14ac:dyDescent="0.35">
      <c r="B6" s="209" t="s">
        <v>177</v>
      </c>
      <c r="D6" s="172" t="s">
        <v>179</v>
      </c>
    </row>
    <row r="7" spans="2:58" x14ac:dyDescent="0.35">
      <c r="B7" s="209" t="s">
        <v>177</v>
      </c>
      <c r="D7" s="172" t="s">
        <v>180</v>
      </c>
    </row>
    <row r="8" spans="2:58" x14ac:dyDescent="0.35">
      <c r="B8" s="209" t="s">
        <v>177</v>
      </c>
      <c r="D8" s="172" t="s">
        <v>181</v>
      </c>
    </row>
    <row r="9" spans="2:58" x14ac:dyDescent="0.35">
      <c r="B9" s="209" t="s">
        <v>177</v>
      </c>
      <c r="D9" s="172" t="s">
        <v>182</v>
      </c>
    </row>
    <row r="10" spans="2:58" x14ac:dyDescent="0.35">
      <c r="B10" s="209" t="s">
        <v>177</v>
      </c>
      <c r="D10" s="172" t="s">
        <v>183</v>
      </c>
    </row>
    <row r="11" spans="2:58" x14ac:dyDescent="0.35">
      <c r="B11" s="209" t="s">
        <v>177</v>
      </c>
      <c r="D11" s="172" t="s">
        <v>184</v>
      </c>
    </row>
    <row r="13" spans="2:58" x14ac:dyDescent="0.35">
      <c r="B13" s="342" t="s">
        <v>263</v>
      </c>
      <c r="C13" s="342"/>
      <c r="D13" s="342"/>
      <c r="E13" s="342"/>
      <c r="F13" s="342"/>
      <c r="G13" s="342"/>
      <c r="H13" s="342"/>
      <c r="I13" s="342"/>
      <c r="J13" s="342"/>
      <c r="N13" s="235" t="s">
        <v>424</v>
      </c>
      <c r="O13" s="234"/>
      <c r="P13" s="234"/>
      <c r="Q13" s="234"/>
      <c r="R13" s="234"/>
      <c r="S13" s="234"/>
      <c r="T13" s="234"/>
      <c r="U13" s="234"/>
      <c r="V13" s="234"/>
      <c r="W13" s="234"/>
      <c r="X13" s="234"/>
      <c r="Y13" s="234"/>
      <c r="Z13" s="234"/>
      <c r="AA13" s="234"/>
      <c r="AB13" s="234"/>
      <c r="AC13" s="234"/>
      <c r="AD13" s="234"/>
      <c r="AE13" s="234"/>
      <c r="AF13" s="234"/>
      <c r="AG13" s="234"/>
      <c r="AH13" s="234"/>
      <c r="AI13" s="234"/>
      <c r="AJ13" s="234"/>
      <c r="AK13" s="234"/>
      <c r="AL13" s="234"/>
      <c r="AM13" s="234"/>
      <c r="AN13" s="234"/>
      <c r="AO13" s="234"/>
      <c r="AP13" s="234"/>
      <c r="AQ13" s="234"/>
      <c r="AR13" s="234"/>
      <c r="AS13" s="234"/>
      <c r="AT13" s="234"/>
      <c r="AU13" s="234"/>
      <c r="AV13" s="239" t="s">
        <v>425</v>
      </c>
      <c r="AW13" s="234"/>
      <c r="AX13" s="235" t="s">
        <v>426</v>
      </c>
      <c r="AY13" s="234"/>
      <c r="AZ13" s="234"/>
      <c r="BA13" s="234"/>
      <c r="BB13" s="234"/>
      <c r="BC13" s="234"/>
      <c r="BD13" s="234"/>
      <c r="BE13" s="234"/>
      <c r="BF13" s="234"/>
    </row>
    <row r="14" spans="2:58" x14ac:dyDescent="0.35">
      <c r="B14" s="342"/>
      <c r="C14" s="342"/>
      <c r="D14" s="342"/>
      <c r="E14" s="342"/>
      <c r="F14" s="342"/>
      <c r="G14" s="342"/>
      <c r="H14" s="342"/>
      <c r="I14" s="342"/>
      <c r="J14" s="342"/>
      <c r="N14" s="235" t="s">
        <v>427</v>
      </c>
      <c r="S14" s="235" t="s">
        <v>428</v>
      </c>
      <c r="AH14" s="239" t="s">
        <v>429</v>
      </c>
    </row>
    <row r="15" spans="2:58" ht="15" customHeight="1" x14ac:dyDescent="0.35">
      <c r="B15" s="236"/>
      <c r="C15" s="236"/>
      <c r="D15" s="236"/>
      <c r="E15" s="236"/>
      <c r="F15" s="236"/>
      <c r="G15" s="236"/>
      <c r="H15" s="236"/>
      <c r="I15" s="236"/>
      <c r="J15" s="236"/>
      <c r="N15" s="237"/>
      <c r="S15" s="237"/>
      <c r="AH15" s="238"/>
    </row>
    <row r="16" spans="2:58" ht="15" customHeight="1" x14ac:dyDescent="0.35">
      <c r="H16" s="343" t="s">
        <v>195</v>
      </c>
      <c r="I16" s="343"/>
      <c r="J16" s="343"/>
      <c r="K16" s="343"/>
      <c r="L16" s="343"/>
      <c r="M16" s="343"/>
      <c r="N16" s="343"/>
      <c r="O16" s="343"/>
      <c r="P16" s="343"/>
      <c r="Q16" s="343"/>
      <c r="R16" s="343"/>
      <c r="S16" s="343"/>
      <c r="T16" s="343"/>
      <c r="U16" s="343"/>
      <c r="V16" s="343"/>
      <c r="AL16" s="343" t="s">
        <v>245</v>
      </c>
      <c r="AM16" s="343"/>
      <c r="AN16" s="343"/>
      <c r="AO16" s="343"/>
      <c r="AP16" s="343"/>
      <c r="AQ16" s="343"/>
      <c r="AR16" s="343"/>
      <c r="AS16" s="343"/>
      <c r="AT16" s="343"/>
      <c r="AU16" s="343"/>
      <c r="AV16" s="343"/>
      <c r="AW16" s="343"/>
      <c r="AX16" s="343"/>
      <c r="AY16" s="343"/>
      <c r="AZ16" s="343"/>
      <c r="BA16" s="343"/>
      <c r="BB16" s="343"/>
      <c r="BC16" s="343"/>
      <c r="BD16" s="343"/>
    </row>
    <row r="17" spans="2:56" ht="15" customHeight="1" x14ac:dyDescent="0.35">
      <c r="H17" s="343"/>
      <c r="I17" s="343"/>
      <c r="J17" s="343"/>
      <c r="K17" s="343"/>
      <c r="L17" s="343"/>
      <c r="M17" s="343"/>
      <c r="N17" s="343"/>
      <c r="O17" s="343"/>
      <c r="P17" s="343"/>
      <c r="Q17" s="343"/>
      <c r="R17" s="343"/>
      <c r="S17" s="343"/>
      <c r="T17" s="343"/>
      <c r="U17" s="343"/>
      <c r="V17" s="343"/>
      <c r="AL17" s="343"/>
      <c r="AM17" s="343"/>
      <c r="AN17" s="343"/>
      <c r="AO17" s="343"/>
      <c r="AP17" s="343"/>
      <c r="AQ17" s="343"/>
      <c r="AR17" s="343"/>
      <c r="AS17" s="343"/>
      <c r="AT17" s="343"/>
      <c r="AU17" s="343"/>
      <c r="AV17" s="343"/>
      <c r="AW17" s="343"/>
      <c r="AX17" s="343"/>
      <c r="AY17" s="343"/>
      <c r="AZ17" s="343"/>
      <c r="BA17" s="343"/>
      <c r="BB17" s="343"/>
      <c r="BC17" s="343"/>
      <c r="BD17" s="343"/>
    </row>
    <row r="18" spans="2:56" x14ac:dyDescent="0.35">
      <c r="H18" s="172" t="s">
        <v>196</v>
      </c>
      <c r="AL18" s="172" t="s">
        <v>200</v>
      </c>
    </row>
    <row r="19" spans="2:56" x14ac:dyDescent="0.35">
      <c r="H19" s="172" t="s">
        <v>197</v>
      </c>
      <c r="AL19" s="172" t="s">
        <v>201</v>
      </c>
    </row>
    <row r="20" spans="2:56" x14ac:dyDescent="0.35">
      <c r="H20" s="172" t="s">
        <v>198</v>
      </c>
      <c r="AL20" s="172" t="s">
        <v>202</v>
      </c>
    </row>
    <row r="21" spans="2:56" x14ac:dyDescent="0.35">
      <c r="H21" s="172" t="s">
        <v>199</v>
      </c>
    </row>
    <row r="22" spans="2:56" x14ac:dyDescent="0.35">
      <c r="H22" s="172" t="s">
        <v>205</v>
      </c>
      <c r="O22"/>
      <c r="AL22" s="172" t="s">
        <v>203</v>
      </c>
    </row>
    <row r="23" spans="2:56" x14ac:dyDescent="0.35">
      <c r="H23" s="172" t="s">
        <v>206</v>
      </c>
      <c r="AL23" s="172" t="s">
        <v>204</v>
      </c>
    </row>
    <row r="29" spans="2:56" x14ac:dyDescent="0.35">
      <c r="B29" s="343" t="s">
        <v>207</v>
      </c>
      <c r="C29" s="343"/>
      <c r="D29" s="343"/>
      <c r="E29" s="343"/>
      <c r="F29" s="343"/>
      <c r="G29" s="343"/>
      <c r="H29" s="343"/>
      <c r="I29" s="343"/>
      <c r="J29" s="343"/>
      <c r="K29" s="343"/>
      <c r="L29" s="343"/>
      <c r="M29" s="343"/>
      <c r="N29" s="343"/>
      <c r="O29" s="343"/>
    </row>
    <row r="30" spans="2:56" x14ac:dyDescent="0.35">
      <c r="B30" s="343"/>
      <c r="C30" s="343"/>
      <c r="D30" s="343"/>
      <c r="E30" s="343"/>
      <c r="F30" s="343"/>
      <c r="G30" s="343"/>
      <c r="H30" s="343"/>
      <c r="I30" s="343"/>
      <c r="J30" s="343"/>
      <c r="K30" s="343"/>
      <c r="L30" s="343"/>
      <c r="M30" s="343"/>
      <c r="N30" s="343"/>
      <c r="O30" s="343"/>
    </row>
    <row r="31" spans="2:56" x14ac:dyDescent="0.35">
      <c r="B31" s="172" t="s">
        <v>431</v>
      </c>
    </row>
    <row r="32" spans="2:56" x14ac:dyDescent="0.35">
      <c r="B32" s="172" t="s">
        <v>432</v>
      </c>
    </row>
    <row r="33" spans="2:31" x14ac:dyDescent="0.35">
      <c r="B33" s="172" t="s">
        <v>433</v>
      </c>
    </row>
    <row r="34" spans="2:31" x14ac:dyDescent="0.35">
      <c r="B34" s="172" t="s">
        <v>434</v>
      </c>
    </row>
    <row r="35" spans="2:31" x14ac:dyDescent="0.35">
      <c r="B35" s="172" t="s">
        <v>435</v>
      </c>
    </row>
    <row r="36" spans="2:31" x14ac:dyDescent="0.35">
      <c r="B36" s="172" t="s">
        <v>436</v>
      </c>
    </row>
    <row r="41" spans="2:31" x14ac:dyDescent="0.35">
      <c r="B41" s="343" t="s">
        <v>208</v>
      </c>
      <c r="C41" s="343"/>
      <c r="D41" s="343"/>
      <c r="E41" s="343"/>
      <c r="F41" s="343"/>
      <c r="G41" s="343"/>
      <c r="H41" s="343"/>
      <c r="I41" s="343"/>
      <c r="J41" s="343"/>
      <c r="K41" s="343"/>
      <c r="L41" s="343"/>
      <c r="M41" s="343"/>
      <c r="N41" s="343"/>
      <c r="O41" s="343"/>
    </row>
    <row r="42" spans="2:31" x14ac:dyDescent="0.35">
      <c r="B42" s="343"/>
      <c r="C42" s="343"/>
      <c r="D42" s="343"/>
      <c r="E42" s="343"/>
      <c r="F42" s="343"/>
      <c r="G42" s="343"/>
      <c r="H42" s="343"/>
      <c r="I42" s="343"/>
      <c r="J42" s="343"/>
      <c r="K42" s="343"/>
      <c r="L42" s="343"/>
      <c r="M42" s="343"/>
      <c r="N42" s="343"/>
      <c r="O42" s="343"/>
      <c r="AE42" s="172" t="s">
        <v>214</v>
      </c>
    </row>
    <row r="43" spans="2:31" x14ac:dyDescent="0.35">
      <c r="B43" s="172" t="s">
        <v>210</v>
      </c>
      <c r="AE43" s="172" t="s">
        <v>213</v>
      </c>
    </row>
    <row r="44" spans="2:31" x14ac:dyDescent="0.35">
      <c r="B44" s="172" t="s">
        <v>209</v>
      </c>
      <c r="AE44" s="172" t="s">
        <v>215</v>
      </c>
    </row>
    <row r="46" spans="2:31" x14ac:dyDescent="0.35">
      <c r="B46" s="172" t="s">
        <v>211</v>
      </c>
      <c r="AE46" s="172" t="s">
        <v>216</v>
      </c>
    </row>
    <row r="47" spans="2:31" x14ac:dyDescent="0.35">
      <c r="B47" s="172" t="s">
        <v>212</v>
      </c>
      <c r="AE47" s="172" t="s">
        <v>217</v>
      </c>
    </row>
    <row r="49" spans="2:14" x14ac:dyDescent="0.35">
      <c r="B49" s="343" t="s">
        <v>224</v>
      </c>
      <c r="C49" s="343"/>
      <c r="D49" s="343"/>
      <c r="E49" s="343"/>
      <c r="F49" s="343"/>
      <c r="G49" s="343"/>
      <c r="H49" s="343"/>
      <c r="I49" s="343"/>
      <c r="J49" s="343"/>
      <c r="K49" s="343"/>
      <c r="L49" s="343"/>
      <c r="M49" s="343"/>
      <c r="N49" s="343"/>
    </row>
    <row r="50" spans="2:14" x14ac:dyDescent="0.35">
      <c r="B50" s="343"/>
      <c r="C50" s="343"/>
      <c r="D50" s="343"/>
      <c r="E50" s="343"/>
      <c r="F50" s="343"/>
      <c r="G50" s="343"/>
      <c r="H50" s="343"/>
      <c r="I50" s="343"/>
      <c r="J50" s="343"/>
      <c r="K50" s="343"/>
      <c r="L50" s="343"/>
      <c r="M50" s="343"/>
      <c r="N50" s="343"/>
    </row>
    <row r="51" spans="2:14" x14ac:dyDescent="0.35">
      <c r="B51" s="172" t="s">
        <v>218</v>
      </c>
    </row>
    <row r="52" spans="2:14" x14ac:dyDescent="0.35">
      <c r="B52" s="172" t="s">
        <v>219</v>
      </c>
    </row>
    <row r="54" spans="2:14" x14ac:dyDescent="0.35">
      <c r="B54" s="172" t="s">
        <v>220</v>
      </c>
    </row>
    <row r="55" spans="2:14" x14ac:dyDescent="0.35">
      <c r="B55" s="172" t="s">
        <v>221</v>
      </c>
    </row>
    <row r="56" spans="2:14" x14ac:dyDescent="0.35">
      <c r="B56" s="172" t="s">
        <v>222</v>
      </c>
    </row>
    <row r="57" spans="2:14" x14ac:dyDescent="0.35">
      <c r="B57" s="172" t="s">
        <v>223</v>
      </c>
    </row>
    <row r="71" spans="2:16" x14ac:dyDescent="0.35">
      <c r="B71" s="343" t="s">
        <v>225</v>
      </c>
      <c r="C71" s="343"/>
      <c r="D71" s="343"/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</row>
    <row r="72" spans="2:16" x14ac:dyDescent="0.35">
      <c r="B72" s="343"/>
      <c r="C72" s="343"/>
      <c r="D72" s="343"/>
      <c r="E72" s="343"/>
      <c r="F72" s="343"/>
      <c r="G72" s="343"/>
      <c r="H72" s="343"/>
      <c r="I72" s="343"/>
      <c r="J72" s="343"/>
      <c r="K72" s="343"/>
      <c r="L72" s="343"/>
      <c r="M72" s="343"/>
      <c r="N72" s="343"/>
      <c r="O72" s="343"/>
      <c r="P72" s="343"/>
    </row>
    <row r="73" spans="2:16" x14ac:dyDescent="0.35">
      <c r="B73" s="172" t="s">
        <v>226</v>
      </c>
    </row>
    <row r="74" spans="2:16" x14ac:dyDescent="0.35">
      <c r="B74" s="172" t="s">
        <v>228</v>
      </c>
    </row>
    <row r="75" spans="2:16" x14ac:dyDescent="0.35">
      <c r="B75" s="172" t="s">
        <v>227</v>
      </c>
    </row>
    <row r="79" spans="2:16" x14ac:dyDescent="0.35">
      <c r="B79" s="172" t="s">
        <v>229</v>
      </c>
    </row>
    <row r="80" spans="2:16" x14ac:dyDescent="0.35">
      <c r="B80" s="172" t="s">
        <v>230</v>
      </c>
    </row>
    <row r="83" spans="3:69" ht="15" customHeight="1" x14ac:dyDescent="0.35">
      <c r="BG83" s="217" t="s">
        <v>233</v>
      </c>
      <c r="BH83" s="216"/>
      <c r="BI83" s="216"/>
      <c r="BJ83" s="216"/>
      <c r="BK83" s="216"/>
      <c r="BL83" s="216"/>
      <c r="BM83" s="216"/>
      <c r="BN83" s="216"/>
      <c r="BO83" s="216"/>
      <c r="BP83" s="216"/>
    </row>
    <row r="84" spans="3:69" ht="15" customHeight="1" x14ac:dyDescent="0.35">
      <c r="C84" s="343" t="s">
        <v>234</v>
      </c>
      <c r="D84" s="343"/>
      <c r="E84" s="343"/>
      <c r="F84" s="343"/>
      <c r="G84" s="343"/>
      <c r="H84" s="343"/>
      <c r="I84" s="343"/>
      <c r="J84" s="343"/>
      <c r="K84" s="343"/>
      <c r="L84" s="343"/>
      <c r="M84" s="343"/>
      <c r="N84" s="343"/>
      <c r="O84" s="343"/>
      <c r="P84" s="343"/>
      <c r="Q84" s="343"/>
      <c r="AZ84" s="217"/>
      <c r="BA84" s="217"/>
      <c r="BB84" s="217"/>
      <c r="BC84" s="217"/>
      <c r="BD84" s="217"/>
      <c r="BF84" s="217"/>
      <c r="BG84" s="216" t="s">
        <v>231</v>
      </c>
      <c r="BH84" s="217"/>
      <c r="BI84" s="217"/>
      <c r="BJ84" s="217"/>
    </row>
    <row r="85" spans="3:69" ht="18.5" x14ac:dyDescent="0.35">
      <c r="C85" s="343"/>
      <c r="D85" s="343"/>
      <c r="E85" s="343"/>
      <c r="F85" s="343"/>
      <c r="G85" s="343"/>
      <c r="H85" s="343"/>
      <c r="I85" s="343"/>
      <c r="J85" s="343"/>
      <c r="K85" s="343"/>
      <c r="L85" s="343"/>
      <c r="M85" s="343"/>
      <c r="N85" s="343"/>
      <c r="O85" s="343"/>
      <c r="P85" s="343"/>
      <c r="Q85" s="343"/>
      <c r="AY85" s="217"/>
      <c r="AZ85" s="217"/>
      <c r="BA85" s="217"/>
      <c r="BB85" s="217"/>
      <c r="BC85" s="217"/>
      <c r="BD85" s="217"/>
      <c r="BF85" s="217"/>
      <c r="BG85" s="216" t="s">
        <v>232</v>
      </c>
      <c r="BH85" s="217"/>
      <c r="BI85" s="217"/>
      <c r="BJ85" s="217"/>
      <c r="BK85" s="216"/>
      <c r="BL85" s="216"/>
      <c r="BM85" s="216"/>
      <c r="BN85" s="216"/>
      <c r="BO85" s="216"/>
      <c r="BP85" s="216"/>
      <c r="BQ85" s="216"/>
    </row>
    <row r="86" spans="3:69" x14ac:dyDescent="0.35">
      <c r="C86" s="172" t="s">
        <v>235</v>
      </c>
      <c r="BG86" s="216"/>
      <c r="BH86" s="216"/>
      <c r="BI86" s="216"/>
      <c r="BJ86" s="216"/>
      <c r="BK86" s="216"/>
      <c r="BL86" s="216"/>
      <c r="BM86" s="216"/>
      <c r="BN86" s="216"/>
      <c r="BO86" s="216"/>
      <c r="BP86" s="216"/>
      <c r="BQ86" s="216"/>
    </row>
    <row r="87" spans="3:69" x14ac:dyDescent="0.35">
      <c r="C87" s="172" t="s">
        <v>236</v>
      </c>
    </row>
    <row r="93" spans="3:69" x14ac:dyDescent="0.35">
      <c r="AE93" s="343" t="s">
        <v>237</v>
      </c>
      <c r="AF93" s="343"/>
      <c r="AG93" s="343"/>
      <c r="AH93" s="343"/>
      <c r="AI93" s="343"/>
      <c r="AJ93" s="343"/>
      <c r="AK93" s="343"/>
      <c r="AL93" s="343"/>
      <c r="AM93" s="343"/>
      <c r="AN93" s="343"/>
      <c r="AO93" s="343"/>
      <c r="AP93" s="343"/>
      <c r="AQ93" s="343"/>
      <c r="AR93" s="343"/>
      <c r="AS93" s="343"/>
      <c r="AT93" s="343"/>
      <c r="AU93" s="343"/>
      <c r="AV93" s="343"/>
      <c r="AW93" s="343"/>
      <c r="AX93" s="343"/>
      <c r="AY93" s="343"/>
    </row>
    <row r="94" spans="3:69" x14ac:dyDescent="0.35">
      <c r="AE94" s="343"/>
      <c r="AF94" s="343"/>
      <c r="AG94" s="343"/>
      <c r="AH94" s="343"/>
      <c r="AI94" s="343"/>
      <c r="AJ94" s="343"/>
      <c r="AK94" s="343"/>
      <c r="AL94" s="343"/>
      <c r="AM94" s="343"/>
      <c r="AN94" s="343"/>
      <c r="AO94" s="343"/>
      <c r="AP94" s="343"/>
      <c r="AQ94" s="343"/>
      <c r="AR94" s="343"/>
      <c r="AS94" s="343"/>
      <c r="AT94" s="343"/>
      <c r="AU94" s="343"/>
      <c r="AV94" s="343"/>
      <c r="AW94" s="343"/>
      <c r="AX94" s="343"/>
      <c r="AY94" s="343"/>
    </row>
    <row r="95" spans="3:69" x14ac:dyDescent="0.35">
      <c r="AE95" s="172" t="s">
        <v>238</v>
      </c>
    </row>
    <row r="96" spans="3:69" ht="15" customHeight="1" x14ac:dyDescent="0.35">
      <c r="AE96" s="172" t="s">
        <v>239</v>
      </c>
    </row>
    <row r="97" spans="3:23" ht="15" customHeight="1" x14ac:dyDescent="0.35"/>
    <row r="104" spans="3:23" x14ac:dyDescent="0.35">
      <c r="C104" s="343" t="s">
        <v>240</v>
      </c>
      <c r="D104" s="343"/>
      <c r="E104" s="343"/>
      <c r="F104" s="343"/>
      <c r="G104" s="343"/>
      <c r="H104" s="343"/>
      <c r="I104" s="343"/>
      <c r="J104" s="343"/>
      <c r="K104" s="343"/>
      <c r="L104" s="343"/>
      <c r="M104" s="343"/>
      <c r="N104" s="343"/>
      <c r="O104" s="343"/>
      <c r="P104" s="343"/>
      <c r="Q104" s="343"/>
      <c r="R104" s="343"/>
      <c r="S104" s="343"/>
      <c r="T104" s="343"/>
      <c r="U104" s="343"/>
      <c r="V104" s="343"/>
      <c r="W104" s="343"/>
    </row>
    <row r="105" spans="3:23" x14ac:dyDescent="0.35">
      <c r="C105" s="343"/>
      <c r="D105" s="343"/>
      <c r="E105" s="343"/>
      <c r="F105" s="343"/>
      <c r="G105" s="343"/>
      <c r="H105" s="343"/>
      <c r="I105" s="343"/>
      <c r="J105" s="343"/>
      <c r="K105" s="343"/>
      <c r="L105" s="343"/>
      <c r="M105" s="343"/>
      <c r="N105" s="343"/>
      <c r="O105" s="343"/>
      <c r="P105" s="343"/>
      <c r="Q105" s="343"/>
      <c r="R105" s="343"/>
      <c r="S105" s="343"/>
      <c r="T105" s="343"/>
      <c r="U105" s="343"/>
      <c r="V105" s="343"/>
      <c r="W105" s="343"/>
    </row>
    <row r="111" spans="3:23" x14ac:dyDescent="0.35">
      <c r="C111" s="172" t="s">
        <v>241</v>
      </c>
    </row>
    <row r="112" spans="3:23" x14ac:dyDescent="0.35">
      <c r="C112" s="172" t="s">
        <v>242</v>
      </c>
    </row>
    <row r="114" spans="3:52" x14ac:dyDescent="0.35">
      <c r="C114" s="172" t="s">
        <v>243</v>
      </c>
      <c r="AF114" s="343" t="s">
        <v>246</v>
      </c>
      <c r="AG114" s="343"/>
      <c r="AH114" s="343"/>
      <c r="AI114" s="343"/>
      <c r="AJ114" s="343"/>
      <c r="AK114" s="343"/>
      <c r="AL114" s="343"/>
      <c r="AM114" s="343"/>
      <c r="AN114" s="343"/>
      <c r="AO114" s="343"/>
      <c r="AP114" s="343"/>
      <c r="AQ114" s="343"/>
      <c r="AR114" s="343"/>
      <c r="AS114" s="343"/>
      <c r="AT114" s="343"/>
      <c r="AU114" s="343"/>
      <c r="AV114" s="343"/>
      <c r="AW114" s="343"/>
      <c r="AX114" s="343"/>
      <c r="AY114" s="343"/>
      <c r="AZ114" s="343"/>
    </row>
    <row r="115" spans="3:52" x14ac:dyDescent="0.35">
      <c r="C115" s="172" t="s">
        <v>244</v>
      </c>
      <c r="AF115" s="343"/>
      <c r="AG115" s="343"/>
      <c r="AH115" s="343"/>
      <c r="AI115" s="343"/>
      <c r="AJ115" s="343"/>
      <c r="AK115" s="343"/>
      <c r="AL115" s="343"/>
      <c r="AM115" s="343"/>
      <c r="AN115" s="343"/>
      <c r="AO115" s="343"/>
      <c r="AP115" s="343"/>
      <c r="AQ115" s="343"/>
      <c r="AR115" s="343"/>
      <c r="AS115" s="343"/>
      <c r="AT115" s="343"/>
      <c r="AU115" s="343"/>
      <c r="AV115" s="343"/>
      <c r="AW115" s="343"/>
      <c r="AX115" s="343"/>
      <c r="AY115" s="343"/>
      <c r="AZ115" s="343"/>
    </row>
    <row r="116" spans="3:52" x14ac:dyDescent="0.35">
      <c r="AF116" s="172" t="s">
        <v>252</v>
      </c>
    </row>
    <row r="117" spans="3:52" x14ac:dyDescent="0.35">
      <c r="AF117" s="172" t="s">
        <v>251</v>
      </c>
    </row>
    <row r="121" spans="3:52" x14ac:dyDescent="0.35">
      <c r="V121" s="343" t="s">
        <v>247</v>
      </c>
      <c r="W121" s="343"/>
      <c r="X121" s="343"/>
      <c r="Y121" s="343"/>
      <c r="Z121" s="343"/>
      <c r="AA121" s="343"/>
      <c r="AB121" s="343"/>
      <c r="AC121" s="343"/>
      <c r="AD121" s="343"/>
      <c r="AE121" s="343"/>
      <c r="AF121" s="343"/>
      <c r="AG121" s="343"/>
      <c r="AH121" s="343"/>
      <c r="AI121" s="343"/>
      <c r="AJ121" s="343"/>
      <c r="AK121" s="343"/>
      <c r="AL121" s="343"/>
      <c r="AM121" s="343"/>
      <c r="AN121" s="343"/>
      <c r="AO121" s="343"/>
      <c r="AP121" s="343"/>
    </row>
    <row r="122" spans="3:52" x14ac:dyDescent="0.35">
      <c r="V122" s="343"/>
      <c r="W122" s="343"/>
      <c r="X122" s="343"/>
      <c r="Y122" s="343"/>
      <c r="Z122" s="343"/>
      <c r="AA122" s="343"/>
      <c r="AB122" s="343"/>
      <c r="AC122" s="343"/>
      <c r="AD122" s="343"/>
      <c r="AE122" s="343"/>
      <c r="AF122" s="343"/>
      <c r="AG122" s="343"/>
      <c r="AH122" s="343"/>
      <c r="AI122" s="343"/>
      <c r="AJ122" s="343"/>
      <c r="AK122" s="343"/>
      <c r="AL122" s="343"/>
      <c r="AM122" s="343"/>
      <c r="AN122" s="343"/>
      <c r="AO122" s="343"/>
      <c r="AP122" s="343"/>
    </row>
    <row r="123" spans="3:52" x14ac:dyDescent="0.35">
      <c r="S123" s="172" t="s">
        <v>248</v>
      </c>
    </row>
    <row r="124" spans="3:52" x14ac:dyDescent="0.35">
      <c r="S124" s="172" t="s">
        <v>249</v>
      </c>
    </row>
    <row r="126" spans="3:52" x14ac:dyDescent="0.35">
      <c r="S126" s="172" t="s">
        <v>250</v>
      </c>
    </row>
    <row r="130" spans="4:26" x14ac:dyDescent="0.35">
      <c r="F130" s="343" t="s">
        <v>253</v>
      </c>
      <c r="G130" s="343"/>
      <c r="H130" s="343"/>
      <c r="I130" s="343"/>
      <c r="J130" s="343"/>
      <c r="K130" s="343"/>
      <c r="L130" s="343"/>
      <c r="M130" s="343"/>
      <c r="N130" s="343"/>
      <c r="O130" s="343"/>
      <c r="P130" s="343"/>
      <c r="Q130" s="343"/>
      <c r="R130" s="343"/>
      <c r="S130" s="343"/>
      <c r="T130" s="343"/>
      <c r="U130" s="343"/>
      <c r="V130" s="343"/>
      <c r="W130" s="343"/>
      <c r="X130" s="343"/>
      <c r="Y130" s="343"/>
      <c r="Z130" s="343"/>
    </row>
    <row r="131" spans="4:26" x14ac:dyDescent="0.35">
      <c r="F131" s="343"/>
      <c r="G131" s="343"/>
      <c r="H131" s="343"/>
      <c r="I131" s="343"/>
      <c r="J131" s="343"/>
      <c r="K131" s="343"/>
      <c r="L131" s="343"/>
      <c r="M131" s="343"/>
      <c r="N131" s="343"/>
      <c r="O131" s="343"/>
      <c r="P131" s="343"/>
      <c r="Q131" s="343"/>
      <c r="R131" s="343"/>
      <c r="S131" s="343"/>
      <c r="T131" s="343"/>
      <c r="U131" s="343"/>
      <c r="V131" s="343"/>
      <c r="W131" s="343"/>
      <c r="X131" s="343"/>
      <c r="Y131" s="343"/>
      <c r="Z131" s="343"/>
    </row>
    <row r="132" spans="4:26" x14ac:dyDescent="0.35">
      <c r="F132" s="172" t="s">
        <v>254</v>
      </c>
    </row>
    <row r="133" spans="4:26" x14ac:dyDescent="0.35">
      <c r="F133" s="172" t="s">
        <v>255</v>
      </c>
    </row>
    <row r="143" spans="4:26" x14ac:dyDescent="0.35">
      <c r="D143" s="343" t="s">
        <v>256</v>
      </c>
      <c r="E143" s="343"/>
      <c r="F143" s="343"/>
      <c r="G143" s="343"/>
      <c r="H143" s="343"/>
      <c r="I143" s="343"/>
      <c r="J143" s="343"/>
      <c r="K143" s="343"/>
      <c r="L143" s="343"/>
      <c r="M143" s="343"/>
      <c r="N143" s="343"/>
      <c r="O143" s="343"/>
      <c r="P143" s="343"/>
      <c r="Q143" s="343"/>
      <c r="R143" s="343"/>
      <c r="S143" s="343"/>
      <c r="T143" s="343"/>
      <c r="U143" s="343"/>
      <c r="V143" s="343"/>
      <c r="W143" s="343"/>
      <c r="X143" s="343"/>
    </row>
    <row r="144" spans="4:26" x14ac:dyDescent="0.35">
      <c r="D144" s="343"/>
      <c r="E144" s="343"/>
      <c r="F144" s="343"/>
      <c r="G144" s="343"/>
      <c r="H144" s="343"/>
      <c r="I144" s="343"/>
      <c r="J144" s="343"/>
      <c r="K144" s="343"/>
      <c r="L144" s="343"/>
      <c r="M144" s="343"/>
      <c r="N144" s="343"/>
      <c r="O144" s="343"/>
      <c r="P144" s="343"/>
      <c r="Q144" s="343"/>
      <c r="R144" s="343"/>
      <c r="S144" s="343"/>
      <c r="T144" s="343"/>
      <c r="U144" s="343"/>
      <c r="V144" s="343"/>
      <c r="W144" s="343"/>
      <c r="X144" s="343"/>
    </row>
    <row r="145" spans="4:24" x14ac:dyDescent="0.35">
      <c r="D145" s="172" t="s">
        <v>257</v>
      </c>
    </row>
    <row r="146" spans="4:24" x14ac:dyDescent="0.35">
      <c r="D146" s="172" t="s">
        <v>258</v>
      </c>
    </row>
    <row r="148" spans="4:24" x14ac:dyDescent="0.35">
      <c r="D148" s="172" t="s">
        <v>259</v>
      </c>
    </row>
    <row r="149" spans="4:24" x14ac:dyDescent="0.35">
      <c r="D149" s="172" t="s">
        <v>260</v>
      </c>
    </row>
    <row r="152" spans="4:24" x14ac:dyDescent="0.35">
      <c r="D152" s="343" t="s">
        <v>261</v>
      </c>
      <c r="E152" s="343"/>
      <c r="F152" s="343"/>
      <c r="G152" s="343"/>
      <c r="H152" s="343"/>
      <c r="I152" s="343"/>
      <c r="J152" s="343"/>
      <c r="K152" s="343"/>
      <c r="L152" s="343"/>
      <c r="M152" s="343"/>
      <c r="N152" s="343"/>
      <c r="O152" s="343"/>
      <c r="P152" s="343"/>
      <c r="Q152" s="343"/>
      <c r="R152" s="343"/>
      <c r="S152" s="343"/>
      <c r="T152" s="343"/>
      <c r="U152" s="343"/>
      <c r="V152" s="343"/>
      <c r="W152" s="343"/>
      <c r="X152" s="343"/>
    </row>
    <row r="153" spans="4:24" x14ac:dyDescent="0.35">
      <c r="D153" s="343"/>
      <c r="E153" s="343"/>
      <c r="F153" s="343"/>
      <c r="G153" s="343"/>
      <c r="H153" s="343"/>
      <c r="I153" s="343"/>
      <c r="J153" s="343"/>
      <c r="K153" s="343"/>
      <c r="L153" s="343"/>
      <c r="M153" s="343"/>
      <c r="N153" s="343"/>
      <c r="O153" s="343"/>
      <c r="P153" s="343"/>
      <c r="Q153" s="343"/>
      <c r="R153" s="343"/>
      <c r="S153" s="343"/>
      <c r="T153" s="343"/>
      <c r="U153" s="343"/>
      <c r="V153" s="343"/>
      <c r="W153" s="343"/>
      <c r="X153" s="343"/>
    </row>
    <row r="154" spans="4:24" x14ac:dyDescent="0.35">
      <c r="G154" s="172" t="s">
        <v>262</v>
      </c>
    </row>
  </sheetData>
  <mergeCells count="15">
    <mergeCell ref="D152:X153"/>
    <mergeCell ref="C84:Q85"/>
    <mergeCell ref="AE93:AY94"/>
    <mergeCell ref="C104:W105"/>
    <mergeCell ref="AF114:AZ115"/>
    <mergeCell ref="AL16:BD17"/>
    <mergeCell ref="H16:V17"/>
    <mergeCell ref="V121:AP122"/>
    <mergeCell ref="F130:Z131"/>
    <mergeCell ref="D143:X144"/>
    <mergeCell ref="B13:J14"/>
    <mergeCell ref="B71:P72"/>
    <mergeCell ref="B49:N50"/>
    <mergeCell ref="B41:O42"/>
    <mergeCell ref="B29:O30"/>
  </mergeCells>
  <hyperlinks>
    <hyperlink ref="AV13" location="FAQs!A1" tooltip="Frequently Asked Questions (FAQs)" display="FAQs" xr:uid="{00000000-0004-0000-0400-000000000000}"/>
    <hyperlink ref="AH14" r:id="rId1" xr:uid="{00000000-0004-0000-0400-000001000000}"/>
  </hyperlinks>
  <pageMargins left="0.7" right="0.7" top="0.75" bottom="0.75" header="0.3" footer="0.3"/>
  <pageSetup orientation="portrait" horizontalDpi="4294967295" verticalDpi="4294967295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1"/>
    <outlinePr summaryBelow="0" summaryRight="0"/>
  </sheetPr>
  <dimension ref="B2:AD175"/>
  <sheetViews>
    <sheetView showGridLines="0" showRowColHeaders="0" workbookViewId="0">
      <pane ySplit="2" topLeftCell="A3" activePane="bottomLeft" state="frozenSplit"/>
      <selection pane="bottomLeft" activeCell="H51" sqref="H51"/>
    </sheetView>
  </sheetViews>
  <sheetFormatPr defaultColWidth="3.81640625" defaultRowHeight="14.5" x14ac:dyDescent="0.35"/>
  <cols>
    <col min="1" max="1" width="2.81640625" customWidth="1"/>
    <col min="2" max="2" width="4.453125" bestFit="1" customWidth="1"/>
  </cols>
  <sheetData>
    <row r="2" spans="2:4" ht="28.5" x14ac:dyDescent="0.35">
      <c r="B2" s="171" t="str">
        <f>TEMPLATE_NAME&amp;" "&amp;TEMPLATE_VER&amp;" - FAQs"</f>
        <v>AG Estimation Template -  Version 2.0.4 - FAQs</v>
      </c>
    </row>
    <row r="4" spans="2:4" ht="18.5" x14ac:dyDescent="0.45">
      <c r="B4" s="233" t="s">
        <v>409</v>
      </c>
    </row>
    <row r="6" spans="2:4" s="229" customFormat="1" ht="21" x14ac:dyDescent="0.5">
      <c r="B6" s="228">
        <v>1</v>
      </c>
      <c r="C6" s="228" t="s">
        <v>421</v>
      </c>
    </row>
    <row r="7" spans="2:4" x14ac:dyDescent="0.35">
      <c r="D7" t="s">
        <v>422</v>
      </c>
    </row>
    <row r="8" spans="2:4" x14ac:dyDescent="0.35">
      <c r="D8" t="s">
        <v>423</v>
      </c>
    </row>
    <row r="10" spans="2:4" s="229" customFormat="1" ht="21" x14ac:dyDescent="0.5">
      <c r="B10" s="228">
        <v>2</v>
      </c>
      <c r="C10" s="228" t="s">
        <v>264</v>
      </c>
    </row>
    <row r="11" spans="2:4" x14ac:dyDescent="0.35">
      <c r="D11" t="s">
        <v>437</v>
      </c>
    </row>
    <row r="12" spans="2:4" x14ac:dyDescent="0.35">
      <c r="D12" t="s">
        <v>438</v>
      </c>
    </row>
    <row r="14" spans="2:4" s="229" customFormat="1" ht="21" x14ac:dyDescent="0.5">
      <c r="B14" s="228">
        <v>3</v>
      </c>
      <c r="C14" s="228" t="s">
        <v>265</v>
      </c>
    </row>
    <row r="15" spans="2:4" x14ac:dyDescent="0.35">
      <c r="D15" t="s">
        <v>439</v>
      </c>
    </row>
    <row r="17" spans="2:4" s="229" customFormat="1" ht="21" x14ac:dyDescent="0.5">
      <c r="B17" s="228">
        <v>4</v>
      </c>
      <c r="C17" s="228" t="s">
        <v>266</v>
      </c>
    </row>
    <row r="18" spans="2:4" x14ac:dyDescent="0.35">
      <c r="D18" t="s">
        <v>267</v>
      </c>
    </row>
    <row r="19" spans="2:4" x14ac:dyDescent="0.35">
      <c r="D19" t="s">
        <v>268</v>
      </c>
    </row>
    <row r="20" spans="2:4" x14ac:dyDescent="0.35">
      <c r="D20" t="s">
        <v>269</v>
      </c>
    </row>
    <row r="22" spans="2:4" s="229" customFormat="1" ht="21" x14ac:dyDescent="0.5">
      <c r="B22" s="228">
        <v>5</v>
      </c>
      <c r="C22" s="228" t="s">
        <v>270</v>
      </c>
    </row>
    <row r="23" spans="2:4" x14ac:dyDescent="0.35">
      <c r="D23" t="s">
        <v>271</v>
      </c>
    </row>
    <row r="24" spans="2:4" x14ac:dyDescent="0.35">
      <c r="D24" t="s">
        <v>440</v>
      </c>
    </row>
    <row r="25" spans="2:4" x14ac:dyDescent="0.35">
      <c r="D25" t="s">
        <v>272</v>
      </c>
    </row>
    <row r="27" spans="2:4" s="229" customFormat="1" ht="21" x14ac:dyDescent="0.5">
      <c r="B27" s="228">
        <v>6</v>
      </c>
      <c r="C27" s="228" t="s">
        <v>273</v>
      </c>
    </row>
    <row r="28" spans="2:4" x14ac:dyDescent="0.35">
      <c r="D28" t="s">
        <v>274</v>
      </c>
    </row>
    <row r="30" spans="2:4" s="229" customFormat="1" ht="21" x14ac:dyDescent="0.5">
      <c r="B30" s="228">
        <v>7</v>
      </c>
      <c r="C30" s="228" t="s">
        <v>277</v>
      </c>
    </row>
    <row r="31" spans="2:4" x14ac:dyDescent="0.35">
      <c r="D31" t="s">
        <v>278</v>
      </c>
    </row>
    <row r="33" spans="2:9" s="229" customFormat="1" ht="21" x14ac:dyDescent="0.5">
      <c r="B33" s="228">
        <v>8</v>
      </c>
      <c r="C33" s="228" t="s">
        <v>282</v>
      </c>
    </row>
    <row r="34" spans="2:9" x14ac:dyDescent="0.35">
      <c r="D34" t="s">
        <v>283</v>
      </c>
    </row>
    <row r="35" spans="2:9" x14ac:dyDescent="0.35">
      <c r="D35" t="s">
        <v>284</v>
      </c>
    </row>
    <row r="37" spans="2:9" s="229" customFormat="1" ht="21" x14ac:dyDescent="0.5">
      <c r="B37" s="228">
        <v>9</v>
      </c>
      <c r="C37" s="228" t="s">
        <v>279</v>
      </c>
    </row>
    <row r="38" spans="2:9" x14ac:dyDescent="0.35">
      <c r="D38" t="s">
        <v>280</v>
      </c>
    </row>
    <row r="39" spans="2:9" x14ac:dyDescent="0.35">
      <c r="F39" s="220" t="s">
        <v>281</v>
      </c>
      <c r="G39" t="s">
        <v>286</v>
      </c>
    </row>
    <row r="40" spans="2:9" x14ac:dyDescent="0.35">
      <c r="F40" s="220" t="s">
        <v>285</v>
      </c>
      <c r="G40" t="s">
        <v>287</v>
      </c>
    </row>
    <row r="41" spans="2:9" x14ac:dyDescent="0.35">
      <c r="F41" s="220" t="s">
        <v>288</v>
      </c>
      <c r="G41" t="s">
        <v>289</v>
      </c>
    </row>
    <row r="42" spans="2:9" x14ac:dyDescent="0.35">
      <c r="F42" s="220" t="s">
        <v>290</v>
      </c>
      <c r="G42" t="s">
        <v>291</v>
      </c>
    </row>
    <row r="43" spans="2:9" x14ac:dyDescent="0.35">
      <c r="G43" s="220" t="s">
        <v>292</v>
      </c>
      <c r="H43" t="s">
        <v>294</v>
      </c>
    </row>
    <row r="44" spans="2:9" x14ac:dyDescent="0.35">
      <c r="G44" s="220" t="s">
        <v>293</v>
      </c>
      <c r="H44" t="s">
        <v>295</v>
      </c>
    </row>
    <row r="45" spans="2:9" x14ac:dyDescent="0.35">
      <c r="G45" s="1" t="s">
        <v>296</v>
      </c>
      <c r="H45" t="s">
        <v>297</v>
      </c>
    </row>
    <row r="46" spans="2:9" x14ac:dyDescent="0.35">
      <c r="I46" t="s">
        <v>298</v>
      </c>
    </row>
    <row r="47" spans="2:9" x14ac:dyDescent="0.35">
      <c r="G47" s="220" t="s">
        <v>299</v>
      </c>
      <c r="H47" t="s">
        <v>300</v>
      </c>
    </row>
    <row r="48" spans="2:9" x14ac:dyDescent="0.35">
      <c r="I48" t="s">
        <v>301</v>
      </c>
    </row>
    <row r="49" spans="2:20" x14ac:dyDescent="0.35">
      <c r="G49" s="220" t="s">
        <v>302</v>
      </c>
      <c r="H49" t="s">
        <v>303</v>
      </c>
    </row>
    <row r="50" spans="2:20" x14ac:dyDescent="0.35">
      <c r="D50" s="344" t="s">
        <v>446</v>
      </c>
      <c r="E50" s="344"/>
      <c r="F50" s="344"/>
      <c r="G50" s="344"/>
      <c r="H50" t="s">
        <v>447</v>
      </c>
    </row>
    <row r="51" spans="2:20" x14ac:dyDescent="0.35">
      <c r="D51" s="344"/>
      <c r="E51" s="344"/>
      <c r="F51" s="344"/>
      <c r="G51" s="344"/>
    </row>
    <row r="52" spans="2:20" x14ac:dyDescent="0.35">
      <c r="D52" s="344"/>
      <c r="E52" s="344"/>
      <c r="F52" s="344"/>
      <c r="G52" s="344"/>
    </row>
    <row r="54" spans="2:20" s="229" customFormat="1" ht="21" x14ac:dyDescent="0.5">
      <c r="B54" s="228">
        <v>10</v>
      </c>
      <c r="C54" s="228" t="s">
        <v>304</v>
      </c>
    </row>
    <row r="55" spans="2:20" x14ac:dyDescent="0.35">
      <c r="D55" t="s">
        <v>305</v>
      </c>
    </row>
    <row r="56" spans="2:20" x14ac:dyDescent="0.35">
      <c r="D56" t="s">
        <v>306</v>
      </c>
    </row>
    <row r="57" spans="2:20" x14ac:dyDescent="0.35">
      <c r="F57" s="220" t="s">
        <v>307</v>
      </c>
      <c r="G57" t="s">
        <v>308</v>
      </c>
    </row>
    <row r="58" spans="2:20" x14ac:dyDescent="0.35">
      <c r="H58" t="s">
        <v>309</v>
      </c>
    </row>
    <row r="59" spans="2:20" x14ac:dyDescent="0.35">
      <c r="I59" t="s">
        <v>311</v>
      </c>
      <c r="N59" t="s">
        <v>310</v>
      </c>
    </row>
    <row r="60" spans="2:20" x14ac:dyDescent="0.35">
      <c r="I60" t="s">
        <v>312</v>
      </c>
      <c r="N60" t="s">
        <v>313</v>
      </c>
      <c r="T60" t="s">
        <v>321</v>
      </c>
    </row>
    <row r="61" spans="2:20" x14ac:dyDescent="0.35">
      <c r="I61" t="s">
        <v>314</v>
      </c>
      <c r="N61" t="s">
        <v>315</v>
      </c>
      <c r="T61" t="s">
        <v>321</v>
      </c>
    </row>
    <row r="62" spans="2:20" x14ac:dyDescent="0.35">
      <c r="N62" t="s">
        <v>316</v>
      </c>
    </row>
    <row r="63" spans="2:20" x14ac:dyDescent="0.35">
      <c r="F63" s="220" t="s">
        <v>317</v>
      </c>
      <c r="G63" t="s">
        <v>318</v>
      </c>
    </row>
    <row r="64" spans="2:20" x14ac:dyDescent="0.35">
      <c r="F64" s="220" t="s">
        <v>322</v>
      </c>
      <c r="G64" t="s">
        <v>323</v>
      </c>
    </row>
    <row r="65" spans="2:30" x14ac:dyDescent="0.35">
      <c r="H65" t="s">
        <v>324</v>
      </c>
    </row>
    <row r="66" spans="2:30" x14ac:dyDescent="0.35">
      <c r="I66" t="s">
        <v>325</v>
      </c>
    </row>
    <row r="67" spans="2:30" x14ac:dyDescent="0.35">
      <c r="G67" t="s">
        <v>326</v>
      </c>
    </row>
    <row r="68" spans="2:30" x14ac:dyDescent="0.35">
      <c r="F68" s="220" t="s">
        <v>319</v>
      </c>
      <c r="G68" t="s">
        <v>320</v>
      </c>
      <c r="AD68" t="s">
        <v>321</v>
      </c>
    </row>
    <row r="69" spans="2:30" x14ac:dyDescent="0.35">
      <c r="H69" t="s">
        <v>342</v>
      </c>
    </row>
    <row r="71" spans="2:30" s="229" customFormat="1" ht="21" x14ac:dyDescent="0.5">
      <c r="B71" s="228">
        <v>11</v>
      </c>
      <c r="C71" s="228" t="s">
        <v>327</v>
      </c>
    </row>
    <row r="72" spans="2:30" x14ac:dyDescent="0.35">
      <c r="D72" t="s">
        <v>328</v>
      </c>
    </row>
    <row r="73" spans="2:30" x14ac:dyDescent="0.35">
      <c r="D73" t="s">
        <v>329</v>
      </c>
    </row>
    <row r="74" spans="2:30" x14ac:dyDescent="0.35">
      <c r="D74" t="s">
        <v>330</v>
      </c>
    </row>
    <row r="76" spans="2:30" s="229" customFormat="1" ht="21" x14ac:dyDescent="0.5">
      <c r="B76" s="228">
        <v>12</v>
      </c>
      <c r="C76" s="228" t="s">
        <v>331</v>
      </c>
    </row>
    <row r="77" spans="2:30" x14ac:dyDescent="0.35">
      <c r="D77" t="s">
        <v>332</v>
      </c>
    </row>
    <row r="78" spans="2:30" x14ac:dyDescent="0.35">
      <c r="D78" t="s">
        <v>333</v>
      </c>
    </row>
    <row r="79" spans="2:30" x14ac:dyDescent="0.35">
      <c r="E79" s="220" t="s">
        <v>334</v>
      </c>
      <c r="F79" t="s">
        <v>338</v>
      </c>
    </row>
    <row r="80" spans="2:30" x14ac:dyDescent="0.35">
      <c r="G80" t="s">
        <v>344</v>
      </c>
    </row>
    <row r="81" spans="2:7" x14ac:dyDescent="0.35">
      <c r="G81" t="s">
        <v>339</v>
      </c>
    </row>
    <row r="82" spans="2:7" x14ac:dyDescent="0.35">
      <c r="E82" s="220" t="s">
        <v>340</v>
      </c>
      <c r="F82" t="s">
        <v>341</v>
      </c>
    </row>
    <row r="83" spans="2:7" x14ac:dyDescent="0.35">
      <c r="G83" t="s">
        <v>343</v>
      </c>
    </row>
    <row r="85" spans="2:7" s="229" customFormat="1" ht="21" x14ac:dyDescent="0.5">
      <c r="B85" s="228">
        <v>13</v>
      </c>
      <c r="C85" s="228" t="s">
        <v>345</v>
      </c>
    </row>
    <row r="86" spans="2:7" x14ac:dyDescent="0.35">
      <c r="D86" t="s">
        <v>346</v>
      </c>
    </row>
    <row r="87" spans="2:7" x14ac:dyDescent="0.35">
      <c r="E87" s="220" t="s">
        <v>347</v>
      </c>
      <c r="F87" t="s">
        <v>350</v>
      </c>
    </row>
    <row r="88" spans="2:7" x14ac:dyDescent="0.35">
      <c r="E88" s="220"/>
      <c r="F88" t="s">
        <v>351</v>
      </c>
    </row>
    <row r="89" spans="2:7" x14ac:dyDescent="0.35">
      <c r="E89" s="220"/>
      <c r="F89" t="s">
        <v>352</v>
      </c>
    </row>
    <row r="90" spans="2:7" x14ac:dyDescent="0.35">
      <c r="E90" s="220"/>
      <c r="F90" t="s">
        <v>353</v>
      </c>
    </row>
    <row r="91" spans="2:7" x14ac:dyDescent="0.35">
      <c r="E91" s="220"/>
      <c r="F91" t="s">
        <v>354</v>
      </c>
    </row>
    <row r="92" spans="2:7" x14ac:dyDescent="0.35">
      <c r="E92" s="220" t="s">
        <v>348</v>
      </c>
      <c r="F92" t="s">
        <v>355</v>
      </c>
    </row>
    <row r="93" spans="2:7" x14ac:dyDescent="0.35">
      <c r="E93" s="220"/>
      <c r="F93" t="s">
        <v>356</v>
      </c>
    </row>
    <row r="94" spans="2:7" x14ac:dyDescent="0.35">
      <c r="E94" s="220" t="s">
        <v>349</v>
      </c>
      <c r="F94" t="s">
        <v>357</v>
      </c>
    </row>
    <row r="96" spans="2:7" s="229" customFormat="1" ht="21" x14ac:dyDescent="0.5">
      <c r="B96" s="228">
        <v>14</v>
      </c>
      <c r="C96" s="228" t="s">
        <v>417</v>
      </c>
    </row>
    <row r="97" spans="2:6" x14ac:dyDescent="0.35">
      <c r="D97" t="s">
        <v>358</v>
      </c>
    </row>
    <row r="98" spans="2:6" x14ac:dyDescent="0.35">
      <c r="E98" s="220" t="s">
        <v>359</v>
      </c>
      <c r="F98" t="s">
        <v>366</v>
      </c>
    </row>
    <row r="99" spans="2:6" x14ac:dyDescent="0.35">
      <c r="E99" s="220" t="s">
        <v>360</v>
      </c>
      <c r="F99" t="s">
        <v>367</v>
      </c>
    </row>
    <row r="100" spans="2:6" x14ac:dyDescent="0.35">
      <c r="E100" s="220" t="s">
        <v>361</v>
      </c>
      <c r="F100" t="s">
        <v>365</v>
      </c>
    </row>
    <row r="101" spans="2:6" x14ac:dyDescent="0.35">
      <c r="E101" s="220" t="s">
        <v>362</v>
      </c>
      <c r="F101" t="s">
        <v>364</v>
      </c>
    </row>
    <row r="102" spans="2:6" x14ac:dyDescent="0.35">
      <c r="E102" s="220" t="s">
        <v>363</v>
      </c>
      <c r="F102" t="s">
        <v>368</v>
      </c>
    </row>
    <row r="104" spans="2:6" s="229" customFormat="1" ht="21" x14ac:dyDescent="0.5">
      <c r="B104" s="228">
        <v>15</v>
      </c>
      <c r="C104" s="228" t="s">
        <v>335</v>
      </c>
    </row>
    <row r="105" spans="2:6" x14ac:dyDescent="0.35">
      <c r="D105" t="s">
        <v>336</v>
      </c>
    </row>
    <row r="106" spans="2:6" x14ac:dyDescent="0.35">
      <c r="D106" t="s">
        <v>337</v>
      </c>
    </row>
    <row r="108" spans="2:6" s="229" customFormat="1" ht="21" x14ac:dyDescent="0.5">
      <c r="B108" s="228">
        <v>16</v>
      </c>
      <c r="C108" s="228" t="s">
        <v>369</v>
      </c>
    </row>
    <row r="109" spans="2:6" x14ac:dyDescent="0.35">
      <c r="D109" t="s">
        <v>370</v>
      </c>
    </row>
    <row r="110" spans="2:6" x14ac:dyDescent="0.35">
      <c r="D110" t="s">
        <v>371</v>
      </c>
    </row>
    <row r="111" spans="2:6" x14ac:dyDescent="0.35">
      <c r="D111" t="s">
        <v>372</v>
      </c>
    </row>
    <row r="114" spans="2:6" ht="18.5" x14ac:dyDescent="0.45">
      <c r="B114" s="233" t="s">
        <v>410</v>
      </c>
    </row>
    <row r="116" spans="2:6" s="229" customFormat="1" ht="21" x14ac:dyDescent="0.5">
      <c r="B116" s="227">
        <v>17</v>
      </c>
      <c r="C116" s="227" t="s">
        <v>389</v>
      </c>
    </row>
    <row r="117" spans="2:6" x14ac:dyDescent="0.35">
      <c r="D117" t="s">
        <v>396</v>
      </c>
    </row>
    <row r="118" spans="2:6" x14ac:dyDescent="0.35">
      <c r="E118" t="s">
        <v>397</v>
      </c>
    </row>
    <row r="119" spans="2:6" x14ac:dyDescent="0.35">
      <c r="E119" t="s">
        <v>398</v>
      </c>
    </row>
    <row r="120" spans="2:6" x14ac:dyDescent="0.35">
      <c r="E120" t="s">
        <v>400</v>
      </c>
    </row>
    <row r="121" spans="2:6" s="231" customFormat="1" x14ac:dyDescent="0.35">
      <c r="F121" s="232" t="s">
        <v>399</v>
      </c>
    </row>
    <row r="122" spans="2:6" s="231" customFormat="1" x14ac:dyDescent="0.35">
      <c r="F122" s="232"/>
    </row>
    <row r="123" spans="2:6" s="231" customFormat="1" x14ac:dyDescent="0.35">
      <c r="E123" s="232" t="s">
        <v>401</v>
      </c>
      <c r="F123" s="232"/>
    </row>
    <row r="124" spans="2:6" s="231" customFormat="1" x14ac:dyDescent="0.35">
      <c r="F124" s="232" t="s">
        <v>402</v>
      </c>
    </row>
    <row r="125" spans="2:6" s="231" customFormat="1" x14ac:dyDescent="0.35">
      <c r="F125" s="232" t="s">
        <v>403</v>
      </c>
    </row>
    <row r="126" spans="2:6" x14ac:dyDescent="0.35">
      <c r="F126" s="232" t="s">
        <v>404</v>
      </c>
    </row>
    <row r="127" spans="2:6" x14ac:dyDescent="0.35">
      <c r="F127" s="232"/>
    </row>
    <row r="128" spans="2:6" s="229" customFormat="1" ht="21" x14ac:dyDescent="0.5">
      <c r="B128" s="227">
        <v>18</v>
      </c>
      <c r="C128" s="227" t="s">
        <v>390</v>
      </c>
    </row>
    <row r="129" spans="2:4" x14ac:dyDescent="0.35">
      <c r="D129" t="s">
        <v>405</v>
      </c>
    </row>
    <row r="130" spans="2:4" x14ac:dyDescent="0.35">
      <c r="D130" t="s">
        <v>406</v>
      </c>
    </row>
    <row r="131" spans="2:4" x14ac:dyDescent="0.35">
      <c r="D131" t="s">
        <v>407</v>
      </c>
    </row>
    <row r="132" spans="2:4" x14ac:dyDescent="0.35">
      <c r="D132" t="s">
        <v>408</v>
      </c>
    </row>
    <row r="134" spans="2:4" s="229" customFormat="1" ht="21" x14ac:dyDescent="0.5">
      <c r="B134" s="227">
        <v>19</v>
      </c>
      <c r="C134" s="227" t="s">
        <v>392</v>
      </c>
    </row>
    <row r="135" spans="2:4" x14ac:dyDescent="0.35">
      <c r="D135" t="s">
        <v>393</v>
      </c>
    </row>
    <row r="137" spans="2:4" s="229" customFormat="1" ht="21" x14ac:dyDescent="0.5">
      <c r="B137" s="227">
        <v>20</v>
      </c>
      <c r="C137" s="227" t="s">
        <v>394</v>
      </c>
    </row>
    <row r="138" spans="2:4" x14ac:dyDescent="0.35">
      <c r="D138" t="s">
        <v>395</v>
      </c>
    </row>
    <row r="140" spans="2:4" s="229" customFormat="1" ht="21" x14ac:dyDescent="0.5">
      <c r="B140" s="227">
        <v>21</v>
      </c>
      <c r="C140" s="227" t="s">
        <v>379</v>
      </c>
    </row>
    <row r="141" spans="2:4" x14ac:dyDescent="0.35">
      <c r="D141" t="s">
        <v>373</v>
      </c>
    </row>
    <row r="142" spans="2:4" x14ac:dyDescent="0.35">
      <c r="D142" t="s">
        <v>374</v>
      </c>
    </row>
    <row r="144" spans="2:4" s="229" customFormat="1" ht="21" x14ac:dyDescent="0.5">
      <c r="B144" s="227">
        <v>22</v>
      </c>
      <c r="C144" s="227" t="s">
        <v>380</v>
      </c>
    </row>
    <row r="145" spans="2:4" x14ac:dyDescent="0.35">
      <c r="D145" t="s">
        <v>375</v>
      </c>
    </row>
    <row r="146" spans="2:4" x14ac:dyDescent="0.35">
      <c r="D146" t="s">
        <v>376</v>
      </c>
    </row>
    <row r="147" spans="2:4" x14ac:dyDescent="0.35">
      <c r="D147" t="s">
        <v>377</v>
      </c>
    </row>
    <row r="148" spans="2:4" x14ac:dyDescent="0.35">
      <c r="D148" t="s">
        <v>378</v>
      </c>
    </row>
    <row r="151" spans="2:4" ht="18.5" x14ac:dyDescent="0.45">
      <c r="B151" s="233" t="s">
        <v>411</v>
      </c>
    </row>
    <row r="153" spans="2:4" s="229" customFormat="1" ht="21" x14ac:dyDescent="0.5">
      <c r="B153" s="230">
        <v>23</v>
      </c>
      <c r="C153" s="230" t="s">
        <v>420</v>
      </c>
    </row>
    <row r="154" spans="2:4" x14ac:dyDescent="0.35">
      <c r="D154" t="s">
        <v>381</v>
      </c>
    </row>
    <row r="155" spans="2:4" x14ac:dyDescent="0.35">
      <c r="D155" t="s">
        <v>382</v>
      </c>
    </row>
    <row r="156" spans="2:4" x14ac:dyDescent="0.35">
      <c r="D156" t="s">
        <v>383</v>
      </c>
    </row>
    <row r="157" spans="2:4" x14ac:dyDescent="0.35">
      <c r="D157" t="s">
        <v>384</v>
      </c>
    </row>
    <row r="159" spans="2:4" s="229" customFormat="1" ht="21" x14ac:dyDescent="0.5">
      <c r="B159" s="230">
        <v>24</v>
      </c>
      <c r="C159" s="230" t="s">
        <v>418</v>
      </c>
    </row>
    <row r="160" spans="2:4" x14ac:dyDescent="0.35">
      <c r="D160" t="s">
        <v>412</v>
      </c>
    </row>
    <row r="161" spans="2:4" x14ac:dyDescent="0.35">
      <c r="D161" t="s">
        <v>413</v>
      </c>
    </row>
    <row r="162" spans="2:4" x14ac:dyDescent="0.35">
      <c r="D162" t="s">
        <v>414</v>
      </c>
    </row>
    <row r="163" spans="2:4" x14ac:dyDescent="0.35">
      <c r="D163" t="s">
        <v>415</v>
      </c>
    </row>
    <row r="165" spans="2:4" s="229" customFormat="1" ht="21" x14ac:dyDescent="0.5">
      <c r="B165" s="230">
        <v>25</v>
      </c>
      <c r="C165" s="230" t="s">
        <v>385</v>
      </c>
    </row>
    <row r="166" spans="2:4" x14ac:dyDescent="0.35">
      <c r="D166" t="s">
        <v>386</v>
      </c>
    </row>
    <row r="167" spans="2:4" x14ac:dyDescent="0.35">
      <c r="D167" t="s">
        <v>387</v>
      </c>
    </row>
    <row r="168" spans="2:4" x14ac:dyDescent="0.35">
      <c r="D168" t="s">
        <v>388</v>
      </c>
    </row>
    <row r="172" spans="2:4" ht="18.5" x14ac:dyDescent="0.45">
      <c r="B172" s="233" t="s">
        <v>416</v>
      </c>
    </row>
    <row r="174" spans="2:4" s="229" customFormat="1" ht="21" x14ac:dyDescent="0.5">
      <c r="B174" s="226">
        <v>26</v>
      </c>
      <c r="C174" s="226" t="s">
        <v>419</v>
      </c>
    </row>
    <row r="175" spans="2:4" x14ac:dyDescent="0.35">
      <c r="C175" t="s">
        <v>391</v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1360130-ace9-4116-92dd-ec756f4e397b">
      <Terms xmlns="http://schemas.microsoft.com/office/infopath/2007/PartnerControls"/>
    </TaxKeywordTaxHTField>
    <DocDescription xmlns="a1360130-ace9-4116-92dd-ec756f4e397b">Template provides advanced features to prepare rough and ballpark estimates for a given requirement, project or RFP. It also contains sample WBS task items.</DocDescription>
    <TaxCatchAll xmlns="a1360130-ace9-4116-92dd-ec756f4e397b"/>
    <People xmlns="a1360130-ace9-4116-92dd-ec756f4e397b">
      <UserInfo>
        <DisplayName/>
        <AccountId xsi:nil="true"/>
        <AccountType/>
      </UserInfo>
    </People>
    <DocumentVersion xmlns="a1360130-ace9-4116-92dd-ec756f4e397b" xsi:nil="true"/>
    <SVNLocation xmlns="a1360130-ace9-4116-92dd-ec756f4e397b" xsi:nil="true"/>
    <Links xmlns="a1360130-ace9-4116-92dd-ec756f4e397b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AnS Document" ma:contentTypeID="0x01010042D37EA284E13942B467171D07EA769900DF6D81BBF89D0D4DA19794E72F57D948" ma:contentTypeVersion="19" ma:contentTypeDescription="" ma:contentTypeScope="" ma:versionID="3b6de457559cd0436ceb29123c467a76">
  <xsd:schema xmlns:xsd="http://www.w3.org/2001/XMLSchema" xmlns:xs="http://www.w3.org/2001/XMLSchema" xmlns:p="http://schemas.microsoft.com/office/2006/metadata/properties" xmlns:ns2="a1360130-ace9-4116-92dd-ec756f4e397b" xmlns:ns3="97082568-3af7-4690-b0aa-7486844aca3d" targetNamespace="http://schemas.microsoft.com/office/2006/metadata/properties" ma:root="true" ma:fieldsID="14d79c159d607aa21ba2c8d09858bf7e" ns2:_="" ns3:_="">
    <xsd:import namespace="a1360130-ace9-4116-92dd-ec756f4e397b"/>
    <xsd:import namespace="97082568-3af7-4690-b0aa-7486844aca3d"/>
    <xsd:element name="properties">
      <xsd:complexType>
        <xsd:sequence>
          <xsd:element name="documentManagement">
            <xsd:complexType>
              <xsd:all>
                <xsd:element ref="ns2:DocDescription" minOccurs="0"/>
                <xsd:element ref="ns2:People" minOccurs="0"/>
                <xsd:element ref="ns2:Links" minOccurs="0"/>
                <xsd:element ref="ns2:SVNLocation" minOccurs="0"/>
                <xsd:element ref="ns2:DocumentVersion" minOccurs="0"/>
                <xsd:element ref="ns2:TaxCatchAll" minOccurs="0"/>
                <xsd:element ref="ns2:TaxCatchAllLabel" minOccurs="0"/>
                <xsd:element ref="ns2:TaxKeywordTaxHTField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360130-ace9-4116-92dd-ec756f4e397b" elementFormDefault="qualified">
    <xsd:import namespace="http://schemas.microsoft.com/office/2006/documentManagement/types"/>
    <xsd:import namespace="http://schemas.microsoft.com/office/infopath/2007/PartnerControls"/>
    <xsd:element name="DocDescription" ma:index="2" nillable="true" ma:displayName="Document Description" ma:internalName="DocDescription">
      <xsd:simpleType>
        <xsd:restriction base="dms:Note">
          <xsd:maxLength value="255"/>
        </xsd:restriction>
      </xsd:simpleType>
    </xsd:element>
    <xsd:element name="People" ma:index="3" nillable="true" ma:displayName="People" ma:list="UserInfo" ma:SharePointGroup="0" ma:internalName="People" ma:showField="ImnNam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Links" ma:index="4" nillable="true" ma:displayName="Links" ma:list="{8ca7dfac-ece5-4247-b95a-1e5850de886b}" ma:internalName="Links" ma:showField="Title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VNLocation" ma:index="5" nillable="true" ma:displayName="SVNLocation" ma:internalName="SVNLocation">
      <xsd:simpleType>
        <xsd:restriction base="dms:Note">
          <xsd:maxLength value="255"/>
        </xsd:restriction>
      </xsd:simpleType>
    </xsd:element>
    <xsd:element name="DocumentVersion" ma:index="6" nillable="true" ma:displayName="DocumentVersion" ma:internalName="DocumentVersion">
      <xsd:simpleType>
        <xsd:restriction base="dms:Text">
          <xsd:maxLength value="255"/>
        </xsd:restriction>
      </xsd:simpleType>
    </xsd:element>
    <xsd:element name="TaxCatchAll" ma:index="10" nillable="true" ma:displayName="Taxonomy Catch All Column" ma:description="" ma:hidden="true" ma:list="{1b91a5dd-074b-4091-ae28-72dfdb61e466}" ma:internalName="TaxCatchAll" ma:showField="CatchAllData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1" nillable="true" ma:displayName="Taxonomy Catch All Column1" ma:description="" ma:hidden="true" ma:list="{1b91a5dd-074b-4091-ae28-72dfdb61e466}" ma:internalName="TaxCatchAllLabel" ma:readOnly="true" ma:showField="CatchAllDataLabel" ma:web="a1360130-ace9-4116-92dd-ec756f4e397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Tags" ma:fieldId="{23f27201-bee3-471e-b2e7-b64fd8b7ca38}" ma:taxonomyMulti="true" ma:sspId="e2715f63-63d5-4241-9ac6-6337b509393b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7082568-3af7-4690-b0aa-7486844a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7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8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5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82F824C-B5E3-4BD3-92A1-2403F6E69E7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55A3788-A2C5-49FE-A0B1-252591E114BF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a1360130-ace9-4116-92dd-ec756f4e397b"/>
    <ds:schemaRef ds:uri="http://purl.org/dc/elements/1.1/"/>
    <ds:schemaRef ds:uri="http://schemas.microsoft.com/office/2006/metadata/properties"/>
    <ds:schemaRef ds:uri="97082568-3af7-4690-b0aa-7486844a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9EF3843-EEF4-4BA1-AA02-A0818997DD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360130-ace9-4116-92dd-ec756f4e397b"/>
    <ds:schemaRef ds:uri="97082568-3af7-4690-b0aa-7486844a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88</vt:i4>
      </vt:variant>
    </vt:vector>
  </HeadingPairs>
  <TitlesOfParts>
    <vt:vector size="94" baseType="lpstr">
      <vt:lpstr>Lists</vt:lpstr>
      <vt:lpstr>Estimation</vt:lpstr>
      <vt:lpstr>Schedule</vt:lpstr>
      <vt:lpstr>RoughWork</vt:lpstr>
      <vt:lpstr>Help</vt:lpstr>
      <vt:lpstr>FAQs</vt:lpstr>
      <vt:lpstr>ACTIVITY_RANGE</vt:lpstr>
      <vt:lpstr>AS_DEV_EFFORT</vt:lpstr>
      <vt:lpstr>AS_DURATION_EFFORT</vt:lpstr>
      <vt:lpstr>AS_MANUAL_DURATION_EFFORT</vt:lpstr>
      <vt:lpstr>AUTOMATED_END_DATE</vt:lpstr>
      <vt:lpstr>BUFFER_TYPES_LIST</vt:lpstr>
      <vt:lpstr>BUFFERS_BY_TYPE</vt:lpstr>
      <vt:lpstr>CHOSEN_CURRENCY</vt:lpstr>
      <vt:lpstr>CLIENT_NAME</vt:lpstr>
      <vt:lpstr>COMPACT_WBS</vt:lpstr>
      <vt:lpstr>COPY_TYPE</vt:lpstr>
      <vt:lpstr>CURRENCIES_LIST</vt:lpstr>
      <vt:lpstr>CUSTOM_PERCENT</vt:lpstr>
      <vt:lpstr>DESIGN_COST</vt:lpstr>
      <vt:lpstr>DESIGN_EFFORT</vt:lpstr>
      <vt:lpstr>DESIGN_RANGE</vt:lpstr>
      <vt:lpstr>DESIGN_TA_COUNT</vt:lpstr>
      <vt:lpstr>DESIGN_TA_PERCENT</vt:lpstr>
      <vt:lpstr>DEV_COST</vt:lpstr>
      <vt:lpstr>DEV_DEV_COUNT</vt:lpstr>
      <vt:lpstr>DEV_DEV_PERCENT</vt:lpstr>
      <vt:lpstr>DEV_EFFORT</vt:lpstr>
      <vt:lpstr>DEV_RANGE</vt:lpstr>
      <vt:lpstr>DURATION</vt:lpstr>
      <vt:lpstr>EXTRA_FOR_H</vt:lpstr>
      <vt:lpstr>EXTRAS_ARRAY</vt:lpstr>
      <vt:lpstr>EXTRAS_LIST</vt:lpstr>
      <vt:lpstr>FBS</vt:lpstr>
      <vt:lpstr>FBS_FORMAT</vt:lpstr>
      <vt:lpstr>FBS_INSERT_AT</vt:lpstr>
      <vt:lpstr>FBS_LINK</vt:lpstr>
      <vt:lpstr>FBS_RANGE</vt:lpstr>
      <vt:lpstr>FULL_WBS</vt:lpstr>
      <vt:lpstr>INCLUDE_OPTIONALS_LIST</vt:lpstr>
      <vt:lpstr>IS_KEY_OPP</vt:lpstr>
      <vt:lpstr>LESS_FOR_L</vt:lpstr>
      <vt:lpstr>MANUAL_DURATION</vt:lpstr>
      <vt:lpstr>MANUAL_END_DATE</vt:lpstr>
      <vt:lpstr>MAX_EFFORT_PERCENT</vt:lpstr>
      <vt:lpstr>MIN_EFFORT_PERCENT</vt:lpstr>
      <vt:lpstr>MODULE_RANGE</vt:lpstr>
      <vt:lpstr>NOT_IN_COMPACT</vt:lpstr>
      <vt:lpstr>OTHER_COST</vt:lpstr>
      <vt:lpstr>OTHER_EFFORT</vt:lpstr>
      <vt:lpstr>OTHER_TL_COUNT</vt:lpstr>
      <vt:lpstr>OTHER_TL_PERCENT</vt:lpstr>
      <vt:lpstr>OTHERS_RANGE</vt:lpstr>
      <vt:lpstr>PLATFORM</vt:lpstr>
      <vt:lpstr>PLATFORMS_LIST</vt:lpstr>
      <vt:lpstr>Estimation!Print_Area</vt:lpstr>
      <vt:lpstr>PROJECT_NAME</vt:lpstr>
      <vt:lpstr>PROJECT_TYPE</vt:lpstr>
      <vt:lpstr>PROJECT_TYPES_LIST</vt:lpstr>
      <vt:lpstr>QA_COST</vt:lpstr>
      <vt:lpstr>QA_EFFORT</vt:lpstr>
      <vt:lpstr>QA_RANGE</vt:lpstr>
      <vt:lpstr>REGIONS_LIST</vt:lpstr>
      <vt:lpstr>REQ_BA_COUNT</vt:lpstr>
      <vt:lpstr>REQ_BA_PERCENT</vt:lpstr>
      <vt:lpstr>REQ_COST</vt:lpstr>
      <vt:lpstr>REQ_EFFORT</vt:lpstr>
      <vt:lpstr>REQ_RANGE</vt:lpstr>
      <vt:lpstr>RFP_NAME</vt:lpstr>
      <vt:lpstr>ROLES_LIST</vt:lpstr>
      <vt:lpstr>SALES_CALL_SCALE_ARRAY</vt:lpstr>
      <vt:lpstr>SALES_CALL_SCALE_LIST</vt:lpstr>
      <vt:lpstr>SALES_DECISION_TABLE</vt:lpstr>
      <vt:lpstr>SECTION_RANGE</vt:lpstr>
      <vt:lpstr>START_DATE</vt:lpstr>
      <vt:lpstr>TASK_RANGE</vt:lpstr>
      <vt:lpstr>TEMPLATE_NAME</vt:lpstr>
      <vt:lpstr>TEMPLATE_SECTION</vt:lpstr>
      <vt:lpstr>TEMPLATE_VER</vt:lpstr>
      <vt:lpstr>TESTING_QA_COUNT</vt:lpstr>
      <vt:lpstr>TESTING_QA_PERCENT</vt:lpstr>
      <vt:lpstr>TOTAL_COST</vt:lpstr>
      <vt:lpstr>TOTAL_EFFORT</vt:lpstr>
      <vt:lpstr>Total_FRs</vt:lpstr>
      <vt:lpstr>Total_Screens</vt:lpstr>
      <vt:lpstr>Total_Test_Cases</vt:lpstr>
      <vt:lpstr>Total_Use_Cases</vt:lpstr>
      <vt:lpstr>TOTAL_WEEKS</vt:lpstr>
      <vt:lpstr>UAT_COST</vt:lpstr>
      <vt:lpstr>UAT_DEV_COUNT</vt:lpstr>
      <vt:lpstr>UAT_DEV_PERCENT</vt:lpstr>
      <vt:lpstr>UAT_EFFORT</vt:lpstr>
      <vt:lpstr>UAT_RANGE</vt:lpstr>
      <vt:lpstr>YES_NO_LIST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Estimation Template</dc:title>
  <dc:creator>Nagarro</dc:creator>
  <cp:keywords/>
  <cp:lastModifiedBy>Nagarro</cp:lastModifiedBy>
  <cp:lastPrinted>2015-06-17T10:58:29Z</cp:lastPrinted>
  <dcterms:created xsi:type="dcterms:W3CDTF">2013-10-21T05:49:27Z</dcterms:created>
  <dcterms:modified xsi:type="dcterms:W3CDTF">2019-07-09T22:05:08Z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0x01010042D37EA284E13942B467171D07EA769900DF6D81BBF89D0D4DA19794E72F57D948</vt:lpwstr>
  </property>
  <property fmtid="{D5CDD505-2E9C-101B-9397-08002B2CF9AE}" pid="3" name="Description0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4" name="TaxKeyword">
    <vt:lpwstr/>
  </property>
  <property fmtid="{D5CDD505-2E9C-101B-9397-08002B2CF9AE}" pid="5" name="DocDescription">
    <vt:lpwstr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fmtid="{D5CDD505-2E9C-101B-9397-08002B2CF9AE}" pid="6" name="TaxCatchAll">
    <vt:lpwstr/>
  </property>
  <property fmtid="{D5CDD505-2E9C-101B-9397-08002B2CF9AE}" pid="7" name="SharedWithUsers">
    <vt:lpwstr>31;#Ridhi Jain;#32;#All Users (membership)</vt:lpwstr>
  </property>
</Properties>
</file>