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codeName="{B6124F1A-AFFB-F854-7757-9A1D4C6FC43C}"/>
  <workbookPr codeName="ThisWorkbook"/>
  <mc:AlternateContent xmlns:mc="http://schemas.openxmlformats.org/markup-compatibility/2006">
    <mc:Choice Requires="x15">
      <x15ac:absPath xmlns:x15ac="http://schemas.microsoft.com/office/spreadsheetml/2010/11/ac" url="C:\Users\sanjeet2126\Desktop\Assessment for Assc Architect\Artifacts\"/>
    </mc:Choice>
  </mc:AlternateContent>
  <xr:revisionPtr revIDLastSave="0" documentId="13_ncr:1_{09DEBA91-C245-4766-AC29-660BC8EC9631}" xr6:coauthVersionLast="47" xr6:coauthVersionMax="47" xr10:uidLastSave="{00000000-0000-0000-0000-000000000000}"/>
  <workbookProtection workbookAlgorithmName="SHA-512" workbookHashValue="wzFoNzfVdL4Dmi+OGf0QVZyL3cjNKyvkR4xrmj9yq6Nei1SEI13Qf7QZ6Sk+CuW13o41oCxG+H2FZpbHK7JX0Q==" workbookSaltValue="28P0ZPqQNJMHt9isURrkZA==" workbookSpinCount="100000" lockStructure="1"/>
  <bookViews>
    <workbookView xWindow="-110" yWindow="-110" windowWidth="19420" windowHeight="10420" tabRatio="0" firstSheet="1" activeTab="1" xr2:uid="{00000000-000D-0000-FFFF-FFFF00000000}"/>
  </bookViews>
  <sheets>
    <sheet name="Lists" sheetId="4" state="hidden" r:id="rId1"/>
    <sheet name="Estimation" sheetId="2" r:id="rId2"/>
    <sheet name="Schedule" sheetId="5" r:id="rId3"/>
    <sheet name="RoughWork" sheetId="7" r:id="rId4"/>
    <sheet name="Help" sheetId="6" r:id="rId5"/>
    <sheet name="FAQs" sheetId="8" r:id="rId6"/>
  </sheets>
  <functionGroups builtInGroupCount="19"/>
  <definedNames>
    <definedName name="ACTIVITY_RANGE">Estimation!$530:$530</definedName>
    <definedName name="AS_DEV_EFFORT">Estimation!$P$420</definedName>
    <definedName name="AS_DURATION_EFFORT">Estimation!$P$421</definedName>
    <definedName name="AS_MANUAL_DURATION_EFFORT">Estimation!$U$422</definedName>
    <definedName name="AUTOMATED_END_DATE">Estimation!$P$396</definedName>
    <definedName name="BUFFER_TYPES_LIST">Lists!$B$45:$B$48</definedName>
    <definedName name="BUFFERS_BY_TYPE">Estimation!$N$455:$O$457</definedName>
    <definedName name="CHOSEN_CURRENCY">Estimation!$O$414</definedName>
    <definedName name="CLIENT_NAME">Estimation!$O$407</definedName>
    <definedName name="COMPACT_WBS">Estimation!$L$10:$T$331</definedName>
    <definedName name="COPY_TYPE">Estimation!$R$9</definedName>
    <definedName name="CURRENCIES_LIST">Lists!$B$27:$B$29</definedName>
    <definedName name="CUSTOM_PERCENT">Estimation!$T$5</definedName>
    <definedName name="DESIGN_COST">Estimation!$W$382</definedName>
    <definedName name="DESIGN_EFFORT">Estimation!$O$382</definedName>
    <definedName name="DESIGN_RANGE">Estimation!$L$59:$AC$125</definedName>
    <definedName name="DESIGN_TA_COUNT">Estimation!$R$392</definedName>
    <definedName name="DESIGN_TA_PERCENT">Estimation!$R$382</definedName>
    <definedName name="DEV_COST">Estimation!$W$383</definedName>
    <definedName name="DEV_DEV_COUNT">Estimation!$T$393</definedName>
    <definedName name="DEV_DEV_PERCENT">Estimation!$T$383</definedName>
    <definedName name="DEV_EFFORT">Estimation!$O$383</definedName>
    <definedName name="DEV_RANGE">Estimation!$L$126:$AC$251</definedName>
    <definedName name="DURATION">Estimation!$P$397</definedName>
    <definedName name="EXTRA_FOR_H">Estimation!$O$442</definedName>
    <definedName name="EXTRAS_ARRAY">Estimation!$N$447:$O$452</definedName>
    <definedName name="EXTRAS_LIST">Estimation!$N$447:$N$452</definedName>
    <definedName name="FBS">Estimation!$L$333</definedName>
    <definedName name="FBS_FORMAT">Estimation!$S$338</definedName>
    <definedName name="FBS_INSERT_AT">Estimation!$M$370:$P$370</definedName>
    <definedName name="FBS_LINK">Estimation!$T$338</definedName>
    <definedName name="FBS_RANGE">Estimation!$M$339:$P$371</definedName>
    <definedName name="FULL_WBS">Estimation!$L$10:$AC$331</definedName>
    <definedName name="INCLUDE_OPTIONALS_LIST">Lists!$B$58:$B$59</definedName>
    <definedName name="IS_KEY_OPP">Estimation!$O$412</definedName>
    <definedName name="LESS_FOR_L">Estimation!$O$443</definedName>
    <definedName name="MANUAL_DURATION">Estimation!$P$398</definedName>
    <definedName name="MANUAL_END_DATE">Schedule!$L$1</definedName>
    <definedName name="MAX_EFFORT_PERCENT">Estimation!$P$417</definedName>
    <definedName name="MIN_EFFORT_PERCENT">Estimation!$O$417</definedName>
    <definedName name="MODULE_RANGE">Estimation!$534:$534</definedName>
    <definedName name="NOT_IN_COMPACT">Estimation!$O:$W</definedName>
    <definedName name="OTHER_COST">Estimation!$W$386</definedName>
    <definedName name="OTHER_EFFORT">Estimation!$O$386</definedName>
    <definedName name="OTHER_TL_COUNT">Estimation!$S$396</definedName>
    <definedName name="OTHER_TL_PERCENT">Estimation!$S$386</definedName>
    <definedName name="OTHERS_RANGE">Estimation!$L$324:$AC$330</definedName>
    <definedName name="PLATFORM">Estimation!$O$409</definedName>
    <definedName name="PLATFORMS_LIST">Lists!$B$38:$B$42</definedName>
    <definedName name="_xlnm.Print_Area" localSheetId="1">Estimation!$A$1:$AC$403</definedName>
    <definedName name="PROJECT_NAME">Estimation!$O$408</definedName>
    <definedName name="PROJECT_TYPE">Estimation!$O$410</definedName>
    <definedName name="PROJECT_TYPES_LIST">Lists!$B$32:$B$35</definedName>
    <definedName name="QA_COST">Estimation!$W$384</definedName>
    <definedName name="QA_EFFORT">Estimation!$O$384</definedName>
    <definedName name="QA_RANGE">Estimation!$L$252:$AC$293</definedName>
    <definedName name="REGIONS_LIST">Lists!$B$19:$B$24</definedName>
    <definedName name="REQ_BA_COUNT">Estimation!$Q$391</definedName>
    <definedName name="REQ_BA_PERCENT">Estimation!$Q$381</definedName>
    <definedName name="REQ_COST">Estimation!$W$381</definedName>
    <definedName name="REQ_EFFORT">Estimation!$O$381</definedName>
    <definedName name="REQ_RANGE">Estimation!$L$12:$AC$58</definedName>
    <definedName name="RFP_NAME">Estimation!$O$411</definedName>
    <definedName name="ROLES_LIST">Lists!$B$8:$B$16</definedName>
    <definedName name="SALES_CALL_SCALE_ARRAY">Lists!$B$51:$C$55</definedName>
    <definedName name="SALES_CALL_SCALE_LIST">Lists!$B$51:$B$55</definedName>
    <definedName name="SALES_DECISION_TABLE">Estimation!$P$447:$P$448</definedName>
    <definedName name="SECTION_RANGE">Estimation!$526:$532</definedName>
    <definedName name="START_DATE">Estimation!$O$391</definedName>
    <definedName name="TASK_RANGE">Estimation!$528:$531</definedName>
    <definedName name="TEMPLATE_NAME">Estimation!$G$3</definedName>
    <definedName name="TEMPLATE_SECTION">Estimation!$525:$535</definedName>
    <definedName name="TEMPLATE_VER">Estimation!$K$3</definedName>
    <definedName name="TESTING_QA_COUNT">Estimation!$U$394</definedName>
    <definedName name="TESTING_QA_PERCENT">Estimation!$U$384</definedName>
    <definedName name="TOTAL_COST">Estimation!$W$387</definedName>
    <definedName name="TOTAL_EFFORT">Estimation!$O$387</definedName>
    <definedName name="Total_FRs">Estimation!$Q$23</definedName>
    <definedName name="Total_Screens">Estimation!$P$56</definedName>
    <definedName name="Total_Test_Cases">Estimation!$P$264</definedName>
    <definedName name="Total_Use_Cases">Estimation!$P$41</definedName>
    <definedName name="TOTAL_WEEKS">Estimation!$P$387</definedName>
    <definedName name="UAT_COST">Estimation!$W$385</definedName>
    <definedName name="UAT_DEV_COUNT">Estimation!$T$395</definedName>
    <definedName name="UAT_DEV_PERCENT">Estimation!$T$385</definedName>
    <definedName name="UAT_EFFORT">Estimation!$O$385</definedName>
    <definedName name="UAT_RANGE">Estimation!$L$294:$AC$323</definedName>
    <definedName name="YES_NO_LIST">Lists!$B$3:$B$5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277" i="2" l="1"/>
  <c r="AA277" i="2" s="1"/>
  <c r="S277" i="2" s="1"/>
  <c r="AD277" i="2" s="1"/>
  <c r="Y276" i="2"/>
  <c r="AA276" i="2" s="1"/>
  <c r="S276" i="2" s="1"/>
  <c r="AD276" i="2" s="1"/>
  <c r="Y275" i="2"/>
  <c r="AA275" i="2" s="1"/>
  <c r="S275" i="2" s="1"/>
  <c r="AD273" i="2"/>
  <c r="Y123" i="2"/>
  <c r="AA123" i="2" s="1"/>
  <c r="S123" i="2" s="1"/>
  <c r="AD123" i="2" s="1"/>
  <c r="Y122" i="2"/>
  <c r="AA122" i="2" s="1"/>
  <c r="S122" i="2" s="1"/>
  <c r="AD122" i="2" s="1"/>
  <c r="Y121" i="2"/>
  <c r="AA121" i="2" s="1"/>
  <c r="S121" i="2" s="1"/>
  <c r="AD121" i="2" s="1"/>
  <c r="Y120" i="2"/>
  <c r="AA120" i="2" s="1"/>
  <c r="S120" i="2" s="1"/>
  <c r="AD120" i="2" s="1"/>
  <c r="Y119" i="2"/>
  <c r="AA119" i="2" s="1"/>
  <c r="S119" i="2" s="1"/>
  <c r="AD119" i="2" s="1"/>
  <c r="Y118" i="2"/>
  <c r="AA118" i="2" s="1"/>
  <c r="S118" i="2" s="1"/>
  <c r="AD118" i="2" s="1"/>
  <c r="Y117" i="2"/>
  <c r="AA117" i="2" s="1"/>
  <c r="S117" i="2" s="1"/>
  <c r="AD117" i="2" s="1"/>
  <c r="Y116" i="2"/>
  <c r="AA116" i="2" s="1"/>
  <c r="S116" i="2" s="1"/>
  <c r="AD116" i="2" s="1"/>
  <c r="Y115" i="2"/>
  <c r="AA115" i="2" s="1"/>
  <c r="S115" i="2" s="1"/>
  <c r="AD113" i="2"/>
  <c r="Y98" i="2"/>
  <c r="AA98" i="2" s="1"/>
  <c r="S98" i="2" s="1"/>
  <c r="AD98" i="2" s="1"/>
  <c r="Y103" i="2"/>
  <c r="AA103" i="2" s="1"/>
  <c r="S103" i="2" s="1"/>
  <c r="AD103" i="2" s="1"/>
  <c r="AD101" i="2"/>
  <c r="Y111" i="2"/>
  <c r="AA111" i="2" s="1"/>
  <c r="S111" i="2" s="1"/>
  <c r="AD111" i="2" s="1"/>
  <c r="Y110" i="2"/>
  <c r="AA110" i="2" s="1"/>
  <c r="S110" i="2" s="1"/>
  <c r="AD110" i="2" s="1"/>
  <c r="Y109" i="2"/>
  <c r="AA109" i="2" s="1"/>
  <c r="S109" i="2" s="1"/>
  <c r="AD109" i="2" s="1"/>
  <c r="Y108" i="2"/>
  <c r="AA108" i="2" s="1"/>
  <c r="S108" i="2" s="1"/>
  <c r="AD108" i="2" s="1"/>
  <c r="Y107" i="2"/>
  <c r="AA107" i="2" s="1"/>
  <c r="S107" i="2" s="1"/>
  <c r="AD105" i="2"/>
  <c r="Y82" i="2"/>
  <c r="AA82" i="2" s="1"/>
  <c r="S82" i="2" s="1"/>
  <c r="AD82" i="2" s="1"/>
  <c r="Y81" i="2"/>
  <c r="AA81" i="2" s="1"/>
  <c r="S81" i="2" s="1"/>
  <c r="AD81" i="2" s="1"/>
  <c r="Y80" i="2"/>
  <c r="AA80" i="2" s="1"/>
  <c r="S80" i="2" s="1"/>
  <c r="AD80" i="2" s="1"/>
  <c r="Y79" i="2"/>
  <c r="AA79" i="2" s="1"/>
  <c r="S79" i="2" s="1"/>
  <c r="AD79" i="2" s="1"/>
  <c r="Y78" i="2"/>
  <c r="AA78" i="2" s="1"/>
  <c r="S78" i="2" s="1"/>
  <c r="AD76" i="2"/>
  <c r="Y69" i="2"/>
  <c r="AA69" i="2" s="1"/>
  <c r="S69" i="2" s="1"/>
  <c r="AD69" i="2" s="1"/>
  <c r="Y68" i="2"/>
  <c r="AA68" i="2" s="1"/>
  <c r="S68" i="2" s="1"/>
  <c r="AD68" i="2" s="1"/>
  <c r="Y73" i="2"/>
  <c r="AA73" i="2" s="1"/>
  <c r="S73" i="2" s="1"/>
  <c r="AD73" i="2" s="1"/>
  <c r="Y141" i="2"/>
  <c r="AA141" i="2" s="1"/>
  <c r="S141" i="2" s="1"/>
  <c r="AD141" i="2" s="1"/>
  <c r="AD237" i="2"/>
  <c r="AD193" i="2"/>
  <c r="AD173" i="2"/>
  <c r="Y97" i="2"/>
  <c r="AA97" i="2" s="1"/>
  <c r="S97" i="2" s="1"/>
  <c r="AD97" i="2" s="1"/>
  <c r="Y96" i="2"/>
  <c r="AA96" i="2" s="1"/>
  <c r="S96" i="2" s="1"/>
  <c r="AD96" i="2" s="1"/>
  <c r="Y95" i="2"/>
  <c r="AA95" i="2" s="1"/>
  <c r="S95" i="2" s="1"/>
  <c r="AD95" i="2" s="1"/>
  <c r="Y72" i="2"/>
  <c r="AA72" i="2" s="1"/>
  <c r="S72" i="2" s="1"/>
  <c r="AD72" i="2" s="1"/>
  <c r="Y70" i="2"/>
  <c r="AA70" i="2" s="1"/>
  <c r="S70" i="2" s="1"/>
  <c r="AD70" i="2" s="1"/>
  <c r="Y71" i="2"/>
  <c r="AA71" i="2" s="1"/>
  <c r="S71" i="2" s="1"/>
  <c r="AD71" i="2" s="1"/>
  <c r="Y291" i="2"/>
  <c r="AA291" i="2" s="1"/>
  <c r="S291" i="2" s="1"/>
  <c r="AD291" i="2" s="1"/>
  <c r="AD275" i="2" l="1"/>
  <c r="T273" i="2"/>
  <c r="AD115" i="2"/>
  <c r="T113" i="2"/>
  <c r="T101" i="2"/>
  <c r="AD107" i="2"/>
  <c r="T105" i="2"/>
  <c r="AD78" i="2"/>
  <c r="T76" i="2"/>
  <c r="Y314" i="2"/>
  <c r="AA314" i="2" s="1"/>
  <c r="S314" i="2" s="1"/>
  <c r="AD312" i="2"/>
  <c r="Y240" i="2"/>
  <c r="AA240" i="2" s="1"/>
  <c r="S240" i="2" s="1"/>
  <c r="AD238" i="2"/>
  <c r="Y99" i="2"/>
  <c r="AA99" i="2" s="1"/>
  <c r="S99" i="2" s="1"/>
  <c r="AD99" i="2" s="1"/>
  <c r="Y74" i="2"/>
  <c r="AA74" i="2" s="1"/>
  <c r="S74" i="2" s="1"/>
  <c r="AD74" i="2" s="1"/>
  <c r="Y235" i="2"/>
  <c r="AA235" i="2" s="1"/>
  <c r="S235" i="2" s="1"/>
  <c r="AD233" i="2"/>
  <c r="Y223" i="2"/>
  <c r="AA223" i="2" s="1"/>
  <c r="S223" i="2" s="1"/>
  <c r="AD223" i="2" s="1"/>
  <c r="Y231" i="2"/>
  <c r="AA231" i="2" s="1"/>
  <c r="S231" i="2" s="1"/>
  <c r="AD229" i="2"/>
  <c r="Y227" i="2"/>
  <c r="AA227" i="2" s="1"/>
  <c r="S227" i="2" s="1"/>
  <c r="AD225" i="2"/>
  <c r="Y222" i="2"/>
  <c r="AA222" i="2" s="1"/>
  <c r="S222" i="2" s="1"/>
  <c r="AD220" i="2"/>
  <c r="Y218" i="2"/>
  <c r="AA218" i="2" s="1"/>
  <c r="S218" i="2" s="1"/>
  <c r="AD216" i="2"/>
  <c r="Y214" i="2"/>
  <c r="AA214" i="2" s="1"/>
  <c r="S214" i="2" s="1"/>
  <c r="AD212" i="2"/>
  <c r="Y210" i="2"/>
  <c r="AA210" i="2" s="1"/>
  <c r="S210" i="2" s="1"/>
  <c r="AD208" i="2"/>
  <c r="Y205" i="2"/>
  <c r="AA205" i="2" s="1"/>
  <c r="S205" i="2" s="1"/>
  <c r="AD205" i="2" s="1"/>
  <c r="Y206" i="2"/>
  <c r="AA206" i="2" s="1"/>
  <c r="S206" i="2" s="1"/>
  <c r="AD206" i="2" s="1"/>
  <c r="Y204" i="2"/>
  <c r="AA204" i="2" s="1"/>
  <c r="S204" i="2" s="1"/>
  <c r="AD202" i="2"/>
  <c r="Y200" i="2"/>
  <c r="AA200" i="2" s="1"/>
  <c r="S200" i="2" s="1"/>
  <c r="AD198" i="2"/>
  <c r="Y196" i="2"/>
  <c r="AA196" i="2" s="1"/>
  <c r="S196" i="2" s="1"/>
  <c r="AD194" i="2"/>
  <c r="Y191" i="2"/>
  <c r="AA191" i="2" s="1"/>
  <c r="S191" i="2" s="1"/>
  <c r="AD191" i="2" s="1"/>
  <c r="Y190" i="2"/>
  <c r="AA190" i="2" s="1"/>
  <c r="S190" i="2" s="1"/>
  <c r="AD188" i="2"/>
  <c r="Y186" i="2"/>
  <c r="AA186" i="2" s="1"/>
  <c r="S186" i="2" s="1"/>
  <c r="AD186" i="2" s="1"/>
  <c r="Y185" i="2"/>
  <c r="AA185" i="2" s="1"/>
  <c r="S185" i="2" s="1"/>
  <c r="AD185" i="2" s="1"/>
  <c r="Y184" i="2"/>
  <c r="AA184" i="2" s="1"/>
  <c r="S184" i="2" s="1"/>
  <c r="AD182" i="2"/>
  <c r="Y180" i="2"/>
  <c r="AA180" i="2" s="1"/>
  <c r="S180" i="2" s="1"/>
  <c r="AD178" i="2"/>
  <c r="Y176" i="2"/>
  <c r="AA176" i="2" s="1"/>
  <c r="S176" i="2" s="1"/>
  <c r="AD174" i="2"/>
  <c r="Y171" i="2"/>
  <c r="AA171" i="2" s="1"/>
  <c r="S171" i="2" s="1"/>
  <c r="AD171" i="2" s="1"/>
  <c r="Y170" i="2"/>
  <c r="AA170" i="2" s="1"/>
  <c r="S170" i="2" s="1"/>
  <c r="AD168" i="2"/>
  <c r="Y166" i="2"/>
  <c r="AA166" i="2" s="1"/>
  <c r="S166" i="2" s="1"/>
  <c r="AD164" i="2"/>
  <c r="Y162" i="2"/>
  <c r="AA162" i="2" s="1"/>
  <c r="S162" i="2" s="1"/>
  <c r="AD160" i="2"/>
  <c r="Y158" i="2"/>
  <c r="AA158" i="2" s="1"/>
  <c r="S158" i="2" s="1"/>
  <c r="AD158" i="2" s="1"/>
  <c r="Y157" i="2"/>
  <c r="AA157" i="2" s="1"/>
  <c r="S157" i="2" s="1"/>
  <c r="AD155" i="2"/>
  <c r="Y153" i="2"/>
  <c r="AA153" i="2" s="1"/>
  <c r="S153" i="2" s="1"/>
  <c r="AD153" i="2" s="1"/>
  <c r="Y152" i="2"/>
  <c r="AA152" i="2" s="1"/>
  <c r="S152" i="2" s="1"/>
  <c r="AD150" i="2"/>
  <c r="Y309" i="2"/>
  <c r="AA309" i="2" s="1"/>
  <c r="S309" i="2" s="1"/>
  <c r="AD309" i="2" s="1"/>
  <c r="Y304" i="2"/>
  <c r="AA304" i="2" s="1"/>
  <c r="S304" i="2" s="1"/>
  <c r="AD304" i="2" s="1"/>
  <c r="Y298" i="2"/>
  <c r="AA298" i="2" s="1"/>
  <c r="S298" i="2" s="1"/>
  <c r="AD298" i="2" s="1"/>
  <c r="AD314" i="2" l="1"/>
  <c r="T312" i="2"/>
  <c r="AD240" i="2"/>
  <c r="T238" i="2"/>
  <c r="AD235" i="2"/>
  <c r="T233" i="2"/>
  <c r="AD231" i="2"/>
  <c r="T229" i="2"/>
  <c r="AD227" i="2"/>
  <c r="T225" i="2"/>
  <c r="AD222" i="2"/>
  <c r="T220" i="2"/>
  <c r="AD218" i="2"/>
  <c r="T216" i="2"/>
  <c r="AD214" i="2"/>
  <c r="T212" i="2"/>
  <c r="AD210" i="2"/>
  <c r="T208" i="2"/>
  <c r="AD204" i="2"/>
  <c r="T202" i="2"/>
  <c r="AD200" i="2"/>
  <c r="T198" i="2"/>
  <c r="AD196" i="2"/>
  <c r="T194" i="2"/>
  <c r="AD190" i="2"/>
  <c r="T188" i="2"/>
  <c r="AD184" i="2"/>
  <c r="T182" i="2"/>
  <c r="AD180" i="2"/>
  <c r="T178" i="2"/>
  <c r="T174" i="2"/>
  <c r="AD176" i="2"/>
  <c r="AD170" i="2"/>
  <c r="T168" i="2"/>
  <c r="AD166" i="2"/>
  <c r="T164" i="2"/>
  <c r="AD162" i="2"/>
  <c r="T160" i="2"/>
  <c r="AD157" i="2"/>
  <c r="T155" i="2"/>
  <c r="T150" i="2"/>
  <c r="AD152" i="2"/>
  <c r="S173" i="2"/>
  <c r="S237" i="2"/>
  <c r="S193" i="2"/>
  <c r="Y248" i="2" l="1"/>
  <c r="AA248" i="2" s="1"/>
  <c r="S248" i="2" s="1"/>
  <c r="AD248" i="2" s="1"/>
  <c r="Y249" i="2"/>
  <c r="AA249" i="2" s="1"/>
  <c r="S249" i="2" s="1"/>
  <c r="AD249" i="2" s="1"/>
  <c r="Y247" i="2"/>
  <c r="AA247" i="2" s="1"/>
  <c r="S247" i="2" s="1"/>
  <c r="AD247" i="2" s="1"/>
  <c r="Y148" i="2" l="1"/>
  <c r="AA148" i="2" s="1"/>
  <c r="S148" i="2" s="1"/>
  <c r="AD148" i="2" s="1"/>
  <c r="Y89" i="2" l="1"/>
  <c r="AA89" i="2" s="1"/>
  <c r="S89" i="2" s="1"/>
  <c r="AD89" i="2" s="1"/>
  <c r="Y290" i="2" l="1"/>
  <c r="AA290" i="2" s="1"/>
  <c r="S290" i="2" s="1"/>
  <c r="AD290" i="2" s="1"/>
  <c r="AD260" i="2" l="1"/>
  <c r="AD254" i="2"/>
  <c r="Y257" i="2"/>
  <c r="AA257" i="2" s="1"/>
  <c r="S257" i="2" s="1"/>
  <c r="AD255" i="2"/>
  <c r="Y266" i="2"/>
  <c r="AA266" i="2" s="1"/>
  <c r="S266" i="2" s="1"/>
  <c r="AD266" i="2" s="1"/>
  <c r="Y263" i="2"/>
  <c r="AA263" i="2" s="1"/>
  <c r="S263" i="2" s="1"/>
  <c r="AD261" i="2"/>
  <c r="Y246" i="2"/>
  <c r="AA246" i="2" s="1"/>
  <c r="S246" i="2" s="1"/>
  <c r="AD246" i="2" s="1"/>
  <c r="AD242" i="2"/>
  <c r="Y245" i="2"/>
  <c r="AA245" i="2" s="1"/>
  <c r="S245" i="2" s="1"/>
  <c r="AD243" i="2"/>
  <c r="Y54" i="2"/>
  <c r="AA54" i="2" s="1"/>
  <c r="S54" i="2" s="1"/>
  <c r="AD54" i="2" s="1"/>
  <c r="Y56" i="2"/>
  <c r="AA56" i="2" s="1"/>
  <c r="S56" i="2" s="1"/>
  <c r="AD56" i="2" s="1"/>
  <c r="Y47" i="2"/>
  <c r="AA47" i="2" s="1"/>
  <c r="S47" i="2" s="1"/>
  <c r="AD47" i="2" s="1"/>
  <c r="Y48" i="2"/>
  <c r="AA48" i="2" s="1"/>
  <c r="S48" i="2" s="1"/>
  <c r="AD48" i="2" s="1"/>
  <c r="Y49" i="2"/>
  <c r="AA49" i="2" s="1"/>
  <c r="S49" i="2" s="1"/>
  <c r="AD49" i="2" s="1"/>
  <c r="Y42" i="2"/>
  <c r="AA42" i="2" s="1"/>
  <c r="S42" i="2" s="1"/>
  <c r="AD42" i="2" s="1"/>
  <c r="Y43" i="2"/>
  <c r="AA43" i="2" s="1"/>
  <c r="S43" i="2" s="1"/>
  <c r="AD43" i="2" s="1"/>
  <c r="Y36" i="2"/>
  <c r="AA36" i="2" s="1"/>
  <c r="S36" i="2" s="1"/>
  <c r="AD36" i="2" s="1"/>
  <c r="Y37" i="2"/>
  <c r="AA37" i="2" s="1"/>
  <c r="S37" i="2" s="1"/>
  <c r="AD37" i="2" s="1"/>
  <c r="Y29" i="2"/>
  <c r="AA29" i="2" s="1"/>
  <c r="S29" i="2" s="1"/>
  <c r="AD29" i="2" s="1"/>
  <c r="Y30" i="2"/>
  <c r="AA30" i="2" s="1"/>
  <c r="S30" i="2" s="1"/>
  <c r="AD30" i="2" s="1"/>
  <c r="Y31" i="2"/>
  <c r="AA31" i="2" s="1"/>
  <c r="S31" i="2" s="1"/>
  <c r="AD31" i="2" s="1"/>
  <c r="Y22" i="2"/>
  <c r="AA22" i="2" s="1"/>
  <c r="S22" i="2" s="1"/>
  <c r="AD22" i="2" s="1"/>
  <c r="Y53" i="2"/>
  <c r="AA53" i="2" s="1"/>
  <c r="S53" i="2" s="1"/>
  <c r="AD51" i="2"/>
  <c r="AD45" i="2"/>
  <c r="AD39" i="2"/>
  <c r="Y35" i="2"/>
  <c r="AA35" i="2" s="1"/>
  <c r="S35" i="2" s="1"/>
  <c r="AD33" i="2"/>
  <c r="Y28" i="2"/>
  <c r="AA28" i="2" s="1"/>
  <c r="S28" i="2" s="1"/>
  <c r="AD26" i="2"/>
  <c r="Y55" i="2" l="1"/>
  <c r="AA55" i="2" s="1"/>
  <c r="S55" i="2" s="1"/>
  <c r="AD55" i="2" s="1"/>
  <c r="Y258" i="2"/>
  <c r="AA258" i="2" s="1"/>
  <c r="S258" i="2" s="1"/>
  <c r="AD258" i="2" s="1"/>
  <c r="AD257" i="2"/>
  <c r="AD263" i="2"/>
  <c r="T243" i="2"/>
  <c r="AD245" i="2"/>
  <c r="Y41" i="2"/>
  <c r="AA41" i="2" s="1"/>
  <c r="S41" i="2" s="1"/>
  <c r="T39" i="2" s="1"/>
  <c r="AD53" i="2"/>
  <c r="T45" i="2"/>
  <c r="T33" i="2"/>
  <c r="AD35" i="2"/>
  <c r="T26" i="2"/>
  <c r="AD28" i="2"/>
  <c r="T51" i="2" l="1"/>
  <c r="Y264" i="2"/>
  <c r="AA264" i="2" s="1"/>
  <c r="S264" i="2" s="1"/>
  <c r="AD264" i="2" s="1"/>
  <c r="T255" i="2"/>
  <c r="Y265" i="2"/>
  <c r="AA265" i="2" s="1"/>
  <c r="S265" i="2" s="1"/>
  <c r="AD265" i="2" s="1"/>
  <c r="AD41" i="2"/>
  <c r="S242" i="2"/>
  <c r="T261" i="2" l="1"/>
  <c r="R379" i="2" l="1"/>
  <c r="S379" i="2"/>
  <c r="T379" i="2"/>
  <c r="U379" i="2"/>
  <c r="V379" i="2"/>
  <c r="Q379" i="2"/>
  <c r="S534" i="2"/>
  <c r="AD326" i="2" l="1"/>
  <c r="Y18" i="2" l="1"/>
  <c r="AA18" i="2" s="1"/>
  <c r="S18" i="2" s="1"/>
  <c r="AD18" i="2" s="1"/>
  <c r="Y319" i="2" l="1"/>
  <c r="AA319" i="2" s="1"/>
  <c r="S319" i="2" s="1"/>
  <c r="AD319" i="2" s="1"/>
  <c r="Y320" i="2"/>
  <c r="AA320" i="2" s="1"/>
  <c r="S320" i="2" s="1"/>
  <c r="AD320" i="2" s="1"/>
  <c r="Y321" i="2"/>
  <c r="AA321" i="2" s="1"/>
  <c r="S321" i="2" s="1"/>
  <c r="AD321" i="2" s="1"/>
  <c r="Y318" i="2"/>
  <c r="AA318" i="2" s="1"/>
  <c r="S318" i="2" s="1"/>
  <c r="AD316" i="2"/>
  <c r="Y310" i="2"/>
  <c r="AA310" i="2" s="1"/>
  <c r="S310" i="2" s="1"/>
  <c r="AD307" i="2"/>
  <c r="Y305" i="2"/>
  <c r="AA305" i="2" s="1"/>
  <c r="S305" i="2" s="1"/>
  <c r="AD302" i="2"/>
  <c r="Y300" i="2"/>
  <c r="AA300" i="2" s="1"/>
  <c r="S300" i="2" s="1"/>
  <c r="AD300" i="2" s="1"/>
  <c r="Y299" i="2"/>
  <c r="AA299" i="2" s="1"/>
  <c r="S299" i="2" s="1"/>
  <c r="AD296" i="2"/>
  <c r="Y289" i="2"/>
  <c r="AA289" i="2" s="1"/>
  <c r="S289" i="2" s="1"/>
  <c r="AD289" i="2" s="1"/>
  <c r="Y288" i="2"/>
  <c r="AA288" i="2" s="1"/>
  <c r="S288" i="2" s="1"/>
  <c r="AD286" i="2"/>
  <c r="Y283" i="2"/>
  <c r="AA283" i="2" s="1"/>
  <c r="S283" i="2" s="1"/>
  <c r="AD283" i="2" s="1"/>
  <c r="Y284" i="2"/>
  <c r="AA284" i="2" s="1"/>
  <c r="S284" i="2" s="1"/>
  <c r="AD284" i="2" s="1"/>
  <c r="Y282" i="2"/>
  <c r="AA282" i="2" s="1"/>
  <c r="S282" i="2" s="1"/>
  <c r="AD282" i="2" s="1"/>
  <c r="Y281" i="2"/>
  <c r="AA281" i="2" s="1"/>
  <c r="S281" i="2" s="1"/>
  <c r="AD279" i="2"/>
  <c r="Y271" i="2"/>
  <c r="AA271" i="2" s="1"/>
  <c r="S271" i="2" s="1"/>
  <c r="AD271" i="2" s="1"/>
  <c r="Y270" i="2"/>
  <c r="AA270" i="2" s="1"/>
  <c r="S270" i="2" s="1"/>
  <c r="AD268" i="2"/>
  <c r="Y147" i="2"/>
  <c r="AA147" i="2" s="1"/>
  <c r="S147" i="2" s="1"/>
  <c r="AD147" i="2" s="1"/>
  <c r="Y138" i="2"/>
  <c r="AA138" i="2" s="1"/>
  <c r="S138" i="2" s="1"/>
  <c r="AD138" i="2" s="1"/>
  <c r="Y139" i="2"/>
  <c r="AA139" i="2" s="1"/>
  <c r="S139" i="2" s="1"/>
  <c r="AD139" i="2" s="1"/>
  <c r="Y140" i="2"/>
  <c r="AA140" i="2" s="1"/>
  <c r="S140" i="2" s="1"/>
  <c r="AD140" i="2" s="1"/>
  <c r="Y131" i="2"/>
  <c r="AA131" i="2" s="1"/>
  <c r="S131" i="2" s="1"/>
  <c r="AD131" i="2" s="1"/>
  <c r="Y132" i="2"/>
  <c r="AA132" i="2" s="1"/>
  <c r="S132" i="2" s="1"/>
  <c r="AD132" i="2" s="1"/>
  <c r="Y133" i="2"/>
  <c r="AA133" i="2" s="1"/>
  <c r="S133" i="2" s="1"/>
  <c r="AD133" i="2" s="1"/>
  <c r="Y90" i="2"/>
  <c r="AA90" i="2" s="1"/>
  <c r="S90" i="2" s="1"/>
  <c r="AD90" i="2" s="1"/>
  <c r="Y88" i="2"/>
  <c r="AA88" i="2" s="1"/>
  <c r="S88" i="2" s="1"/>
  <c r="AD88" i="2" s="1"/>
  <c r="Y87" i="2"/>
  <c r="AA87" i="2" s="1"/>
  <c r="S87" i="2" s="1"/>
  <c r="AD87" i="2" s="1"/>
  <c r="Y64" i="2"/>
  <c r="AA64" i="2" s="1"/>
  <c r="S64" i="2" s="1"/>
  <c r="AD64" i="2" s="1"/>
  <c r="Y94" i="2"/>
  <c r="AA94" i="2" s="1"/>
  <c r="S94" i="2" s="1"/>
  <c r="AD92" i="2"/>
  <c r="Y86" i="2"/>
  <c r="AA86" i="2" s="1"/>
  <c r="S86" i="2" s="1"/>
  <c r="AD84" i="2"/>
  <c r="AD66" i="2"/>
  <c r="Y24" i="2"/>
  <c r="AA24" i="2" s="1"/>
  <c r="S24" i="2" s="1"/>
  <c r="AD24" i="2" s="1"/>
  <c r="Y23" i="2"/>
  <c r="AA23" i="2" s="1"/>
  <c r="S23" i="2" s="1"/>
  <c r="AD20" i="2"/>
  <c r="AD318" i="2" l="1"/>
  <c r="T316" i="2"/>
  <c r="AD310" i="2"/>
  <c r="AD305" i="2"/>
  <c r="AD299" i="2"/>
  <c r="T296" i="2"/>
  <c r="AD288" i="2"/>
  <c r="T286" i="2"/>
  <c r="AD281" i="2"/>
  <c r="T279" i="2"/>
  <c r="AD270" i="2"/>
  <c r="T268" i="2"/>
  <c r="AD94" i="2"/>
  <c r="T92" i="2"/>
  <c r="AD86" i="2"/>
  <c r="T84" i="2"/>
  <c r="T66" i="2"/>
  <c r="AD23" i="2"/>
  <c r="T20" i="2"/>
  <c r="S254" i="2"/>
  <c r="S260" i="2"/>
  <c r="AD143" i="2" l="1"/>
  <c r="Y137" i="2"/>
  <c r="AA137" i="2" s="1"/>
  <c r="S137" i="2" s="1"/>
  <c r="AD135" i="2"/>
  <c r="Y146" i="2"/>
  <c r="AA146" i="2" s="1"/>
  <c r="S146" i="2" s="1"/>
  <c r="AD144" i="2"/>
  <c r="Y130" i="2"/>
  <c r="AA130" i="2" s="1"/>
  <c r="S130" i="2" s="1"/>
  <c r="AD128" i="2"/>
  <c r="AD137" i="2" l="1"/>
  <c r="T135" i="2"/>
  <c r="AD146" i="2"/>
  <c r="T144" i="2"/>
  <c r="T128" i="2"/>
  <c r="AD130" i="2"/>
  <c r="S143" i="2"/>
  <c r="Y63" i="2" l="1"/>
  <c r="AA63" i="2" s="1"/>
  <c r="S63" i="2" s="1"/>
  <c r="AD61" i="2"/>
  <c r="Y17" i="2"/>
  <c r="AA17" i="2" s="1"/>
  <c r="S17" i="2" s="1"/>
  <c r="AD17" i="2" s="1"/>
  <c r="Y16" i="2"/>
  <c r="AA16" i="2" s="1"/>
  <c r="S16" i="2" s="1"/>
  <c r="AD14" i="2"/>
  <c r="L14" i="2"/>
  <c r="AD63" i="2" l="1"/>
  <c r="T61" i="2"/>
  <c r="L15" i="2"/>
  <c r="AD16" i="2"/>
  <c r="T14" i="2"/>
  <c r="L20" i="2"/>
  <c r="L21" i="2" l="1"/>
  <c r="M22" i="2" s="1"/>
  <c r="M16" i="2"/>
  <c r="M17" i="2" s="1"/>
  <c r="M18" i="2" s="1"/>
  <c r="B386" i="2"/>
  <c r="B385" i="2"/>
  <c r="B384" i="2"/>
  <c r="B383" i="2"/>
  <c r="B382" i="2"/>
  <c r="B381" i="2"/>
  <c r="AD534" i="2"/>
  <c r="AD528" i="2"/>
  <c r="L26" i="2"/>
  <c r="L27" i="2" l="1"/>
  <c r="M23" i="2"/>
  <c r="P338" i="2"/>
  <c r="L33" i="2"/>
  <c r="L34" i="2" l="1"/>
  <c r="M28" i="2"/>
  <c r="M29" i="2" s="1"/>
  <c r="M24" i="2"/>
  <c r="B2" i="6"/>
  <c r="B2" i="8"/>
  <c r="AB404" i="2"/>
  <c r="L39" i="2"/>
  <c r="M30" i="2" l="1"/>
  <c r="M31" i="2" s="1"/>
  <c r="L40" i="2"/>
  <c r="M35" i="2"/>
  <c r="Y530" i="2"/>
  <c r="L45" i="2"/>
  <c r="M36" i="2" l="1"/>
  <c r="M37" i="2" s="1"/>
  <c r="L46" i="2"/>
  <c r="M41" i="2"/>
  <c r="C55" i="4"/>
  <c r="C54" i="4"/>
  <c r="C52" i="4"/>
  <c r="C51" i="4"/>
  <c r="L51" i="2"/>
  <c r="M42" i="2" l="1"/>
  <c r="M43" i="2" s="1"/>
  <c r="L52" i="2"/>
  <c r="M47" i="2"/>
  <c r="T398" i="2"/>
  <c r="P398" i="2"/>
  <c r="M48" i="2" l="1"/>
  <c r="M49" i="2" s="1"/>
  <c r="M53" i="2"/>
  <c r="AA530" i="2"/>
  <c r="S530" i="2" s="1"/>
  <c r="C1" i="5"/>
  <c r="N396" i="2"/>
  <c r="B11" i="5" s="1"/>
  <c r="M396" i="2"/>
  <c r="N395" i="2"/>
  <c r="B10" i="5" s="1"/>
  <c r="M395" i="2"/>
  <c r="N394" i="2"/>
  <c r="B9" i="5" s="1"/>
  <c r="M394" i="2"/>
  <c r="N393" i="2"/>
  <c r="B8" i="5" s="1"/>
  <c r="M393" i="2"/>
  <c r="N392" i="2"/>
  <c r="B7" i="5" s="1"/>
  <c r="M392" i="2"/>
  <c r="N391" i="2"/>
  <c r="B6" i="5" s="1"/>
  <c r="M391" i="2"/>
  <c r="N386" i="2"/>
  <c r="N385" i="2"/>
  <c r="N384" i="2"/>
  <c r="N383" i="2"/>
  <c r="N382" i="2"/>
  <c r="N381" i="2"/>
  <c r="M386" i="2"/>
  <c r="M385" i="2"/>
  <c r="M384" i="2"/>
  <c r="M383" i="2"/>
  <c r="M382" i="2"/>
  <c r="M381" i="2"/>
  <c r="L61" i="2"/>
  <c r="M54" i="2" l="1"/>
  <c r="M55" i="2" s="1"/>
  <c r="M56" i="2" s="1"/>
  <c r="L62" i="2"/>
  <c r="T528" i="2"/>
  <c r="AD530" i="2"/>
  <c r="L66" i="2"/>
  <c r="L67" i="2" l="1"/>
  <c r="M63" i="2"/>
  <c r="M64" i="2" s="1"/>
  <c r="AD526" i="2"/>
  <c r="L76" i="2"/>
  <c r="L77" i="2" l="1"/>
  <c r="G3" i="5"/>
  <c r="K3" i="5" s="1"/>
  <c r="O3" i="5" s="1"/>
  <c r="S3" i="5" s="1"/>
  <c r="W3" i="5" s="1"/>
  <c r="AA3" i="5" s="1"/>
  <c r="AE3" i="5" s="1"/>
  <c r="AI3" i="5" s="1"/>
  <c r="C4" i="5"/>
  <c r="D4" i="5" s="1"/>
  <c r="E4" i="5" s="1"/>
  <c r="F4" i="5" s="1"/>
  <c r="G4" i="5" s="1"/>
  <c r="H4" i="5" s="1"/>
  <c r="I4" i="5" s="1"/>
  <c r="J4" i="5" s="1"/>
  <c r="K4" i="5" s="1"/>
  <c r="L4" i="5" s="1"/>
  <c r="M4" i="5" s="1"/>
  <c r="N4" i="5" s="1"/>
  <c r="O4" i="5" s="1"/>
  <c r="P4" i="5" s="1"/>
  <c r="Q4" i="5" s="1"/>
  <c r="R4" i="5" s="1"/>
  <c r="S4" i="5" s="1"/>
  <c r="T4" i="5" s="1"/>
  <c r="U4" i="5" s="1"/>
  <c r="V4" i="5" s="1"/>
  <c r="W4" i="5" s="1"/>
  <c r="X4" i="5" s="1"/>
  <c r="Y4" i="5" s="1"/>
  <c r="Z4" i="5" s="1"/>
  <c r="AA4" i="5" s="1"/>
  <c r="AB4" i="5" s="1"/>
  <c r="AC4" i="5" s="1"/>
  <c r="AD4" i="5" s="1"/>
  <c r="AE4" i="5" s="1"/>
  <c r="AF4" i="5" s="1"/>
  <c r="AG4" i="5" s="1"/>
  <c r="AH4" i="5" s="1"/>
  <c r="AI4" i="5" s="1"/>
  <c r="AJ4" i="5" s="1"/>
  <c r="AK4" i="5" s="1"/>
  <c r="AL4" i="5" s="1"/>
  <c r="L84" i="2"/>
  <c r="L85" i="2" l="1"/>
  <c r="M78" i="2"/>
  <c r="M79" i="2" s="1"/>
  <c r="M80" i="2" s="1"/>
  <c r="M68" i="2"/>
  <c r="N457" i="2"/>
  <c r="N456" i="2"/>
  <c r="N455" i="2"/>
  <c r="W379" i="2"/>
  <c r="B379" i="2" s="1"/>
  <c r="L92" i="2"/>
  <c r="M81" i="2" l="1"/>
  <c r="M82" i="2" s="1"/>
  <c r="L93" i="2"/>
  <c r="M86" i="2"/>
  <c r="M87" i="2" s="1"/>
  <c r="M88" i="2" s="1"/>
  <c r="M89" i="2" s="1"/>
  <c r="M90" i="2" s="1"/>
  <c r="M69" i="2"/>
  <c r="M70" i="2" s="1"/>
  <c r="M71" i="2" s="1"/>
  <c r="M72" i="2" s="1"/>
  <c r="M3" i="2"/>
  <c r="L101" i="2"/>
  <c r="L102" i="2" l="1"/>
  <c r="M94" i="2"/>
  <c r="M95" i="2" s="1"/>
  <c r="M73" i="2"/>
  <c r="M74" i="2" s="1"/>
  <c r="N3" i="2"/>
  <c r="L105" i="2"/>
  <c r="L106" i="2" l="1"/>
  <c r="M103" i="2"/>
  <c r="M96" i="2"/>
  <c r="S59" i="2"/>
  <c r="O382" i="2" s="1"/>
  <c r="P382" i="2" s="1"/>
  <c r="S12" i="2"/>
  <c r="O381" i="2" s="1"/>
  <c r="L113" i="2"/>
  <c r="L114" i="2" l="1"/>
  <c r="M107" i="2"/>
  <c r="M108" i="2" s="1"/>
  <c r="M109" i="2" s="1"/>
  <c r="M110" i="2" s="1"/>
  <c r="M111" i="2" s="1"/>
  <c r="M97" i="2"/>
  <c r="M98" i="2" s="1"/>
  <c r="W382" i="2"/>
  <c r="P381" i="2"/>
  <c r="P391" i="2" s="1"/>
  <c r="O392" i="2" s="1"/>
  <c r="W381" i="2"/>
  <c r="L128" i="2"/>
  <c r="L129" i="2" l="1"/>
  <c r="M115" i="2"/>
  <c r="M116" i="2" s="1"/>
  <c r="M117" i="2" s="1"/>
  <c r="M118" i="2" s="1"/>
  <c r="M119" i="2" s="1"/>
  <c r="M120" i="2" s="1"/>
  <c r="M121" i="2" s="1"/>
  <c r="M122" i="2" s="1"/>
  <c r="M123" i="2" s="1"/>
  <c r="P392" i="2"/>
  <c r="O393" i="2" s="1"/>
  <c r="L135" i="2"/>
  <c r="L136" i="2" l="1"/>
  <c r="M130" i="2"/>
  <c r="M131" i="2" s="1"/>
  <c r="M132" i="2" s="1"/>
  <c r="M133" i="2" s="1"/>
  <c r="S526" i="2"/>
  <c r="L144" i="2"/>
  <c r="L145" i="2" l="1"/>
  <c r="M146" i="2" s="1"/>
  <c r="M147" i="2" s="1"/>
  <c r="M148" i="2" s="1"/>
  <c r="M137" i="2"/>
  <c r="M138" i="2" s="1"/>
  <c r="M139" i="2" s="1"/>
  <c r="M140" i="2" s="1"/>
  <c r="M141" i="2" s="1"/>
  <c r="S126" i="2"/>
  <c r="O383" i="2" s="1"/>
  <c r="L150" i="2"/>
  <c r="L151" i="2" l="1"/>
  <c r="T307" i="2"/>
  <c r="P383" i="2"/>
  <c r="P393" i="2" s="1"/>
  <c r="O394" i="2" s="1"/>
  <c r="W383" i="2"/>
  <c r="L155" i="2"/>
  <c r="L156" i="2" l="1"/>
  <c r="M152" i="2"/>
  <c r="M153" i="2" s="1"/>
  <c r="S252" i="2"/>
  <c r="O384" i="2" s="1"/>
  <c r="T302" i="2"/>
  <c r="S294" i="2" s="1"/>
  <c r="O385" i="2" s="1"/>
  <c r="M99" i="2" l="1"/>
  <c r="M157" i="2"/>
  <c r="M158" i="2" s="1"/>
  <c r="X328" i="2"/>
  <c r="Y328" i="2" s="1"/>
  <c r="AA328" i="2" s="1"/>
  <c r="S328" i="2" s="1"/>
  <c r="W384" i="2"/>
  <c r="P384" i="2"/>
  <c r="P394" i="2" s="1"/>
  <c r="O395" i="2" s="1"/>
  <c r="P385" i="2"/>
  <c r="W385" i="2"/>
  <c r="L160" i="2"/>
  <c r="L161" i="2" l="1"/>
  <c r="M162" i="2" s="1"/>
  <c r="AD328" i="2"/>
  <c r="T3" i="2" s="1"/>
  <c r="T326" i="2"/>
  <c r="S324" i="2" s="1"/>
  <c r="O386" i="2" s="1"/>
  <c r="P395" i="2"/>
  <c r="O396" i="2" s="1"/>
  <c r="L164" i="2"/>
  <c r="L165" i="2" l="1"/>
  <c r="M166" i="2" s="1"/>
  <c r="O387" i="2"/>
  <c r="W386" i="2"/>
  <c r="W387" i="2" s="1"/>
  <c r="P372" i="2" s="1"/>
  <c r="P386" i="2"/>
  <c r="P387" i="2" s="1"/>
  <c r="L168" i="2"/>
  <c r="L169" i="2" l="1"/>
  <c r="M170" i="2" s="1"/>
  <c r="M171" i="2" s="1"/>
  <c r="N5" i="2"/>
  <c r="P396" i="2"/>
  <c r="T397" i="2" s="1"/>
  <c r="O372" i="2"/>
  <c r="N416" i="2"/>
  <c r="S331" i="2"/>
  <c r="L174" i="2"/>
  <c r="L175" i="2" l="1"/>
  <c r="M176" i="2" s="1"/>
  <c r="P397" i="2"/>
  <c r="N6" i="2" s="1"/>
  <c r="L178" i="2"/>
  <c r="L179" i="2" l="1"/>
  <c r="M180" i="2" s="1"/>
  <c r="L182" i="2"/>
  <c r="L183" i="2" l="1"/>
  <c r="M184" i="2" s="1"/>
  <c r="M185" i="2" s="1"/>
  <c r="M186" i="2" s="1"/>
  <c r="L188" i="2"/>
  <c r="L189" i="2" l="1"/>
  <c r="L194" i="2"/>
  <c r="M190" i="2" l="1"/>
  <c r="M191" i="2" s="1"/>
  <c r="L195" i="2"/>
  <c r="M196" i="2" s="1"/>
  <c r="L198" i="2"/>
  <c r="L199" i="2" l="1"/>
  <c r="M200" i="2" s="1"/>
  <c r="L202" i="2"/>
  <c r="L203" i="2" l="1"/>
  <c r="M204" i="2" s="1"/>
  <c r="L208" i="2"/>
  <c r="L209" i="2" l="1"/>
  <c r="M210" i="2" s="1"/>
  <c r="M205" i="2"/>
  <c r="M206" i="2" s="1"/>
  <c r="L212" i="2"/>
  <c r="L213" i="2" l="1"/>
  <c r="L216" i="2"/>
  <c r="M214" i="2" l="1"/>
  <c r="L217" i="2"/>
  <c r="M218" i="2" s="1"/>
  <c r="L220" i="2"/>
  <c r="L221" i="2" l="1"/>
  <c r="M222" i="2" s="1"/>
  <c r="M223" i="2" s="1"/>
  <c r="L225" i="2"/>
  <c r="L226" i="2" l="1"/>
  <c r="M227" i="2" s="1"/>
  <c r="L229" i="2"/>
  <c r="L230" i="2" l="1"/>
  <c r="M231" i="2" s="1"/>
  <c r="L233" i="2"/>
  <c r="L234" i="2" l="1"/>
  <c r="L238" i="2"/>
  <c r="L239" i="2" l="1"/>
  <c r="M235" i="2"/>
  <c r="L243" i="2"/>
  <c r="L244" i="2" l="1"/>
  <c r="M245" i="2" s="1"/>
  <c r="M246" i="2" s="1"/>
  <c r="M247" i="2" s="1"/>
  <c r="M248" i="2" s="1"/>
  <c r="M249" i="2" s="1"/>
  <c r="M240" i="2"/>
  <c r="L255" i="2"/>
  <c r="L256" i="2" l="1"/>
  <c r="M257" i="2" s="1"/>
  <c r="M258" i="2" s="1"/>
  <c r="L261" i="2"/>
  <c r="L262" i="2" l="1"/>
  <c r="M263" i="2" s="1"/>
  <c r="M264" i="2" s="1"/>
  <c r="M265" i="2" s="1"/>
  <c r="M266" i="2" s="1"/>
  <c r="L268" i="2"/>
  <c r="L269" i="2" l="1"/>
  <c r="M270" i="2" s="1"/>
  <c r="M271" i="2" s="1"/>
  <c r="L273" i="2"/>
  <c r="L274" i="2" l="1"/>
  <c r="L279" i="2"/>
  <c r="L280" i="2" l="1"/>
  <c r="M275" i="2"/>
  <c r="M276" i="2" s="1"/>
  <c r="M277" i="2" s="1"/>
  <c r="L286" i="2"/>
  <c r="L528" i="2"/>
  <c r="L287" i="2" l="1"/>
  <c r="M281" i="2"/>
  <c r="M282" i="2" s="1"/>
  <c r="M283" i="2" s="1"/>
  <c r="M284" i="2" s="1"/>
  <c r="L529" i="2"/>
  <c r="M530" i="2" s="1"/>
  <c r="L296" i="2"/>
  <c r="L297" i="2" l="1"/>
  <c r="M298" i="2" s="1"/>
  <c r="M299" i="2" s="1"/>
  <c r="M300" i="2" s="1"/>
  <c r="M288" i="2"/>
  <c r="M289" i="2" s="1"/>
  <c r="M290" i="2" s="1"/>
  <c r="M291" i="2" s="1"/>
  <c r="L302" i="2"/>
  <c r="L303" i="2" l="1"/>
  <c r="M304" i="2" s="1"/>
  <c r="M305" i="2" s="1"/>
  <c r="L307" i="2"/>
  <c r="L308" i="2" l="1"/>
  <c r="M309" i="2"/>
  <c r="M310" i="2" s="1"/>
  <c r="L312" i="2"/>
  <c r="L313" i="2" l="1"/>
  <c r="M314" i="2"/>
  <c r="L316" i="2"/>
  <c r="L326" i="2"/>
  <c r="L327" i="2" l="1"/>
  <c r="M328" i="2" s="1"/>
  <c r="L317" i="2"/>
  <c r="M318" i="2" s="1"/>
  <c r="M319" i="2" s="1"/>
  <c r="M320" i="2" s="1"/>
  <c r="M3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tc={7CCDC33E-4A20-4C04-9208-3ABAB03F06DB}</author>
    <author>tc={A26F4214-8AFF-4C7D-875A-54FC233A4694}</author>
  </authors>
  <commentList>
    <comment ref="O23" authorId="0" shapeId="0" xr:uid="{7CCDC33E-4A20-4C04-9208-3ABAB03F06DB}">
      <text>
        <t>[Threaded comment]
Your version of Excel allows you to read this threaded comment; however, any edits to it will get removed if the file is opened in a newer version of Excel. Learn more: https://go.microsoft.com/fwlink/?linkid=870924
Comment:
    Need to clarify</t>
      </text>
    </comment>
    <comment ref="X47" authorId="1" shapeId="0" xr:uid="{A26F4214-8AFF-4C7D-875A-54FC233A4694}">
      <text>
        <t>[Threaded comment]
Your version of Excel allows you to read this threaded comment; however, any edits to it will get removed if the file is opened in a newer version of Excel. Learn more: https://go.microsoft.com/fwlink/?linkid=870924
Comment:
    Need to clarify</t>
      </text>
    </comment>
  </commentList>
</comments>
</file>

<file path=xl/sharedStrings.xml><?xml version="1.0" encoding="utf-8"?>
<sst xmlns="http://schemas.openxmlformats.org/spreadsheetml/2006/main" count="1790" uniqueCount="699">
  <si>
    <t>A</t>
  </si>
  <si>
    <t>Exclude</t>
  </si>
  <si>
    <t>Buffer</t>
  </si>
  <si>
    <t>Name</t>
  </si>
  <si>
    <t>Geography</t>
  </si>
  <si>
    <t>Client Name</t>
  </si>
  <si>
    <t>Yes</t>
  </si>
  <si>
    <t>No</t>
  </si>
  <si>
    <t>BA</t>
  </si>
  <si>
    <t>TA</t>
  </si>
  <si>
    <t>TL</t>
  </si>
  <si>
    <t>QA</t>
  </si>
  <si>
    <t>DEV</t>
  </si>
  <si>
    <t>GD</t>
  </si>
  <si>
    <t>OC</t>
  </si>
  <si>
    <t>PM</t>
  </si>
  <si>
    <t>YES_NO_LIST</t>
  </si>
  <si>
    <t>ROLES_LIST</t>
  </si>
  <si>
    <t>USA</t>
  </si>
  <si>
    <t>Mexico</t>
  </si>
  <si>
    <t>Europe</t>
  </si>
  <si>
    <t>Asia (except India)</t>
  </si>
  <si>
    <t>India</t>
  </si>
  <si>
    <t>-</t>
  </si>
  <si>
    <t>REGIONS_LIST</t>
  </si>
  <si>
    <t>USD</t>
  </si>
  <si>
    <t>Currency</t>
  </si>
  <si>
    <t>Euro</t>
  </si>
  <si>
    <t>CURRENCIES_LIST</t>
  </si>
  <si>
    <t>PDs</t>
  </si>
  <si>
    <t>Project Name</t>
  </si>
  <si>
    <t>Project Type</t>
  </si>
  <si>
    <t>Development</t>
  </si>
  <si>
    <t>Consulting</t>
  </si>
  <si>
    <t>Testing</t>
  </si>
  <si>
    <t>PROJECT_TYPES_LIST</t>
  </si>
  <si>
    <t>Platform</t>
  </si>
  <si>
    <t>PLATFORMS_LIST</t>
  </si>
  <si>
    <t>Web</t>
  </si>
  <si>
    <t>Windows</t>
  </si>
  <si>
    <t>Mobile</t>
  </si>
  <si>
    <t>Enterprise</t>
  </si>
  <si>
    <t>Low</t>
  </si>
  <si>
    <t>Medium</t>
  </si>
  <si>
    <t>BUFFER_TYPES_LIST</t>
  </si>
  <si>
    <t>High</t>
  </si>
  <si>
    <t>H</t>
  </si>
  <si>
    <t>L</t>
  </si>
  <si>
    <t>Notes</t>
  </si>
  <si>
    <t>Discovery / Requirement Analysis</t>
  </si>
  <si>
    <t xml:space="preserve"> (+/-)</t>
  </si>
  <si>
    <t>x N</t>
  </si>
  <si>
    <t>SALES_CALL_SCALE_LIST</t>
  </si>
  <si>
    <t>Maximize</t>
  </si>
  <si>
    <t>Minimize</t>
  </si>
  <si>
    <t>No Change</t>
  </si>
  <si>
    <t>RFP Name</t>
  </si>
  <si>
    <t>Unit</t>
  </si>
  <si>
    <t>Complexity %</t>
  </si>
  <si>
    <t>Effort (PDs)</t>
  </si>
  <si>
    <t>Optional</t>
  </si>
  <si>
    <t>INCLUDE_OPTIONALS_LIST</t>
  </si>
  <si>
    <t>Optionals:</t>
  </si>
  <si>
    <t>Include</t>
  </si>
  <si>
    <t>Calculated</t>
  </si>
  <si>
    <t>High (+)</t>
  </si>
  <si>
    <t>Low (-)</t>
  </si>
  <si>
    <t>Is Key Opp?</t>
  </si>
  <si>
    <t>B</t>
  </si>
  <si>
    <t>C</t>
  </si>
  <si>
    <t>D</t>
  </si>
  <si>
    <t>E</t>
  </si>
  <si>
    <t>System Design, Framework and Test Cases</t>
  </si>
  <si>
    <t>Development and Unit Testing</t>
  </si>
  <si>
    <t>System Testing and Stabilization</t>
  </si>
  <si>
    <t>Deployment, UAT and Documentation</t>
  </si>
  <si>
    <t>Others</t>
  </si>
  <si>
    <t>Complexity impact</t>
  </si>
  <si>
    <t>As Dev Effort %</t>
  </si>
  <si>
    <t>Role-wise rates / effort distribution</t>
  </si>
  <si>
    <t>Add</t>
  </si>
  <si>
    <t>Mark as</t>
  </si>
  <si>
    <t>Tasks</t>
  </si>
  <si>
    <t>F</t>
  </si>
  <si>
    <t>Req</t>
  </si>
  <si>
    <t>Design</t>
  </si>
  <si>
    <t>UAT Etc.</t>
  </si>
  <si>
    <t>Dev.</t>
  </si>
  <si>
    <t>Effort:</t>
  </si>
  <si>
    <r>
      <t>PDs / 1 M</t>
    </r>
    <r>
      <rPr>
        <b/>
        <sz val="11"/>
        <color rgb="FFC00000"/>
        <rFont val="Calibri"/>
        <family val="2"/>
        <scheme val="minor"/>
      </rPr>
      <t>*</t>
    </r>
  </si>
  <si>
    <r>
      <t>M</t>
    </r>
    <r>
      <rPr>
        <b/>
        <sz val="11"/>
        <color rgb="FFC00000"/>
        <rFont val="Calibri"/>
        <family val="2"/>
        <scheme val="minor"/>
      </rPr>
      <t>*</t>
    </r>
  </si>
  <si>
    <t>Start Date</t>
  </si>
  <si>
    <t>click here.</t>
  </si>
  <si>
    <t>Months</t>
  </si>
  <si>
    <t>Weeks</t>
  </si>
  <si>
    <t>End Date</t>
  </si>
  <si>
    <t>Special Unit Names</t>
  </si>
  <si>
    <t>As Duration %</t>
  </si>
  <si>
    <t>S1</t>
  </si>
  <si>
    <t>S2</t>
  </si>
  <si>
    <t>T1</t>
  </si>
  <si>
    <t>T2</t>
  </si>
  <si>
    <t>S3</t>
  </si>
  <si>
    <t>W2</t>
  </si>
  <si>
    <t>W1</t>
  </si>
  <si>
    <t>X</t>
  </si>
  <si>
    <t>Section Name</t>
  </si>
  <si>
    <t>M</t>
  </si>
  <si>
    <t>Task Name</t>
  </si>
  <si>
    <t>→</t>
  </si>
  <si>
    <t>Effort estimates are based on high level of analysis and may change on detailed analysis.</t>
  </si>
  <si>
    <t>Pricing &amp; Basic Schedule</t>
  </si>
  <si>
    <t>Start</t>
  </si>
  <si>
    <t>End</t>
  </si>
  <si>
    <t>Role-wise resource count / phase</t>
  </si>
  <si>
    <t>For complete manual schedule details,</t>
  </si>
  <si>
    <r>
      <t xml:space="preserve">←  TOTALS  </t>
    </r>
    <r>
      <rPr>
        <sz val="16"/>
        <color theme="1"/>
        <rFont val="Calibri"/>
        <family val="2"/>
      </rPr>
      <t>→</t>
    </r>
  </si>
  <si>
    <t>Ending at:</t>
  </si>
  <si>
    <t>Automated</t>
  </si>
  <si>
    <t>Manual</t>
  </si>
  <si>
    <t>Phases</t>
  </si>
  <si>
    <t>Resources</t>
  </si>
  <si>
    <t>NOTE:</t>
  </si>
  <si>
    <t>Manually build the execution plan below using given template or otherwise and type in the final end date above.</t>
  </si>
  <si>
    <t>Task Group Name</t>
  </si>
  <si>
    <t>Templates</t>
  </si>
  <si>
    <t>Reduce by:</t>
  </si>
  <si>
    <t>Increase by:</t>
  </si>
  <si>
    <t>Minimum (-)</t>
  </si>
  <si>
    <t>Maximum (+)</t>
  </si>
  <si>
    <t>RFP Details</t>
  </si>
  <si>
    <t>Choices</t>
  </si>
  <si>
    <t>T3</t>
  </si>
  <si>
    <t>Extras</t>
  </si>
  <si>
    <t>Unit Testing</t>
  </si>
  <si>
    <t>Unknowns</t>
  </si>
  <si>
    <t>Extra 1</t>
  </si>
  <si>
    <t>Extra 2</t>
  </si>
  <si>
    <t>Extra 3</t>
  </si>
  <si>
    <t>w Extras</t>
  </si>
  <si>
    <t>Used to get effort for High and Low complexity activities based on given medium complexity effort.</t>
  </si>
  <si>
    <t>Added to calculated effort, when chosen.</t>
  </si>
  <si>
    <t>Buffer types</t>
  </si>
  <si>
    <t>Added to final effort reached after +/- adjustments.</t>
  </si>
  <si>
    <t>% Values</t>
  </si>
  <si>
    <t>Compact</t>
  </si>
  <si>
    <t>Full</t>
  </si>
  <si>
    <t>Copy Image:</t>
  </si>
  <si>
    <t>W0</t>
  </si>
  <si>
    <t>↓</t>
  </si>
  <si>
    <t>↑</t>
  </si>
  <si>
    <t>Choices &amp; Notes</t>
  </si>
  <si>
    <t>←</t>
  </si>
  <si>
    <t>#</t>
  </si>
  <si>
    <t>Functional Breakdown Summary</t>
  </si>
  <si>
    <t>TOTAL_EFFORT</t>
  </si>
  <si>
    <t>TOTAL_COST</t>
  </si>
  <si>
    <t>TOTAL_WEEKS</t>
  </si>
  <si>
    <t>REQ_EFFORT</t>
  </si>
  <si>
    <t>DEV_EFFORT</t>
  </si>
  <si>
    <t>DESIGN_EFFORT</t>
  </si>
  <si>
    <t>QA_EFFORT</t>
  </si>
  <si>
    <t>UAT_EFFORT</t>
  </si>
  <si>
    <t>OTHER_EFFORT</t>
  </si>
  <si>
    <t>START_DATE</t>
  </si>
  <si>
    <t>AUTOMATED_END_DATE</t>
  </si>
  <si>
    <t>MANUAL_END_DATE</t>
  </si>
  <si>
    <t>DURATION</t>
  </si>
  <si>
    <t>MANUAL_DURATION</t>
  </si>
  <si>
    <t>REQ_COST</t>
  </si>
  <si>
    <t>DESIGN_COST</t>
  </si>
  <si>
    <t>DEV_COST</t>
  </si>
  <si>
    <t>QA_COST</t>
  </si>
  <si>
    <t>UAT_COST</t>
  </si>
  <si>
    <t>OTHER_COST</t>
  </si>
  <si>
    <r>
      <t xml:space="preserve">Read </t>
    </r>
    <r>
      <rPr>
        <b/>
        <sz val="11"/>
        <color rgb="FFCC00CC"/>
        <rFont val="Calibri"/>
        <family val="2"/>
        <scheme val="minor"/>
      </rPr>
      <t>Help</t>
    </r>
    <r>
      <rPr>
        <b/>
        <sz val="11"/>
        <color theme="0"/>
        <rFont val="Calibri"/>
        <family val="2"/>
        <scheme val="minor"/>
      </rPr>
      <t xml:space="preserve"> for more details.</t>
    </r>
  </si>
  <si>
    <t>This estimation template is designed and developed to facilicate following:</t>
  </si>
  <si>
    <t>●</t>
  </si>
  <si>
    <t>Get rid of all possibilities of formula errors</t>
  </si>
  <si>
    <t>Keep archiects focused on the process of 'estimation' itself and not on ensuring formula correctness and keeping tasks grouping intact</t>
  </si>
  <si>
    <t>Automating cost calculations</t>
  </si>
  <si>
    <t>Automating basic scheduling with minimum and mostly standard inputs</t>
  </si>
  <si>
    <t>Giving sales an opportuinity to play around with effort to reach desired costing without breaking the technical equilibrium</t>
  </si>
  <si>
    <t>Giving pre-sales a simpler interface to pick estimation details or summary for use in final proposal</t>
  </si>
  <si>
    <t>Giving MMs an easy and semi-automated and integrated worksheet for manual and optimized scheduling</t>
  </si>
  <si>
    <t>Estimation Support Settings</t>
  </si>
  <si>
    <t>Sales</t>
  </si>
  <si>
    <t>Presales</t>
  </si>
  <si>
    <t>AG</t>
  </si>
  <si>
    <t>TA Name</t>
  </si>
  <si>
    <t>A/c Manager Name</t>
  </si>
  <si>
    <t>Presales Member Name</t>
  </si>
  <si>
    <t>(Uses manual duration)</t>
  </si>
  <si>
    <t>(Do not use inside development phase)</t>
  </si>
  <si>
    <t>Note: This does not takes care of optimized parallel execution of tasks. For that manual scheduling will be required, which can be / done on next sheet.</t>
  </si>
  <si>
    <t>Multi-level Auto Numbering</t>
  </si>
  <si>
    <t>It numbers and re-numbers tasks and activities</t>
  </si>
  <si>
    <t>automatically as you insert or remove items.</t>
  </si>
  <si>
    <t>Phase numbers are kept manual as this is generally fixed</t>
  </si>
  <si>
    <t xml:space="preserve">and rarely changes. </t>
  </si>
  <si>
    <t>Across all phases, it does consistent two level grouping</t>
  </si>
  <si>
    <t>of tasks and activities; automatically as you insert or remove</t>
  </si>
  <si>
    <t xml:space="preserve">items. </t>
  </si>
  <si>
    <t>A task group can bring in one level of logical seperation without</t>
  </si>
  <si>
    <t>adding another level of grouping.</t>
  </si>
  <si>
    <t>Task groups don't have numbers by default, but you can</t>
  </si>
  <si>
    <t>do manual numbering, if you need.</t>
  </si>
  <si>
    <t>Controlled Insert/Delete</t>
  </si>
  <si>
    <t>100% Automated Calculations</t>
  </si>
  <si>
    <t>be overwritten accidently or otherwise; as cells are protected.</t>
  </si>
  <si>
    <t xml:space="preserve">All regular summation and calculations are baked in 100% safe formulae, that cannot </t>
  </si>
  <si>
    <t>This also facilitate upto last change reflection in effort, schedule and costing</t>
  </si>
  <si>
    <t>updates.</t>
  </si>
  <si>
    <t>Tasks sum up at phase level</t>
  </si>
  <si>
    <t>Activities sum up at task level</t>
  </si>
  <si>
    <t>If task groups are inserted, tasks below a task group sum up at task group level.</t>
  </si>
  <si>
    <t>The plase where a new task group is inserted, all tasks below that row untill</t>
  </si>
  <si>
    <t>next task group or till the end of that phase, become part of that task group.</t>
  </si>
  <si>
    <t>Given a start date and resource loading for each</t>
  </si>
  <si>
    <t>phase, it creates basic schedule automatically.</t>
  </si>
  <si>
    <t>Since focus of this template is not doing</t>
  </si>
  <si>
    <t>optimized scheduling, it integrates with</t>
  </si>
  <si>
    <t xml:space="preserve">possibility of doing manual scheduling </t>
  </si>
  <si>
    <t>as well.</t>
  </si>
  <si>
    <t>Automated Basic Scheduling</t>
  </si>
  <si>
    <t>Costing Goes Hand-in-Hand</t>
  </si>
  <si>
    <t>Define role wise rates and let it calculate the cost</t>
  </si>
  <si>
    <t>Instantly!</t>
  </si>
  <si>
    <t>as the estimation happens / changes are applied.</t>
  </si>
  <si>
    <t xml:space="preserve">A summary of current cost always shows up </t>
  </si>
  <si>
    <t>on top.</t>
  </si>
  <si>
    <t>Effort distribution per phase is shown</t>
  </si>
  <si>
    <t>graphically for easy comprehension.</t>
  </si>
  <si>
    <t>Graphical Effort Distribution</t>
  </si>
  <si>
    <t>Aggregated Effort Per Task</t>
  </si>
  <si>
    <t>See aggregated effort (including requirement, design, testing, etc., per</t>
  </si>
  <si>
    <t>development task and task group). All automated.</t>
  </si>
  <si>
    <t>Ability to Add Buffer, Unit Testing, etc. Explicitely</t>
  </si>
  <si>
    <t xml:space="preserve">Add explicit overheads per task in a collapsable area - outside the WBS, </t>
  </si>
  <si>
    <t>to make your choices explicit.</t>
  </si>
  <si>
    <t>Sales have the final call!</t>
  </si>
  <si>
    <t xml:space="preserve">Increase / Decrease effort all over WBS without breaking the </t>
  </si>
  <si>
    <t xml:space="preserve">technical equilibrium - using given controls. </t>
  </si>
  <si>
    <t>Optinally marked items which are generally good to have</t>
  </si>
  <si>
    <t>can be excluded if need be.</t>
  </si>
  <si>
    <t>Consistent 2-level Automated Grouping</t>
  </si>
  <si>
    <t>Take it to Final Propsal</t>
  </si>
  <si>
    <t>Informative Edges</t>
  </si>
  <si>
    <t>Left edge shows various colored lines to indicate extras; e.g., if item has</t>
  </si>
  <si>
    <t xml:space="preserve">any error, or any effort markup is added (inside collapsable area). </t>
  </si>
  <si>
    <t>Right edge shows the specific error on the line, if any.</t>
  </si>
  <si>
    <t>Choose between Full or Compact view (all / selective (predefined) ) colums</t>
  </si>
  <si>
    <t>On a single click, take the WBS to final propsal as-is without breaking any formatting (as image).</t>
  </si>
  <si>
    <t>Full Featured Estimation Area</t>
  </si>
  <si>
    <t>Define Unit name, count and complexity mix. Define effort for 1 medium unit. Rest is calculated. Take final judgement over calculated effort by adding/reducing on it.</t>
  </si>
  <si>
    <t>Extras such as Unit Testing, if chosen, also shows up.</t>
  </si>
  <si>
    <t>In-Place Review Area</t>
  </si>
  <si>
    <t>Review comments can be placed right inside the collapsable</t>
  </si>
  <si>
    <t xml:space="preserve">area. </t>
  </si>
  <si>
    <t>A yellow line indicate where all review comments are placed.</t>
  </si>
  <si>
    <t>This is helpful especially when looking with all closed rows.</t>
  </si>
  <si>
    <t>Finally, everything is configurable!</t>
  </si>
  <si>
    <t>Use pre-defined names or define your own, if you still get situations where you want to write formulae in your estimation.</t>
  </si>
  <si>
    <t>Top 15 Features</t>
  </si>
  <si>
    <t>It does not allow to insert a row. How do I add a row?</t>
  </si>
  <si>
    <t>How to delete a row?</t>
  </si>
  <si>
    <t>It only supports two level of groupings, I need three or more levels.</t>
  </si>
  <si>
    <t>For sake of consistency across estimates, it allows only two collapsable levels of grouping. Yet it supports a logical non-collapsable third level called a Task group.</t>
  </si>
  <si>
    <t>A task group can be added above any task using Ctrl+Shift+G. A task group is intelligent to assume all tasks, till the next task group  or end of section, under it.</t>
  </si>
  <si>
    <t>This affects the summation of the task group effort.</t>
  </si>
  <si>
    <t>It does not allow copy/paste of rows. How do I move one row elsewhere?</t>
  </si>
  <si>
    <t>Since sheet is protected for discussed reasons, it does not allow copy/paste of rows.</t>
  </si>
  <si>
    <t>This means, activities can be moved in another task and even in another phase. Task groups can also move up or down and therefore be parent of a different set of tasks.</t>
  </si>
  <si>
    <t>I want to add a new section / phase?</t>
  </si>
  <si>
    <t>This supports only 6 phases. You can rename them as required. However if you really need 7th; you need to use a different template.</t>
  </si>
  <si>
    <t>Last updated:</t>
  </si>
  <si>
    <t>Last updated by:</t>
  </si>
  <si>
    <t>It does not allow adding effort details for a task. Where do I put effort estimates?</t>
  </si>
  <si>
    <t>Effort estimates can be added only to an activity. A task is always a collection of activities. At minimum there will be one activity in one task.</t>
  </si>
  <si>
    <t>What each column mean and what I am supposed to write where?</t>
  </si>
  <si>
    <t>There are following columns and what each column mean:</t>
  </si>
  <si>
    <t>Number:</t>
  </si>
  <si>
    <t>Certain rows do not get numbered automatically. Is this by design?</t>
  </si>
  <si>
    <t>Yes, sections  and Task groups are not numbered automatically for various reasons and should be typed in manually as required.</t>
  </si>
  <si>
    <t>For all other rows, numbers are generated and updated (on move, inserts, deletion) automatically.</t>
  </si>
  <si>
    <t>Tasks:</t>
  </si>
  <si>
    <t>This area is semi-editable and shows the section, task group, task and/or activity number. Numbers of only section and task group rows can be edited.</t>
  </si>
  <si>
    <t>This area is editable and should define section name, task group name, task name or activity name, as the case may be. An activity can optionally have bullets for scope.</t>
  </si>
  <si>
    <t>RFP Mapping:</t>
  </si>
  <si>
    <t>Mapping with requirement document if any can be defined here.</t>
  </si>
  <si>
    <t>Unit:</t>
  </si>
  <si>
    <t>Unit section is to define unit of activity estimation.</t>
  </si>
  <si>
    <t>Name:</t>
  </si>
  <si>
    <t>#:</t>
  </si>
  <si>
    <t>Define a unit name here, e.g., Screen, Test Case, Report, % of X, etc.</t>
  </si>
  <si>
    <t>Define the number that represents the unit. If number is a % value, still define it as number. Add % in forumula, if required elsewhere.</t>
  </si>
  <si>
    <t>x N:</t>
  </si>
  <si>
    <t>Define how many cycles/set of Unit * Number are required. Generally this will be required only in few cases</t>
  </si>
  <si>
    <t>E.g., 3 Staging Releases where 5% of Dev time is required everytime, or 5 Screens to be tested on 7 Browsers</t>
  </si>
  <si>
    <t>Complexity %:</t>
  </si>
  <si>
    <t xml:space="preserve">There are three columns to define the complexity mix of the number that is defined in '#' column. </t>
  </si>
  <si>
    <t>E.g., If 20 Use Cases are defined, it's possible that we are assuming 25% as High, 50% as Medium and remaining 25% as Low</t>
  </si>
  <si>
    <t>Effort (PDs):</t>
  </si>
  <si>
    <t>This area represents calculated and worked-up effort estimate in PDs. This is NON-EDITABLE.</t>
  </si>
  <si>
    <t>Where do I put in effort estimates?</t>
  </si>
  <si>
    <t>Open the columns group using + symbol under "W" column.</t>
  </si>
  <si>
    <t>Following columns are visible now where you can work-out estimates for the activity. The details of each of these columns are:</t>
  </si>
  <si>
    <t>PDs / 1 Unit:</t>
  </si>
  <si>
    <t>This is where you should define how many PDs would it take to complete 1 Medium Complexity Unit of activity.</t>
  </si>
  <si>
    <t>E.g., If Unit was "Use Case", # was "20", Complexity Mix was H: 25%, M: 50%, L: 25%, if we define PDs / 1 Unit - it means the total effort for this acitivity would be:</t>
  </si>
  <si>
    <t>10 X 1 = 10 PDs</t>
  </si>
  <si>
    <t>M: 50% of 20 = 10</t>
  </si>
  <si>
    <t>H: 25% of 20 = 5</t>
  </si>
  <si>
    <t>5 X 1.5 = 7.5 PDs</t>
  </si>
  <si>
    <t>L: 25% of 20 = 5</t>
  </si>
  <si>
    <t>5 X .75 = 3.75 PDs</t>
  </si>
  <si>
    <t>21 PDs</t>
  </si>
  <si>
    <t>Calculated:</t>
  </si>
  <si>
    <t>This shows calculated effort based on given unit and unit-effort details. This is NON-EDITABLE.</t>
  </si>
  <si>
    <t>w Extras:</t>
  </si>
  <si>
    <t>This shows additionally added effort based on choices made for rows. This is NON-EDITABLE.</t>
  </si>
  <si>
    <t>(more on this later in next FAQ)</t>
  </si>
  <si>
    <t>(+/-):</t>
  </si>
  <si>
    <t>Basic calculation based on given unit and size is done here; however for real judgement you can ADD or SUBTRACT any figure here.</t>
  </si>
  <si>
    <t>E.g., -2 in this column will make final effort to be used as 19 PDs instead of 21 PDs.</t>
  </si>
  <si>
    <t>4 in this column will make final effort to be used as 25 PDs instead of 21 PDs.</t>
  </si>
  <si>
    <t>This gives you finer control on estimation - which otherwise you would have (in unprotected / no-formula) sheet</t>
  </si>
  <si>
    <t>I define effort for Medium complexity activity. How does effort for High and Low complexity activities are calculated?</t>
  </si>
  <si>
    <t>This is configurable under "Estimation Support Settings -&gt; Complexity Impact" section.</t>
  </si>
  <si>
    <t>Default values are set to assume 50% more effort for a high complexity activity as compared to medium complexity one; and 25% less effort when it is low complexity acitivity.</t>
  </si>
  <si>
    <t>Generally you would not change it - but this is very much available for any change.</t>
  </si>
  <si>
    <t>What Extras are available to add to estimates?</t>
  </si>
  <si>
    <t>Open the "Choices and Notes" section in extreme left using "&lt;--" or "+" under "F" column.</t>
  </si>
  <si>
    <t>It shows following columns:</t>
  </si>
  <si>
    <t>Add Buffer:</t>
  </si>
  <si>
    <t>Calculated effort is showing less / more effort than calculated one. I have not even added any extras or buffer. Why?</t>
  </si>
  <si>
    <t xml:space="preserve">There is a "Sales Call Scale" on top which lets Sales to increase/reduce effort per activity level all at once. </t>
  </si>
  <si>
    <t>Ensure that selection is set to "No Change". Thereafter there should not be any seemingly incorrect effort.</t>
  </si>
  <si>
    <t>It gives three choices Low, Medium and High. Selecting any one, will add certain % of buffer in the final effort shown.</t>
  </si>
  <si>
    <t>Again, these Low, Medium and High % values are configurable under "Estimation Support Settings --&gt; Buffer Types" section.</t>
  </si>
  <si>
    <t>Extras:</t>
  </si>
  <si>
    <t>This shows choices like Unit Testing, Unknowns, etc. These values (names) and associated % values are configurable under "Estimation Support Settings - Extras" section.</t>
  </si>
  <si>
    <t>This effort is added on +/- adjusted (calculated) effort.</t>
  </si>
  <si>
    <t>This effort is added on top of calculated effort which might have reduced using -N value.</t>
  </si>
  <si>
    <t>Calculated effort will not be impacted. This value is added on final effort (including any Extras effort).</t>
  </si>
  <si>
    <t>There are few more columns in Choices and Notes section. What are these?</t>
  </si>
  <si>
    <t>Yes, there are few more. These are:</t>
  </si>
  <si>
    <t>Mark as Optional:</t>
  </si>
  <si>
    <t>Exclude:</t>
  </si>
  <si>
    <t>Notes:</t>
  </si>
  <si>
    <t>At times we need to include certain tasks which are not part of the given requirements but are advisable to have.</t>
  </si>
  <si>
    <t>It was a problem, because if we add those, estimates used to go high and if we don't add them we were assumed to have not thought of those.</t>
  </si>
  <si>
    <t>Not anymore. Now all such "seemingly-out-of-scope-but-recommended-to-have" type of tasks can be added and marked as optional by choosing "Yes" in this column.</t>
  </si>
  <si>
    <t>This ensures that we do cover everything. At the same time, Sales can make a informative judgements without breaking overall sanity of the estimation / wbs.</t>
  </si>
  <si>
    <t>Sales has a top level "Optionals: Include/Exclude" choice which includes or excludes all optionally marked activities.</t>
  </si>
  <si>
    <t>To exclude a specific optional / non-optional activity, choose 'Yes" for this column and it will be marked as excluded.</t>
  </si>
  <si>
    <t>All excluded rows *do not* get added in total effort, schedule or cost.</t>
  </si>
  <si>
    <t>While iterating over estimate, while reviewing etc. This column comes handy and allows writing any sort of notes for the in-progress version of the document.</t>
  </si>
  <si>
    <t>Yes, it shows following colored lines:</t>
  </si>
  <si>
    <t>Red:</t>
  </si>
  <si>
    <t>Orange:</t>
  </si>
  <si>
    <t>Blue:</t>
  </si>
  <si>
    <t>Magenta:</t>
  </si>
  <si>
    <t>Yellow:</t>
  </si>
  <si>
    <t>Marks that "Extras" is added.</t>
  </si>
  <si>
    <t>Marks that "Buffer" is added.</t>
  </si>
  <si>
    <t>Depicts that either there is some error on this line, or the activity is excluded. Check out the error details on extreme right column.</t>
  </si>
  <si>
    <t>Depicts that activity is marked as optional.</t>
  </si>
  <si>
    <t>Depicts that some notes / review comments exists on this line.</t>
  </si>
  <si>
    <t>I have to calculate some effort based on total development effort. How do I do that?</t>
  </si>
  <si>
    <t>There are special names that can be used in your own formule. All these names are written in "Estimation Support Settings" section.</t>
  </si>
  <si>
    <t>There are some special names as well, e.g., "As Dev Effort %", this can be used in "Unit Name" columm and "#" column can define the "%" value (as number).</t>
  </si>
  <si>
    <t>This will automatically put the effort as #% of Development Effort.</t>
  </si>
  <si>
    <t>For WBS Summary, goto "Functional Breakdown Summary" section and refresh the list. This shows the list of all task groups and tasks with cumulative effort and cost</t>
  </si>
  <si>
    <t>of all phases. This can directly be copied/pasted in final proposal.</t>
  </si>
  <si>
    <t>For whole of WBS, if you would copy/paste as is, you would need to do certain amount of formatting, as there are several intersparsed thin and empty rows in here.</t>
  </si>
  <si>
    <t>To make it simple and ensure formatting does not break, it provides an image copy option. There are two modes available: Full and Compact which picks different</t>
  </si>
  <si>
    <t xml:space="preserve">set of columns. This will copy entire WBS as one single image. In final proposal, you might need to paste it on few pages and crop-show only relevant areas. </t>
  </si>
  <si>
    <t>For proposal, generally the Compact view would be suitable.</t>
  </si>
  <si>
    <t>I want to take the WBS summary in final proposal document. How do I do that?</t>
  </si>
  <si>
    <t>I want to take full WBS in final proposal document. How do I do that?</t>
  </si>
  <si>
    <t>Effort that we do generally have some buffer built into it, either explicitely (in buffer column) or otherwise.</t>
  </si>
  <si>
    <t>To remove the buffer, it is recommended that Sales Call scale should be set to "Minimize". This applies the reduction in all tasks on a predefined % that was set</t>
  </si>
  <si>
    <t>by the person who did the estimation; keeeping the complexity in mind.</t>
  </si>
  <si>
    <t>To increase the effort to maximum possible, set the scale to "Maximize" which increases it to maximum justifiable level.</t>
  </si>
  <si>
    <t>I want to exclude all optionals in order to keep tasks to bare minimum. How do I do that?</t>
  </si>
  <si>
    <t>Have a look at the left area in WBS. Are there any Orange lines? If yes, this means, there are opitonally marked items. Set the "Optionals" choice on top to</t>
  </si>
  <si>
    <t xml:space="preserve">"Exclude" and it will remove the effort for optional tasks. </t>
  </si>
  <si>
    <t>Whenever this is changes, all effort, costing and schedule is updated. Note: Manual schedule will have no impact of this change and will need to be redone.</t>
  </si>
  <si>
    <t>I want to configure automated scheduling for better. How do I do that?</t>
  </si>
  <si>
    <t>I have done manual scheduling - but the project management effort is not updated as per new schedule duration. Why?</t>
  </si>
  <si>
    <r>
      <t xml:space="preserve">Please send me a mail at </t>
    </r>
    <r>
      <rPr>
        <b/>
        <sz val="11"/>
        <color theme="4"/>
        <rFont val="Calibri"/>
        <family val="2"/>
        <scheme val="minor"/>
      </rPr>
      <t>vikas.burman@nagarro.com</t>
    </r>
    <r>
      <rPr>
        <sz val="11"/>
        <color theme="1"/>
        <rFont val="Calibri"/>
        <family val="2"/>
        <scheme val="minor"/>
      </rPr>
      <t xml:space="preserve"> and I will address that.</t>
    </r>
  </si>
  <si>
    <t>I want to update rates for correct cost calculation. Where do I do that?</t>
  </si>
  <si>
    <t>Open "Price and Basic Scheduling" section and look for "Role wise Rates" section where you can update these rates. Updating these rates, updates all costing automatically.</t>
  </si>
  <si>
    <t>It is showing currency as USD only. How do I change currency?</t>
  </si>
  <si>
    <t>"Estimation Support Settings" section has "Currency" dropdown to choose currency.</t>
  </si>
  <si>
    <t>Automated scheduling works based on following three:</t>
  </si>
  <si>
    <r>
      <rPr>
        <b/>
        <sz val="11"/>
        <color theme="1"/>
        <rFont val="Calibri"/>
        <family val="2"/>
        <scheme val="minor"/>
      </rPr>
      <t>Role wise distribution / phase:</t>
    </r>
    <r>
      <rPr>
        <sz val="11"/>
        <color theme="1"/>
        <rFont val="Calibri"/>
        <family val="2"/>
        <scheme val="minor"/>
      </rPr>
      <t xml:space="preserve"> Define a % value for each role. Not all roles will be involved in each phases. This is a generic and average figure.</t>
    </r>
  </si>
  <si>
    <r>
      <rPr>
        <b/>
        <sz val="11"/>
        <color theme="1"/>
        <rFont val="Calibri"/>
        <family val="2"/>
        <scheme val="minor"/>
      </rPr>
      <t xml:space="preserve">Role wise resource count / phase: </t>
    </r>
    <r>
      <rPr>
        <sz val="11"/>
        <color theme="1"/>
        <rFont val="Calibri"/>
        <family val="2"/>
        <scheme val="minor"/>
      </rPr>
      <t>Define number of resources that should be put in each phase for each role. This is again an average value.</t>
    </r>
  </si>
  <si>
    <t>E.g., start designing phase after 75% of requirement phase is done.</t>
  </si>
  <si>
    <r>
      <rPr>
        <b/>
        <sz val="11"/>
        <color theme="1"/>
        <rFont val="Calibri"/>
        <family val="2"/>
        <scheme val="minor"/>
      </rPr>
      <t>Start next phase after %:</t>
    </r>
    <r>
      <rPr>
        <sz val="11"/>
        <color theme="1"/>
        <rFont val="Calibri"/>
        <family val="2"/>
        <scheme val="minor"/>
      </rPr>
      <t xml:space="preserve"> This brings in some parrallism, by defining when to start next phase in relation of previous phase completion %.</t>
    </r>
  </si>
  <si>
    <t>By playing around with these numbers, and optimizing these values, automated scheduling can be configured for better. However please note:</t>
  </si>
  <si>
    <t>Automated scheduling does not do fully-optimized parallel execution / resource loading.</t>
  </si>
  <si>
    <t xml:space="preserve">It should be used to get a tentative idea of end date. </t>
  </si>
  <si>
    <t>Manual scheduling will always give better visibility of end date.</t>
  </si>
  <si>
    <t>Project Management Activity is generally added in Others section with "As Duration %" unit name and "#" as project manager's expected allocation % number.</t>
  </si>
  <si>
    <t>This takes the defined "Start Date" and defined "End Date" on "Schedule" sheet in consideration to get the duration of the project. And uses the defined % of</t>
  </si>
  <si>
    <t xml:space="preserve">calculated net working days between these two dates. </t>
  </si>
  <si>
    <t>So if any of the above is not done, this will not calculate well. Fix the missing piece and it will work.</t>
  </si>
  <si>
    <t>FOR ARCHITECTS</t>
  </si>
  <si>
    <t>FOR PRESALES / MMs</t>
  </si>
  <si>
    <t>FOR SALES</t>
  </si>
  <si>
    <t xml:space="preserve">Yes this can be done, however technical justification beyond defined minimum / maximum % might not be feasible. </t>
  </si>
  <si>
    <t>To increase / decrease, choose "Increase by:" or "Decrease by:" option on "Sales Call" scale and define required % value right next to it.</t>
  </si>
  <si>
    <t xml:space="preserve">It will apply changes all over, including automated schedule. </t>
  </si>
  <si>
    <t>Note: Manual schedule and Project Management effort (if added as Duration %) will remain as is, since that is a manual activity.</t>
  </si>
  <si>
    <t>FOR ALL</t>
  </si>
  <si>
    <t>At times, it shows some colored lines on extreme left - what does these mean?</t>
  </si>
  <si>
    <t>I want to increase / decrease effort by a specified %. Can this be done?</t>
  </si>
  <si>
    <t>I am looking for something else, this is not mentioned here. Where to look for?</t>
  </si>
  <si>
    <t>I want to squeeze the effort to bare minimum. How do I do that?</t>
  </si>
  <si>
    <t>Where do I define the RFP Name, Client Name, etc.?</t>
  </si>
  <si>
    <t>Open "Estimation Support Settings" section and you will see a lot of configuration options where you can define these. It will be updated automatically in a pre-defined</t>
  </si>
  <si>
    <t>format.</t>
  </si>
  <si>
    <t>There are tons of other features; which are very intutive and utilized on their own. Yet, you can have a look at</t>
  </si>
  <si>
    <t>FAQs</t>
  </si>
  <si>
    <t>for specific questions that</t>
  </si>
  <si>
    <t>you may have.</t>
  </si>
  <si>
    <t xml:space="preserve">If you still have more questions, send a mail at: </t>
  </si>
  <si>
    <t>vikas.burman@nagarro.com</t>
  </si>
  <si>
    <t>RFP Mapping</t>
  </si>
  <si>
    <t>Since estimation sheet is password protected and does not allow adding/removing rows anywhere, it provieds simple command buttons to add tasks, activities and groups.</t>
  </si>
  <si>
    <r>
      <rPr>
        <b/>
        <sz val="11"/>
        <color theme="1"/>
        <rFont val="Calibri"/>
        <family val="2"/>
        <scheme val="minor"/>
      </rPr>
      <t>Add Before</t>
    </r>
    <r>
      <rPr>
        <sz val="11"/>
        <color theme="1"/>
        <rFont val="Calibri"/>
        <family val="2"/>
        <scheme val="minor"/>
      </rPr>
      <t xml:space="preserve"> button add a task when not inside/on a section/task; when inside a task or on an activity, it adds an activity</t>
    </r>
  </si>
  <si>
    <r>
      <rPr>
        <b/>
        <sz val="11"/>
        <color theme="1"/>
        <rFont val="Calibri"/>
        <family val="2"/>
        <scheme val="minor"/>
      </rPr>
      <t>Add After</t>
    </r>
    <r>
      <rPr>
        <sz val="11"/>
        <color theme="1"/>
        <rFont val="Calibri"/>
        <family val="2"/>
        <scheme val="minor"/>
      </rPr>
      <t xml:space="preserve"> button do  the same as </t>
    </r>
    <r>
      <rPr>
        <b/>
        <sz val="11"/>
        <color theme="1"/>
        <rFont val="Calibri"/>
        <family val="2"/>
        <scheme val="minor"/>
      </rPr>
      <t>Add Before</t>
    </r>
    <r>
      <rPr>
        <sz val="11"/>
        <color theme="1"/>
        <rFont val="Calibri"/>
        <family val="2"/>
        <scheme val="minor"/>
      </rPr>
      <t>, but insert new item on top of current row</t>
    </r>
  </si>
  <si>
    <r>
      <rPr>
        <b/>
        <sz val="11"/>
        <color theme="1"/>
        <rFont val="Calibri"/>
        <family val="2"/>
        <scheme val="minor"/>
      </rPr>
      <t>Add Group</t>
    </r>
    <r>
      <rPr>
        <sz val="11"/>
        <color theme="1"/>
        <rFont val="Calibri"/>
        <family val="2"/>
        <scheme val="minor"/>
      </rPr>
      <t xml:space="preserve"> adds a task group (can be used to define a module)</t>
    </r>
  </si>
  <si>
    <r>
      <rPr>
        <b/>
        <sz val="11"/>
        <color theme="1"/>
        <rFont val="Calibri"/>
        <family val="2"/>
        <scheme val="minor"/>
      </rPr>
      <t>Remove</t>
    </r>
    <r>
      <rPr>
        <sz val="11"/>
        <color theme="1"/>
        <rFont val="Calibri"/>
        <family val="2"/>
        <scheme val="minor"/>
      </rPr>
      <t xml:space="preserve"> button deletes the current row (which could be an activity, task or task group)</t>
    </r>
  </si>
  <si>
    <r>
      <rPr>
        <b/>
        <sz val="11"/>
        <color theme="1"/>
        <rFont val="Calibri"/>
        <family val="2"/>
        <scheme val="minor"/>
      </rPr>
      <t>Move Up/Down</t>
    </r>
    <r>
      <rPr>
        <sz val="11"/>
        <color theme="1"/>
        <rFont val="Calibri"/>
        <family val="2"/>
        <scheme val="minor"/>
      </rPr>
      <t xml:space="preserve"> buttons move current row up or down. Rows can cross phases as well.</t>
    </r>
  </si>
  <si>
    <t>Yes, the sheets are protected to ensure sanity of formulae. It allows adding Tasks and Activities using provided command buttons. Use Add Before, Add After or Add Group</t>
  </si>
  <si>
    <t>to add task, activities or task groups.</t>
  </si>
  <si>
    <t>Use provided Remove button to remove currently selected row.</t>
  </si>
  <si>
    <t>But it gives an easy way for moving tasks, activities and even task groups. Use Move Up or Move Down command buttons to move rows up or down.</t>
  </si>
  <si>
    <t>Format:</t>
  </si>
  <si>
    <t>Task activity
&gt;&gt; Scope Item 1 
&gt;&gt; Scope Item 2
&gt;&gt; Scope Item 3</t>
  </si>
  <si>
    <t>&gt;&gt; Out of scope activity 1</t>
  </si>
  <si>
    <t>Out of scope / Assumptions</t>
  </si>
  <si>
    <t>Out of scope / Assumptions:</t>
  </si>
  <si>
    <t>This column lets you define any out of scope activities related to specific task, and relevant assumptions related to specific activity.</t>
  </si>
  <si>
    <t>Development environment and team ramp-up</t>
  </si>
  <si>
    <t>Shared/core tasks</t>
  </si>
  <si>
    <t>Default</t>
  </si>
  <si>
    <t xml:space="preserve">Functional breakdown summary shows complete list of development tasks and modules and adds % based effort from all other phases into each task. This gets the complete costing and effort per development task. </t>
  </si>
  <si>
    <t>Generate</t>
  </si>
  <si>
    <t>Start Next  
After %</t>
  </si>
  <si>
    <t>Inbuilt Names (to use in Formula)</t>
  </si>
  <si>
    <t>Current system understanding</t>
  </si>
  <si>
    <t>Requirement analysis</t>
  </si>
  <si>
    <t>Analysis for new business requirements</t>
  </si>
  <si>
    <t>Business process re-engineering
&gt;&gt; Analysis to optimize existing business processes and workflows.</t>
  </si>
  <si>
    <t>SRS: Software Requirement Specification
&gt;&gt; Preparation of SRS document
&gt;&gt; Use Cases/Stories including business rules, validations, CRAD (change, read and delete) by field and business functions.
&gt;&gt; Business process diagrams
&gt;&gt; Wireframes of UI and reports
&gt;&gt; Functional coverage document</t>
  </si>
  <si>
    <t>Usability Analysis
&gt;&gt; Analysis for information flow architecture and usability considerations</t>
  </si>
  <si>
    <t>POCs</t>
  </si>
  <si>
    <t>Functional test cases preparation and review</t>
  </si>
  <si>
    <t>Analysis of existing application(s) design</t>
  </si>
  <si>
    <t>Analysis of existing database(s)</t>
  </si>
  <si>
    <t xml:space="preserve">High Level Analysis and design document preparation
</t>
  </si>
  <si>
    <t xml:space="preserve">Low level analysis and design document preparation
</t>
  </si>
  <si>
    <t>Review and Sign-off
&gt;&gt; Client review iterations and sign-off on design documents</t>
  </si>
  <si>
    <t>Design Analysis and Documentation</t>
  </si>
  <si>
    <t>Testing strategy and planning</t>
  </si>
  <si>
    <t>Test cases preparation (Manual)
&gt;&gt; For system and integration testing</t>
  </si>
  <si>
    <t>Test cases preparation (Automated)
&gt;&gt; Automated test scripts</t>
  </si>
  <si>
    <t>Review and Sign-off
&gt;&gt; Client review iterations and sign-off on test cases</t>
  </si>
  <si>
    <t>&gt;&gt; Valid only in case of mannual testing
&gt;&gt; Mutually exclusive with 5.3</t>
  </si>
  <si>
    <t>&gt;&gt; Valid only in case of automated testing
&gt;&gt; Mutually exclusive with 5.2</t>
  </si>
  <si>
    <t>Test Cases</t>
  </si>
  <si>
    <t>SRS knowledge transfer to team members</t>
  </si>
  <si>
    <t>Design knowledge transfer to team members</t>
  </si>
  <si>
    <t>Application framework knowledge transfer to team members</t>
  </si>
  <si>
    <t>Development environment setup</t>
  </si>
  <si>
    <t>Screen: Master Page
&gt;&gt; Main menu, navigation logic and menu authorization logic</t>
  </si>
  <si>
    <t>Screen: Login (authentication process)</t>
  </si>
  <si>
    <t>Functional test cases execution</t>
  </si>
  <si>
    <t>Testing environment setup</t>
  </si>
  <si>
    <t>Test case execution
&gt;&gt; Testing, logs and reports</t>
  </si>
  <si>
    <t>Performance testing</t>
  </si>
  <si>
    <t>Performance testing environment setup</t>
  </si>
  <si>
    <t>Scripts preparation</t>
  </si>
  <si>
    <t>Scripts execution</t>
  </si>
  <si>
    <t>Reports preparation</t>
  </si>
  <si>
    <t>Environments</t>
  </si>
  <si>
    <t>Other Testing</t>
  </si>
  <si>
    <t>Multi-browser testing</t>
  </si>
  <si>
    <t>System Stabilization</t>
  </si>
  <si>
    <t>Staging releases (partial)</t>
  </si>
  <si>
    <t>Interim demos</t>
  </si>
  <si>
    <t>Interim staging releases
&gt;&gt; Preparation of release notes, installer, builds, etc.</t>
  </si>
  <si>
    <t>UAT Release (Full)</t>
  </si>
  <si>
    <t>UAT release
&gt;&gt; Preparation of release notes, installer, builds, etc.
&gt;&gt; UNIT: Total No. of Resources x N UAT cycle</t>
  </si>
  <si>
    <t>Demos</t>
  </si>
  <si>
    <t>Production Release (Full)</t>
  </si>
  <si>
    <t>Final production release
&gt;&gt; Preparation of release notes, installer, builds, etc.</t>
  </si>
  <si>
    <t>Documentation and training</t>
  </si>
  <si>
    <t>Deployment document</t>
  </si>
  <si>
    <t>Training Plan and artifacts</t>
  </si>
  <si>
    <t>User manual</t>
  </si>
  <si>
    <t>Train the trainer sessions</t>
  </si>
  <si>
    <t>&gt;&gt; Valid for re-engineering task only
&gt;&gt; Technical understanding of current overall system and architecture.</t>
  </si>
  <si>
    <t>&gt;&gt; Valid for re-engineering task only</t>
  </si>
  <si>
    <t>Total FR's</t>
  </si>
  <si>
    <t>Name : Total Use Cases
# : Total FR's
xN : Use Case Per FR</t>
  </si>
  <si>
    <t>Name: Total Screens
#: Key Screens</t>
  </si>
  <si>
    <t>PM Effort</t>
  </si>
  <si>
    <t>Project management effort</t>
  </si>
  <si>
    <t>Percentage</t>
  </si>
  <si>
    <t>AG Estimation Template -  Version</t>
  </si>
  <si>
    <t>Mohit Bhardwaj</t>
  </si>
  <si>
    <t>Create User Profiles, User Journeys</t>
  </si>
  <si>
    <t xml:space="preserve">Business process understanding and verification
&gt;&gt; </t>
  </si>
  <si>
    <t>Audit</t>
  </si>
  <si>
    <t>Requirement Documentation and Review</t>
  </si>
  <si>
    <t>Information Architecture</t>
  </si>
  <si>
    <t>Prototyping Visual designs</t>
  </si>
  <si>
    <t xml:space="preserve">Understand Stakeholder Requirements, Data Analysis
&gt;&gt; Stakeholders Interviews (Business, Technology, Design)
&gt;&gt; Document interview findings, data analysis
&gt;&gt; Client Presentation (Stakeholder Interviews, Analysis)
</t>
  </si>
  <si>
    <t>Project Plan and Kick off
&gt;&gt; Team Introductions, Revise Project Schedule, Set Expectations</t>
  </si>
  <si>
    <t>Client Presentation, review and Sign-off
&gt;&gt; Client review iterations and sign-off user profiles, personas &amp; journeys</t>
  </si>
  <si>
    <t>Iterations</t>
  </si>
  <si>
    <t>Expert Review</t>
  </si>
  <si>
    <t xml:space="preserve">Client Presentation, review and Sign-off
&gt;&gt; Review &amp; Analysis </t>
  </si>
  <si>
    <t>Create Site Map &amp; Content Inventory</t>
  </si>
  <si>
    <t>R2: Detailed Wireframes + Interaction Tables (15-20)</t>
  </si>
  <si>
    <t>Review and Sign-off
&gt;&gt; Client review iterations and sign-off on Final Wireframes</t>
  </si>
  <si>
    <t>Create Preliminary Visual Design Compositions (3-4 templates)</t>
  </si>
  <si>
    <t>Create Click through mockups</t>
  </si>
  <si>
    <t>Final Revisions</t>
  </si>
  <si>
    <t>This effort should be calculated by summing up all tasks/groups other than System Stabilization.</t>
  </si>
  <si>
    <t>Team Ramp up</t>
  </si>
  <si>
    <t>Requirement Analysis and Planning</t>
  </si>
  <si>
    <t>Requirement Study and Analysis</t>
  </si>
  <si>
    <t>Test Plan document
&gt;&gt; (Creation of test plan)</t>
  </si>
  <si>
    <t>Total Use Cases</t>
  </si>
  <si>
    <t>Test Preparation</t>
  </si>
  <si>
    <t>Name: Total Test Cases
# : Total Use case's
xN : Test case Per Use case</t>
  </si>
  <si>
    <t>How much percentage of test cases you are intended to execute</t>
  </si>
  <si>
    <t>2.0.4</t>
  </si>
  <si>
    <t>Usability Testing</t>
  </si>
  <si>
    <t>% of the Use cases</t>
  </si>
  <si>
    <t>Considered 2% of overall use cases.</t>
  </si>
  <si>
    <t xml:space="preserve">Analysis of existing system </t>
  </si>
  <si>
    <t>3 member and 3 cycle required</t>
  </si>
  <si>
    <t>13 member required, 10 from developing company and 3 from client</t>
  </si>
  <si>
    <t>4 member from developing company required</t>
  </si>
  <si>
    <t>3 member and 2 cycle required</t>
  </si>
  <si>
    <t>Create Profiles, Personas and  User Journeys</t>
  </si>
  <si>
    <t>Execute questionaire</t>
  </si>
  <si>
    <t xml:space="preserve">Competitor Analysis
&gt;&gt; Identify competitor
&gt;&gt; Gather information about product
&gt;&gt; Create comparison matrix </t>
  </si>
  <si>
    <t>6 member and 2 cycle required</t>
  </si>
  <si>
    <t xml:space="preserve">DAR 
</t>
  </si>
  <si>
    <t>3 micro app</t>
  </si>
  <si>
    <t>Team member X no of cycle</t>
  </si>
  <si>
    <t xml:space="preserve">Based on Total Use Cases
</t>
  </si>
  <si>
    <t>No of preseation</t>
  </si>
  <si>
    <t>3 micro applications</t>
  </si>
  <si>
    <t>Customer login</t>
  </si>
  <si>
    <t>Screen: Login
&gt;&gt; User credential</t>
  </si>
  <si>
    <t>Task: Verify user credetial
&gt;&gt; Verifying credetial</t>
  </si>
  <si>
    <t>Task: Display failure message
&gt;&gt; Display messhe in case login fails</t>
  </si>
  <si>
    <t>Performance testing enviroment setup</t>
  </si>
  <si>
    <t>Script writing</t>
  </si>
  <si>
    <t>Script execution</t>
  </si>
  <si>
    <t>Report generation</t>
  </si>
  <si>
    <t>Enviroment</t>
  </si>
  <si>
    <t>Test cases</t>
  </si>
  <si>
    <t>Issue fixing</t>
  </si>
  <si>
    <t>No of report</t>
  </si>
  <si>
    <t>Reports like loading time browser wise
rendering time browser wise
query execution
With and without cache</t>
  </si>
  <si>
    <t xml:space="preserve">Test cases only around critical area </t>
  </si>
  <si>
    <t>Team members</t>
  </si>
  <si>
    <t>Mobile testing</t>
  </si>
  <si>
    <t>Incident reporting</t>
  </si>
  <si>
    <t>Task : Incident report
&gt;&gt; Enter incident data
&gt;&gt; Upload images</t>
  </si>
  <si>
    <t xml:space="preserve">Task Claim initiation
&gt;&gt; Enter claim daya
&gt;&gt; Upload supportive documents
</t>
  </si>
  <si>
    <t>Policy document and status</t>
  </si>
  <si>
    <t xml:space="preserve">Task Status check
&gt;&gt; Loan claim status
</t>
  </si>
  <si>
    <t>Contact company</t>
  </si>
  <si>
    <t>Task Appointment
&gt;&gt; Open contact form and set an appointment</t>
  </si>
  <si>
    <t>Customer profile</t>
  </si>
  <si>
    <t xml:space="preserve">Task Update profile data
&gt;&gt; Opean screen to load and update data
</t>
  </si>
  <si>
    <t>Customer payment</t>
  </si>
  <si>
    <t>Task Billing reports
&gt;&gt; View reports of billing and invoice</t>
  </si>
  <si>
    <t>User login</t>
  </si>
  <si>
    <t>Partner login</t>
  </si>
  <si>
    <t>Task Login Screen
&gt;&gt; Open login screen
&gt;&gt; validate credential
&gt;&gt; Display message in case failure</t>
  </si>
  <si>
    <t>Work order</t>
  </si>
  <si>
    <t>Task work order
&gt;&gt; create work order
&gt;&gt; Upload document
&gt;&gt; Verify incident data</t>
  </si>
  <si>
    <t xml:space="preserve">Update work order </t>
  </si>
  <si>
    <t xml:space="preserve">Task Update status
&gt;&gt; Update work order status
&gt;&gt; Upload image
</t>
  </si>
  <si>
    <t>Partner reports</t>
  </si>
  <si>
    <t xml:space="preserve">Task Report download
&gt;&gt; Download report in excel and pdf format
</t>
  </si>
  <si>
    <t>Policy</t>
  </si>
  <si>
    <t xml:space="preserve">Task View policy and history
&gt;&gt; Open customer policy and history
</t>
  </si>
  <si>
    <t>Claims</t>
  </si>
  <si>
    <t>Task Update data
&gt;&gt; Update customer claim data
&gt;&gt; Adjust amount
&gt;&gt; Upload documents</t>
  </si>
  <si>
    <t xml:space="preserve">Task Approval sending
&gt;&gt; Send for approval
</t>
  </si>
  <si>
    <t xml:space="preserve">Task policy data
&gt;&gt; View customer policy data and history 
</t>
  </si>
  <si>
    <t xml:space="preserve">Task Open customer account
&gt;&gt; Open customer account
</t>
  </si>
  <si>
    <t>Partner account</t>
  </si>
  <si>
    <t>Customer account</t>
  </si>
  <si>
    <t xml:space="preserve">Task Open partner account
&gt;&gt; Open partner account
</t>
  </si>
  <si>
    <t>Survey</t>
  </si>
  <si>
    <t>Reports</t>
  </si>
  <si>
    <t>Approval and Rejection</t>
  </si>
  <si>
    <t>Payment by user</t>
  </si>
  <si>
    <t>Messages</t>
  </si>
  <si>
    <t>Task Respond to query
&gt;&gt; Respond to customer query
&gt;&gt; Respond to partner query</t>
  </si>
  <si>
    <t>Complex business may involve</t>
  </si>
  <si>
    <t>Complex business logic may involve</t>
  </si>
  <si>
    <t>Integration of Ionic and Angular
&gt;&gt; Intgrate angular framework with ionic</t>
  </si>
  <si>
    <t>Register app on IOS and Play store</t>
  </si>
  <si>
    <t>Task Register App
&gt;&gt; Register app on IOS App store
&gt;&gt; Register app on Android Play store</t>
  </si>
  <si>
    <t>Prepare Guide and questionaire and Interview Users 
&gt;&gt; 7-10) Users</t>
  </si>
  <si>
    <t>3 iterations</t>
  </si>
  <si>
    <t xml:space="preserve">Team member </t>
  </si>
  <si>
    <t>FAT, UAT, Prod Mirror</t>
  </si>
  <si>
    <t>Use case x Avg test case</t>
  </si>
  <si>
    <t>20% test cases considered for Performance testing</t>
  </si>
  <si>
    <t>Security testing</t>
  </si>
  <si>
    <t>3 micro application</t>
  </si>
  <si>
    <t>4 member and 2 cycle required</t>
  </si>
  <si>
    <t>7 member and 1 cycle required</t>
  </si>
  <si>
    <t>3 member and 1 cycle required</t>
  </si>
  <si>
    <t>22 FR and 50 use case per FR</t>
  </si>
  <si>
    <t xml:space="preserve">Review and Sign-off
&gt;&gt; Client review iterations and sign-off on SRS </t>
  </si>
  <si>
    <t>1 member and 2 cycle</t>
  </si>
  <si>
    <t>2 member and 3 cycle, Assuming 8-10 mockups to provide the precise experience before dvelopment starts</t>
  </si>
  <si>
    <t>Database design and analysis document preparation
&gt;&gt; class relationship
&gt;&gt; relationship constraints
&gt;&gt; fields identifications etc
&gt;&gt; Table partitioning</t>
  </si>
  <si>
    <t xml:space="preserve">Customer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</si>
  <si>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 xml:space="preserve">Insurance Partner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</si>
  <si>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Team member</t>
  </si>
  <si>
    <t xml:space="preserve">Insurance Claims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</si>
  <si>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 xml:space="preserve">Insurance Document Micro Service Multi-layered architecture:
&gt;&gt; RestAPI : Will consist WebApi controllers, CustomHttpResponse message classes
&gt;&gt; DataAccess: Will consist classes to upload documets over Azure file storage  </t>
  </si>
  <si>
    <t xml:space="preserve">Integration layers
&gt;&gt; Integration adapter framework
&gt;&gt; SMPT Services: Will consists classes to implement email sending functinality using SMTP server, it will also have classes exposed to other micro application to send email on specific business events accordingly 
&gt;&gt; SMS Services: Will consists classes to implement sms sending functinality using SMS gateway, it will also have classes exposed to other micro application to send SMS on specific business  accordingly 
&gt;&gt; Payment Services: Will consists classes to implement payment transaction functinality using payment gateway, it will also have classes exposed to other micro application to perform payment transaction  accordingly </t>
  </si>
  <si>
    <t>X-cutting layers
&gt;&gt; RestClient: Will consist class to have native httpClient instance and other class like request message etc, these classes will then will be used by other applications whever a rest communication is required in any layer</t>
  </si>
  <si>
    <t xml:space="preserve">X-cutting layers
&gt;&gt; ServiceBus Integration layer: Will consists Service bus publisher and consumer classes, these classes instances will be used on several business events in several micro service application whenever data to be publised in server bus queue and to consumed from it
</t>
  </si>
  <si>
    <t>X-cutting layers
&gt;&gt; Application Caching: It will consists classes to cache the data with its appropriate life cycle defined in configurations  and will expose apis to retrun the data if cached already and requested by any micro service application api</t>
  </si>
  <si>
    <t xml:space="preserve">X-cutting layers
&gt;&gt; Logging: It will consist custom logging provider implementaion and will expose a middleware to be used by several micro service applications. It will also have classes to dump log data asynchrnoulsy in Mongo db
</t>
  </si>
  <si>
    <t>X-cutting layers
&gt;&gt; Shared Models: Will consists shared models to be used by every micro service application, e.g. log data models, cach data models etc</t>
  </si>
  <si>
    <t>UI framework
&gt;&gt; Validation framework
&gt;&gt; require fields, range , phone number, emaild</t>
  </si>
  <si>
    <t xml:space="preserve">UI framework
&gt;&gt; Shared modules and common component 
&gt;&gt; Input text, drop down, checkbox, file upload, radio button etc
&gt;&gt; Feature modules, routing modules, lazy loading </t>
  </si>
  <si>
    <t>UI framework
&gt;&gt; Local and prod build architecture configurations 
&gt;&gt; npm scripts</t>
  </si>
  <si>
    <t xml:space="preserve">UI framework
&gt;&gt; Common servies/ interceptors
&gt;&gt; interceptors for token injection, for custom header , caching etc
&gt;&gt; common service for incident data, customer data, documents, claims etc </t>
  </si>
  <si>
    <t xml:space="preserve">UI framework
&gt;&gt; Configurations
&gt;&gt; json configurations,  config service , endpoint congiguration </t>
  </si>
  <si>
    <t>UI framework
&gt;&gt; Mocking framework
&gt;&gt; Mocking module, json data store, mocking services, configuration</t>
  </si>
  <si>
    <t>Styling framework
&gt;&gt; Install bootstrap framework
&gt;&gt; Create custom css framework 
&gt;&gt; common division , anchor, button, labels, form controls classes etc
&gt;&gt; media query support</t>
  </si>
  <si>
    <t>Installation of IDE, Testing Tools, Cloning repos, setting up source control etc</t>
  </si>
  <si>
    <t>Functionality: Common class to be injected by micro services to notify accirding to te business event</t>
  </si>
  <si>
    <t>Functionality:  A common UI component for global search in an application</t>
  </si>
  <si>
    <t>Partner Module</t>
  </si>
  <si>
    <t>Customer Module</t>
  </si>
  <si>
    <t>Task Reports
&gt;&gt; Report screen and filetrs
&gt;&gt; Paginations
&gt;&gt; Downoad policy documents and other reports</t>
  </si>
  <si>
    <t xml:space="preserve">Task Payment
&gt;&gt; Summary of billing screen
&gt;&gt; Payment screen
&gt;&gt; Proceed to payment and return to result page
</t>
  </si>
  <si>
    <t xml:space="preserve">Task Query
&gt;&gt; Query posting screen
</t>
  </si>
  <si>
    <t>Task Billing
&gt;&gt; Bill gerate screen</t>
  </si>
  <si>
    <t>Task Viewing report
&gt;&gt; Load data of report
&gt;&gt; Apply filters
&gt;&gt; Pagination
&gt;&gt; Exporting reports in pdf and excel format</t>
  </si>
  <si>
    <t xml:space="preserve">Task Login by window user
&gt;&gt; Login screen
&gt;&gt; Validate window identity
&gt;&gt; Save token </t>
  </si>
  <si>
    <t>Task Surveying
&gt;&gt; Inspect vehical Screen
&gt;&gt; Upload images</t>
  </si>
  <si>
    <t>Task Create/view report
&gt;&gt; Reports screen
&gt;&gt; Apply filters
&gt;&gt; Download
&gt;&gt; Pagination</t>
  </si>
  <si>
    <t>Task Transaction reports
&gt;&gt; Ttransaction reports screen
&gt;&gt; Filters like successful/ failed transaction detail
&gt;&gt; Print transaction report
&gt;&gt; Download reports in excel and pdf format</t>
  </si>
  <si>
    <t>Task Approve/ Reject
&gt;&gt; Claim adjustment 
&gt;&gt; approval and rejection or partial approval
&gt;&gt; Comment or remark</t>
  </si>
  <si>
    <t>Task Payment to partner
&gt;&gt; View invoice screen
&gt;&gt; View policy and T&amp;C screen
&gt;&gt; Pay dues to partner screen
&gt;&gt; Payent status screen</t>
  </si>
  <si>
    <t xml:space="preserve">Task Integrate and test
&gt;&gt; Integrate each screen with ionic
&gt;&gt; Style changes incorporation and additional buffer
&gt;&gt; Test in phonegap simulator
</t>
  </si>
  <si>
    <t>Back office Module</t>
  </si>
  <si>
    <t>Mobile Device Support</t>
  </si>
  <si>
    <t>Task activity
&gt;&gt; Functionality: Create common pagination module</t>
  </si>
  <si>
    <t xml:space="preserve"> FAT and PROD</t>
  </si>
  <si>
    <t>Same enviroment will be used</t>
  </si>
  <si>
    <t xml:space="preserve">2 DAR one for Database and one for Cloud platform </t>
  </si>
  <si>
    <t>It includes feedback changes incorporation also</t>
  </si>
  <si>
    <t>Security
&gt;&gt; Windows Active directory integration: It will be done via service which will validate window user authentication from organization active directory. IIn case of Customer and Protal it will be validated against Customer and Partnet Azure AD and a JWT token will be issued adharing OAuth 2 standards
&gt;&gt; Authorization: Each generated token will have scope infromation whic will be validated by each and every http request. This will be done via custom Authorization filter. It will also perform token validity to chck if issued token is still valid or expired and invaid at all.
&gt;&gt; Every token in token database will have some configuration associated with it like expiration time, generated time, auto refreshed etc</t>
  </si>
  <si>
    <t xml:space="preserve">UI framework
&gt;&gt;Initial setup by installing nodejs and angular cli
&gt;&gt; creating new project using angular cli
&gt;&gt; Setting up meta router framework to suppost micro front end applicatin </t>
  </si>
  <si>
    <t>&gt;&gt; DevOps setup
&gt;&gt; CI/CD
&gt;&gt; Product backlog
&gt;&gt; Dev/Test Enviroment</t>
  </si>
  <si>
    <t>&gt;&gt;  Inter service communication</t>
  </si>
  <si>
    <t>&gt;&gt; Custom logging provider
&gt;&gt; Dumping logs into MongoDB via async</t>
  </si>
  <si>
    <t>&gt;&gt; Radis cache integration
&gt;&gt; Data encryption at rest</t>
  </si>
  <si>
    <t xml:space="preserve">&gt;&gt; Integrating Windows AD and Azure AD as identity and auht provider
&gt;&gt; Integrate API Gateway and reverse proxy
</t>
  </si>
  <si>
    <t>&gt;&gt; Setting up UI framework to support micro fornt end applications in single application container using iframes</t>
  </si>
  <si>
    <t>&gt;&gt;Hybrid application using Angula and Ionic for mobile device
&gt;&gt; Phonegap simulater testing for mobile device</t>
  </si>
  <si>
    <t>&gt;&gt; API composition</t>
  </si>
  <si>
    <t>Initial Cloud Setup</t>
  </si>
  <si>
    <t>Task activity
&gt;&gt; Network and subnets
&gt;&gt; VPNs
&gt;&gt; Firewalls
&gt;&gt; NSGs</t>
  </si>
  <si>
    <t>&gt;&gt; Databases
&gt;&gt; File storage</t>
  </si>
  <si>
    <t>&gt;&gt; Vault
&gt;&gt; Security center and service health</t>
  </si>
  <si>
    <t>Application framework construction-backend</t>
  </si>
  <si>
    <t>Application framework construction-cross cutting</t>
  </si>
  <si>
    <t>Application framework construction-Integration</t>
  </si>
  <si>
    <t>Application framework construction-front end</t>
  </si>
  <si>
    <t>&gt;&gt; Azure provisioning</t>
  </si>
  <si>
    <t>&gt;&gt; API Gateways
&gt;&gt; Service discovery</t>
  </si>
  <si>
    <t>&gt;&gt; Azure provisioning
&gt;&gt; Circuit breaker
&gt;&gt; AKS scaling
&gt;&gt; DR/ HA using Geo-Redundant replication
&gt;&gt; Failover cluster HA in same region
&gt;&gt; Failover cluster DR in different region
&gt;&gt; Templates for large deployment
&gt;&gt; Governance policies</t>
  </si>
  <si>
    <t>Business API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</si>
</sst>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_(* \(#,##0\);_(* &quot;-&quot;??_);_(@_)"/>
    <numFmt numFmtId="166" formatCode="0.0"/>
    <numFmt numFmtId="167" formatCode="[$-409]d\-mmm;@"/>
  </numFmts>
  <fonts count="81" x14ac:knownFonts="1">
    <font>
      <sz val="11"/>
      <color theme="1"/>
      <name val="Calibri"/>
      <family val="2"/>
      <scheme val="minor"/>
    </font>
    <font>
      <sz val="11"/>
      <color theme="1"/>
      <name val="Calibri"/>
      <family val="2"/>
      <scheme val="minor"/>
    </font>
    <font>
      <b/>
      <sz val="11"/>
      <color theme="1"/>
      <name val="Calibri"/>
      <family val="2"/>
      <scheme val="minor"/>
    </font>
    <font>
      <sz val="11"/>
      <color theme="2" tint="-0.249977111117893"/>
      <name val="Calibri"/>
      <family val="2"/>
      <scheme val="minor"/>
    </font>
    <font>
      <sz val="8"/>
      <color rgb="FFC00000"/>
      <name val="Calibri"/>
      <family val="2"/>
      <scheme val="minor"/>
    </font>
    <font>
      <sz val="14"/>
      <color theme="1"/>
      <name val="Calibri"/>
      <family val="2"/>
      <scheme val="minor"/>
    </font>
    <font>
      <sz val="14"/>
      <color theme="4" tint="-0.499984740745262"/>
      <name val="Calibri"/>
      <family val="2"/>
      <scheme val="minor"/>
    </font>
    <font>
      <b/>
      <sz val="12"/>
      <color theme="8" tint="-0.249977111117893"/>
      <name val="Calibri"/>
      <family val="2"/>
      <scheme val="minor"/>
    </font>
    <font>
      <sz val="12"/>
      <color theme="8" tint="-0.249977111117893"/>
      <name val="Calibri"/>
      <family val="2"/>
      <scheme val="minor"/>
    </font>
    <font>
      <sz val="11"/>
      <color theme="4" tint="0.79998168889431442"/>
      <name val="Calibri"/>
      <family val="2"/>
      <scheme val="minor"/>
    </font>
    <font>
      <b/>
      <sz val="11"/>
      <color theme="9" tint="-0.499984740745262"/>
      <name val="Calibri"/>
      <family val="2"/>
      <scheme val="minor"/>
    </font>
    <font>
      <i/>
      <sz val="11"/>
      <color rgb="FFFF0000"/>
      <name val="Calibri"/>
      <family val="2"/>
      <scheme val="minor"/>
    </font>
    <font>
      <sz val="16"/>
      <color theme="9" tint="-0.499984740745262"/>
      <name val="Calibri"/>
      <family val="2"/>
      <scheme val="minor"/>
    </font>
    <font>
      <b/>
      <sz val="16"/>
      <color theme="9" tint="-0.499984740745262"/>
      <name val="Calibri"/>
      <family val="2"/>
      <scheme val="minor"/>
    </font>
    <font>
      <b/>
      <sz val="11"/>
      <name val="Calibri"/>
      <family val="2"/>
      <scheme val="minor"/>
    </font>
    <font>
      <sz val="11"/>
      <color rgb="FFFF0000"/>
      <name val="Calibri"/>
      <family val="2"/>
      <scheme val="minor"/>
    </font>
    <font>
      <sz val="20"/>
      <color theme="9" tint="0.79998168889431442"/>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u/>
      <sz val="11"/>
      <color theme="10"/>
      <name val="Calibri"/>
      <family val="2"/>
      <scheme val="minor"/>
    </font>
    <font>
      <sz val="11"/>
      <color rgb="FF0070C0"/>
      <name val="Calibri"/>
      <family val="2"/>
      <scheme val="minor"/>
    </font>
    <font>
      <i/>
      <sz val="11"/>
      <color theme="8" tint="-0.249977111117893"/>
      <name val="Calibri"/>
      <family val="2"/>
      <scheme val="minor"/>
    </font>
    <font>
      <b/>
      <sz val="14"/>
      <color theme="5" tint="-0.249977111117893"/>
      <name val="Calibri"/>
      <family val="2"/>
      <scheme val="minor"/>
    </font>
    <font>
      <i/>
      <sz val="12"/>
      <color rgb="FF0070C0"/>
      <name val="Calibri"/>
      <family val="2"/>
      <scheme val="minor"/>
    </font>
    <font>
      <sz val="14"/>
      <color rgb="FF0070C0"/>
      <name val="Calibri"/>
      <family val="2"/>
      <scheme val="minor"/>
    </font>
    <font>
      <b/>
      <sz val="11"/>
      <color rgb="FFC00000"/>
      <name val="Calibri"/>
      <family val="2"/>
      <scheme val="minor"/>
    </font>
    <font>
      <sz val="11"/>
      <color theme="8"/>
      <name val="Calibri"/>
      <family val="2"/>
      <scheme val="minor"/>
    </font>
    <font>
      <sz val="12"/>
      <color rgb="FFFF0000"/>
      <name val="Calibri"/>
      <family val="2"/>
      <scheme val="minor"/>
    </font>
    <font>
      <b/>
      <sz val="12"/>
      <color theme="9"/>
      <name val="Calibri"/>
      <family val="2"/>
      <scheme val="minor"/>
    </font>
    <font>
      <b/>
      <sz val="12"/>
      <color theme="8" tint="-0.249977111117893"/>
      <name val="Calibri"/>
      <family val="2"/>
    </font>
    <font>
      <sz val="8"/>
      <color theme="0" tint="-0.14999847407452621"/>
      <name val="Calibri"/>
      <family val="2"/>
      <scheme val="minor"/>
    </font>
    <font>
      <sz val="9"/>
      <color theme="2" tint="-0.499984740745262"/>
      <name val="Calibri"/>
      <family val="2"/>
      <scheme val="minor"/>
    </font>
    <font>
      <b/>
      <sz val="11"/>
      <color theme="0"/>
      <name val="Calibri"/>
      <family val="2"/>
      <scheme val="minor"/>
    </font>
    <font>
      <sz val="16"/>
      <color theme="1"/>
      <name val="Calibri"/>
      <family val="2"/>
    </font>
    <font>
      <sz val="18"/>
      <color theme="1"/>
      <name val="Calibri"/>
      <family val="2"/>
      <scheme val="minor"/>
    </font>
    <font>
      <sz val="12"/>
      <color theme="1"/>
      <name val="Calibri"/>
      <family val="2"/>
      <scheme val="minor"/>
    </font>
    <font>
      <sz val="12"/>
      <color theme="8" tint="-0.499984740745262"/>
      <name val="Calibri"/>
      <family val="2"/>
      <scheme val="minor"/>
    </font>
    <font>
      <b/>
      <sz val="12"/>
      <color theme="8" tint="-0.499984740745262"/>
      <name val="Calibri"/>
      <family val="2"/>
      <scheme val="minor"/>
    </font>
    <font>
      <sz val="11"/>
      <color rgb="FFC00000"/>
      <name val="Calibri"/>
      <family val="2"/>
    </font>
    <font>
      <sz val="10"/>
      <color rgb="FFC00000"/>
      <name val="Calibri"/>
      <family val="2"/>
    </font>
    <font>
      <sz val="11"/>
      <color rgb="FFC00000"/>
      <name val="Calibri"/>
      <family val="2"/>
      <scheme val="minor"/>
    </font>
    <font>
      <b/>
      <sz val="11"/>
      <color theme="8" tint="-0.499984740745262"/>
      <name val="Calibri"/>
      <family val="2"/>
      <scheme val="minor"/>
    </font>
    <font>
      <i/>
      <sz val="11"/>
      <color theme="1"/>
      <name val="Calibri"/>
      <family val="2"/>
      <scheme val="minor"/>
    </font>
    <font>
      <sz val="9"/>
      <color theme="1"/>
      <name val="Calibri"/>
      <family val="2"/>
      <scheme val="minor"/>
    </font>
    <font>
      <sz val="14"/>
      <color theme="5" tint="-0.249977111117893"/>
      <name val="Calibri"/>
      <family val="2"/>
      <scheme val="minor"/>
    </font>
    <font>
      <sz val="11"/>
      <color theme="5" tint="-0.249977111117893"/>
      <name val="Calibri"/>
      <family val="2"/>
      <scheme val="minor"/>
    </font>
    <font>
      <i/>
      <sz val="12"/>
      <color theme="7" tint="0.79998168889431442"/>
      <name val="Calibri"/>
      <family val="2"/>
      <scheme val="minor"/>
    </font>
    <font>
      <u/>
      <sz val="14"/>
      <color rgb="FF0070C0"/>
      <name val="Calibri"/>
      <family val="2"/>
      <scheme val="minor"/>
    </font>
    <font>
      <sz val="12"/>
      <color rgb="FF0070C0"/>
      <name val="Calibri"/>
      <family val="2"/>
      <scheme val="minor"/>
    </font>
    <font>
      <b/>
      <sz val="11"/>
      <color rgb="FF0070C0"/>
      <name val="Calibri"/>
      <family val="2"/>
      <scheme val="minor"/>
    </font>
    <font>
      <b/>
      <sz val="10"/>
      <color theme="8" tint="-0.499984740745262"/>
      <name val="Calibri"/>
      <family val="2"/>
      <scheme val="minor"/>
    </font>
    <font>
      <sz val="12"/>
      <color theme="4"/>
      <name val="Calibri"/>
      <family val="2"/>
      <scheme val="minor"/>
    </font>
    <font>
      <b/>
      <sz val="14"/>
      <color theme="4" tint="-0.499984740745262"/>
      <name val="Calibri"/>
      <family val="2"/>
      <scheme val="minor"/>
    </font>
    <font>
      <b/>
      <sz val="22"/>
      <color theme="1"/>
      <name val="Calibri"/>
      <family val="2"/>
      <scheme val="minor"/>
    </font>
    <font>
      <sz val="12"/>
      <color theme="0" tint="-4.9989318521683403E-2"/>
      <name val="Calibri"/>
      <family val="2"/>
      <scheme val="minor"/>
    </font>
    <font>
      <sz val="14"/>
      <color theme="4" tint="0.59999389629810485"/>
      <name val="Calibri"/>
      <family val="2"/>
      <scheme val="minor"/>
    </font>
    <font>
      <b/>
      <sz val="12"/>
      <color rgb="FFFF00FF"/>
      <name val="Calibri"/>
      <family val="2"/>
    </font>
    <font>
      <b/>
      <sz val="12"/>
      <color rgb="FFFF00FF"/>
      <name val="Calibri"/>
      <family val="2"/>
      <scheme val="minor"/>
    </font>
    <font>
      <b/>
      <sz val="12"/>
      <color theme="10"/>
      <name val="Calibri"/>
      <family val="2"/>
      <scheme val="minor"/>
    </font>
    <font>
      <b/>
      <sz val="11"/>
      <color rgb="FFCC00CC"/>
      <name val="Calibri"/>
      <family val="2"/>
      <scheme val="minor"/>
    </font>
    <font>
      <sz val="11"/>
      <color theme="1"/>
      <name val="Calibri"/>
      <family val="2"/>
    </font>
    <font>
      <sz val="11"/>
      <name val="Calibri"/>
      <family val="2"/>
      <scheme val="minor"/>
    </font>
    <font>
      <i/>
      <sz val="10"/>
      <color theme="1"/>
      <name val="Calibri"/>
      <family val="2"/>
      <scheme val="minor"/>
    </font>
    <font>
      <b/>
      <i/>
      <sz val="11"/>
      <color theme="8" tint="-0.249977111117893"/>
      <name val="Calibri"/>
      <family val="2"/>
      <scheme val="minor"/>
    </font>
    <font>
      <b/>
      <i/>
      <sz val="10"/>
      <color theme="8" tint="-0.249977111117893"/>
      <name val="Calibri"/>
      <family val="2"/>
      <scheme val="minor"/>
    </font>
    <font>
      <b/>
      <sz val="14"/>
      <color rgb="FFFF0000"/>
      <name val="Calibri"/>
      <family val="2"/>
      <scheme val="minor"/>
    </font>
    <font>
      <b/>
      <u/>
      <sz val="18"/>
      <color rgb="FF00B0F0"/>
      <name val="Calibri"/>
      <family val="2"/>
      <scheme val="minor"/>
    </font>
    <font>
      <u/>
      <sz val="11"/>
      <color rgb="FF0070C0"/>
      <name val="Calibri"/>
      <family val="2"/>
      <scheme val="minor"/>
    </font>
    <font>
      <b/>
      <sz val="16"/>
      <name val="Calibri"/>
      <family val="2"/>
      <scheme val="minor"/>
    </font>
    <font>
      <b/>
      <sz val="16"/>
      <color theme="4"/>
      <name val="Calibri"/>
      <family val="2"/>
      <scheme val="minor"/>
    </font>
    <font>
      <b/>
      <sz val="16"/>
      <color theme="5"/>
      <name val="Calibri"/>
      <family val="2"/>
      <scheme val="minor"/>
    </font>
    <font>
      <sz val="16"/>
      <color theme="5"/>
      <name val="Calibri"/>
      <family val="2"/>
      <scheme val="minor"/>
    </font>
    <font>
      <b/>
      <sz val="11"/>
      <color theme="4"/>
      <name val="Calibri"/>
      <family val="2"/>
      <scheme val="minor"/>
    </font>
    <font>
      <b/>
      <sz val="16"/>
      <color rgb="FFC00000"/>
      <name val="Calibri"/>
      <family val="2"/>
      <scheme val="minor"/>
    </font>
    <font>
      <b/>
      <u/>
      <sz val="14"/>
      <color rgb="FFFF00FF"/>
      <name val="Calibri"/>
      <family val="2"/>
      <scheme val="minor"/>
    </font>
    <font>
      <sz val="11"/>
      <color theme="8" tint="-0.249977111117893"/>
      <name val="Calibri"/>
      <family val="2"/>
      <scheme val="minor"/>
    </font>
    <font>
      <b/>
      <sz val="11"/>
      <color rgb="FFFF0000"/>
      <name val="Calibri"/>
      <family val="2"/>
      <scheme val="minor"/>
    </font>
    <font>
      <sz val="8"/>
      <color rgb="FF0070C0"/>
      <name val="Calibri"/>
      <family val="2"/>
      <scheme val="minor"/>
    </font>
    <font>
      <b/>
      <sz val="8"/>
      <color theme="0" tint="-0.14999847407452621"/>
      <name val="Calibri"/>
      <family val="2"/>
      <scheme val="minor"/>
    </font>
    <font>
      <sz val="11"/>
      <color rgb="FF000000"/>
      <name val="Calibri"/>
      <family val="2"/>
    </font>
  </fonts>
  <fills count="27">
    <fill>
      <patternFill patternType="none"/>
    </fill>
    <fill>
      <patternFill patternType="gray125"/>
    </fill>
    <fill>
      <patternFill patternType="solid">
        <fgColor theme="0" tint="-4.9989318521683403E-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F5F9FD"/>
        <bgColor indexed="64"/>
      </patternFill>
    </fill>
    <fill>
      <patternFill patternType="solid">
        <fgColor indexed="65"/>
        <bgColor indexed="64"/>
      </patternFill>
    </fill>
    <fill>
      <patternFill patternType="solid">
        <fgColor theme="0"/>
        <bgColor indexed="64"/>
      </patternFill>
    </fill>
    <fill>
      <gradientFill degree="90">
        <stop position="0">
          <color theme="2" tint="-0.25098422193060094"/>
        </stop>
        <stop position="1">
          <color theme="2" tint="-9.8025452436902985E-2"/>
        </stop>
      </gradientFill>
    </fill>
    <fill>
      <gradientFill degree="270">
        <stop position="0">
          <color theme="2" tint="-0.25098422193060094"/>
        </stop>
        <stop position="1">
          <color theme="2" tint="-9.8025452436902985E-2"/>
        </stop>
      </gradientFill>
    </fill>
    <fill>
      <patternFill patternType="solid">
        <fgColor theme="4" tint="0.79998168889431442"/>
        <bgColor auto="1"/>
      </patternFill>
    </fill>
    <fill>
      <patternFill patternType="solid">
        <fgColor theme="0" tint="-0.14999847407452621"/>
        <bgColor indexed="64"/>
      </patternFill>
    </fill>
    <fill>
      <patternFill patternType="solid">
        <fgColor rgb="FFF9F9F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79998168889431442"/>
        <bgColor auto="1"/>
      </patternFill>
    </fill>
    <fill>
      <patternFill patternType="solid">
        <fgColor rgb="FFC00000"/>
        <bgColor indexed="64"/>
      </patternFill>
    </fill>
    <fill>
      <patternFill patternType="solid">
        <fgColor rgb="FFFF9999"/>
        <bgColor indexed="64"/>
      </patternFill>
    </fill>
    <fill>
      <patternFill patternType="solid">
        <fgColor rgb="FF92D050"/>
        <bgColor indexed="64"/>
      </patternFill>
    </fill>
    <fill>
      <patternFill patternType="solid">
        <fgColor theme="9" tint="0.39997558519241921"/>
        <bgColor indexed="64"/>
      </patternFill>
    </fill>
    <fill>
      <patternFill patternType="solid">
        <fgColor theme="7"/>
        <bgColor indexed="64"/>
      </patternFill>
    </fill>
    <fill>
      <patternFill patternType="solid">
        <fgColor rgb="FF00B0F0"/>
        <bgColor indexed="64"/>
      </patternFill>
    </fill>
    <fill>
      <patternFill patternType="solid">
        <fgColor theme="7" tint="-0.249977111117893"/>
        <bgColor indexed="64"/>
      </patternFill>
    </fill>
    <fill>
      <gradientFill degree="270">
        <stop position="0">
          <color theme="7" tint="0.80001220740379042"/>
        </stop>
        <stop position="1">
          <color theme="7" tint="0.59999389629810485"/>
        </stop>
      </gradientFill>
    </fill>
    <fill>
      <patternFill patternType="solid">
        <fgColor theme="4" tint="0.59999389629810485"/>
        <bgColor indexed="64"/>
      </patternFill>
    </fill>
    <fill>
      <patternFill patternType="solid">
        <fgColor rgb="FFFFF6DD"/>
        <bgColor indexed="64"/>
      </patternFill>
    </fill>
    <fill>
      <patternFill patternType="solid">
        <fgColor theme="4" tint="0.39997558519241921"/>
        <bgColor indexed="64"/>
      </patternFill>
    </fill>
  </fills>
  <borders count="23">
    <border>
      <left/>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hair">
        <color auto="1"/>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hair">
        <color indexed="64"/>
      </left>
      <right/>
      <top/>
      <bottom style="hair">
        <color auto="1"/>
      </bottom>
      <diagonal/>
    </border>
    <border>
      <left/>
      <right/>
      <top style="hair">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style="hair">
        <color auto="1"/>
      </top>
      <bottom/>
      <diagonal/>
    </border>
    <border>
      <left/>
      <right style="hair">
        <color auto="1"/>
      </right>
      <top style="hair">
        <color auto="1"/>
      </top>
      <bottom style="hair">
        <color auto="1"/>
      </bottom>
      <diagonal/>
    </border>
    <border>
      <left/>
      <right style="hair">
        <color auto="1"/>
      </right>
      <top/>
      <bottom/>
      <diagonal/>
    </border>
    <border>
      <left/>
      <right style="hair">
        <color auto="1"/>
      </right>
      <top/>
      <bottom style="hair">
        <color auto="1"/>
      </bottom>
      <diagonal/>
    </border>
    <border>
      <left style="hair">
        <color auto="1"/>
      </left>
      <right/>
      <top/>
      <bottom/>
      <diagonal/>
    </border>
    <border>
      <left style="thin">
        <color indexed="64"/>
      </left>
      <right style="thin">
        <color indexed="64"/>
      </right>
      <top/>
      <bottom/>
      <diagonal/>
    </border>
    <border>
      <left/>
      <right style="hair">
        <color auto="1"/>
      </right>
      <top style="hair">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hair">
        <color auto="1"/>
      </left>
      <right style="hair">
        <color auto="1"/>
      </right>
      <top/>
      <bottom style="hair">
        <color auto="1"/>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0" fontId="20" fillId="0" borderId="0" applyNumberFormat="0" applyFill="0" applyBorder="0" applyAlignment="0" applyProtection="0"/>
  </cellStyleXfs>
  <cellXfs count="364">
    <xf numFmtId="0" fontId="0" fillId="0" borderId="0" xfId="0"/>
    <xf numFmtId="0" fontId="2" fillId="0" borderId="0" xfId="0" applyFont="1"/>
    <xf numFmtId="0" fontId="0" fillId="2" borderId="0" xfId="0" applyFill="1"/>
    <xf numFmtId="0" fontId="2" fillId="3" borderId="0" xfId="0" applyFont="1" applyFill="1"/>
    <xf numFmtId="0" fontId="0" fillId="3" borderId="0" xfId="0" applyFill="1"/>
    <xf numFmtId="0" fontId="8" fillId="2" borderId="0" xfId="0" applyFont="1" applyFill="1" applyAlignment="1" applyProtection="1">
      <alignment vertical="center" wrapText="1"/>
      <protection locked="0"/>
    </xf>
    <xf numFmtId="0" fontId="2" fillId="3" borderId="0" xfId="0" applyFont="1" applyFill="1" applyAlignment="1" applyProtection="1">
      <alignment vertical="top" wrapText="1"/>
    </xf>
    <xf numFmtId="0" fontId="2" fillId="3" borderId="1" xfId="0" applyFont="1" applyFill="1" applyBorder="1" applyAlignment="1" applyProtection="1">
      <alignment horizontal="center" vertical="top"/>
    </xf>
    <xf numFmtId="0" fontId="2" fillId="3" borderId="0" xfId="0" applyFont="1" applyFill="1" applyBorder="1" applyAlignment="1" applyProtection="1">
      <alignment horizontal="center" vertical="top"/>
    </xf>
    <xf numFmtId="0" fontId="2" fillId="3" borderId="0" xfId="0" applyFont="1" applyFill="1" applyAlignment="1" applyProtection="1">
      <alignment horizontal="center" vertical="top"/>
    </xf>
    <xf numFmtId="0" fontId="0" fillId="6" borderId="0" xfId="0" applyFill="1" applyBorder="1" applyAlignment="1" applyProtection="1">
      <alignment vertical="top"/>
    </xf>
    <xf numFmtId="0" fontId="0" fillId="6" borderId="0" xfId="0" applyFill="1" applyAlignment="1" applyProtection="1">
      <alignment vertical="top"/>
    </xf>
    <xf numFmtId="0" fontId="0" fillId="6" borderId="0" xfId="0" applyFill="1" applyAlignment="1" applyProtection="1">
      <alignment vertical="top" wrapText="1"/>
    </xf>
    <xf numFmtId="0" fontId="3" fillId="6" borderId="0" xfId="0" applyFont="1" applyFill="1" applyAlignment="1" applyProtection="1">
      <alignment vertical="top"/>
    </xf>
    <xf numFmtId="0" fontId="0" fillId="6" borderId="0" xfId="0" applyFill="1" applyBorder="1" applyAlignment="1" applyProtection="1">
      <alignment vertical="center"/>
    </xf>
    <xf numFmtId="0" fontId="0" fillId="6" borderId="0" xfId="0" applyFill="1" applyAlignment="1" applyProtection="1">
      <alignment vertical="center"/>
    </xf>
    <xf numFmtId="0" fontId="0" fillId="6" borderId="0" xfId="0" applyFill="1" applyAlignment="1" applyProtection="1">
      <alignment vertical="center" wrapText="1"/>
    </xf>
    <xf numFmtId="0" fontId="0" fillId="6" borderId="0" xfId="0" applyFill="1" applyAlignment="1" applyProtection="1">
      <alignment vertical="center"/>
      <protection locked="0"/>
    </xf>
    <xf numFmtId="2" fontId="0" fillId="6" borderId="0" xfId="0" applyNumberFormat="1" applyFill="1" applyBorder="1" applyAlignment="1" applyProtection="1">
      <alignment vertical="top"/>
    </xf>
    <xf numFmtId="0" fontId="0" fillId="6" borderId="0" xfId="0" applyFill="1" applyAlignment="1" applyProtection="1">
      <alignment vertical="top"/>
      <protection locked="0"/>
    </xf>
    <xf numFmtId="1" fontId="8" fillId="2" borderId="0" xfId="0" applyNumberFormat="1" applyFont="1" applyFill="1" applyAlignment="1" applyProtection="1">
      <alignment vertical="center"/>
    </xf>
    <xf numFmtId="1" fontId="4" fillId="6" borderId="0" xfId="0" applyNumberFormat="1" applyFont="1" applyFill="1" applyBorder="1" applyAlignment="1" applyProtection="1">
      <alignment vertical="top"/>
    </xf>
    <xf numFmtId="0" fontId="0" fillId="6" borderId="4" xfId="0" applyFill="1" applyBorder="1" applyAlignment="1" applyProtection="1">
      <alignment vertical="top"/>
      <protection locked="0"/>
    </xf>
    <xf numFmtId="0" fontId="0" fillId="6" borderId="4" xfId="0" applyFill="1" applyBorder="1" applyAlignment="1" applyProtection="1">
      <alignment vertical="top" wrapText="1"/>
      <protection locked="0"/>
    </xf>
    <xf numFmtId="9" fontId="0" fillId="6" borderId="4" xfId="0" applyNumberFormat="1" applyFill="1" applyBorder="1" applyAlignment="1" applyProtection="1">
      <alignment vertical="top"/>
      <protection locked="0"/>
    </xf>
    <xf numFmtId="2" fontId="0" fillId="6" borderId="4" xfId="0" applyNumberFormat="1" applyFill="1" applyBorder="1" applyAlignment="1" applyProtection="1">
      <alignment vertical="top"/>
      <protection locked="0"/>
    </xf>
    <xf numFmtId="0" fontId="11" fillId="6" borderId="0" xfId="0" applyFont="1" applyFill="1" applyAlignment="1" applyProtection="1">
      <alignment vertical="top" wrapText="1"/>
    </xf>
    <xf numFmtId="0" fontId="0" fillId="6" borderId="0" xfId="0" applyFill="1" applyAlignment="1" applyProtection="1">
      <alignment vertical="top" wrapText="1"/>
      <protection locked="0"/>
    </xf>
    <xf numFmtId="0" fontId="0" fillId="4" borderId="0" xfId="0" applyFill="1" applyAlignment="1" applyProtection="1">
      <alignment vertical="top"/>
    </xf>
    <xf numFmtId="0" fontId="9" fillId="4" borderId="0" xfId="0" applyFont="1" applyFill="1" applyAlignment="1" applyProtection="1">
      <alignment vertical="top"/>
    </xf>
    <xf numFmtId="2" fontId="0" fillId="4" borderId="0" xfId="0" applyNumberFormat="1" applyFill="1" applyAlignment="1" applyProtection="1">
      <alignment vertical="top"/>
    </xf>
    <xf numFmtId="0" fontId="0" fillId="4" borderId="0" xfId="0" applyFill="1" applyAlignment="1" applyProtection="1">
      <alignment vertical="top" wrapText="1"/>
    </xf>
    <xf numFmtId="0" fontId="0" fillId="2" borderId="0" xfId="0" applyFill="1" applyAlignment="1" applyProtection="1">
      <alignment vertical="center"/>
    </xf>
    <xf numFmtId="0" fontId="8" fillId="2" borderId="0" xfId="0" applyFont="1" applyFill="1" applyAlignment="1" applyProtection="1">
      <alignment vertical="center"/>
    </xf>
    <xf numFmtId="2" fontId="7" fillId="2" borderId="0" xfId="0" applyNumberFormat="1" applyFont="1" applyFill="1" applyAlignment="1" applyProtection="1">
      <alignment vertical="center"/>
    </xf>
    <xf numFmtId="0" fontId="7" fillId="2" borderId="0" xfId="0" applyFont="1" applyFill="1" applyAlignment="1" applyProtection="1">
      <alignment vertical="center"/>
    </xf>
    <xf numFmtId="0" fontId="7" fillId="2" borderId="0" xfId="0" applyFont="1" applyFill="1" applyAlignment="1" applyProtection="1">
      <alignment vertical="center" wrapText="1"/>
    </xf>
    <xf numFmtId="0" fontId="0" fillId="6" borderId="4" xfId="0" applyFill="1" applyBorder="1" applyAlignment="1" applyProtection="1">
      <alignment vertical="top" wrapText="1"/>
    </xf>
    <xf numFmtId="0" fontId="0" fillId="6" borderId="8" xfId="0" applyFill="1" applyBorder="1" applyAlignment="1" applyProtection="1">
      <alignment vertical="top" wrapText="1"/>
      <protection locked="0"/>
    </xf>
    <xf numFmtId="0" fontId="0" fillId="8" borderId="0" xfId="0" applyFill="1" applyAlignment="1" applyProtection="1">
      <alignment vertical="top"/>
    </xf>
    <xf numFmtId="0" fontId="0" fillId="8" borderId="0" xfId="0" applyFill="1" applyAlignment="1" applyProtection="1">
      <alignment vertical="top" wrapText="1"/>
    </xf>
    <xf numFmtId="0" fontId="2" fillId="8" borderId="0" xfId="0" applyFont="1" applyFill="1" applyBorder="1" applyAlignment="1" applyProtection="1">
      <alignment vertical="top"/>
    </xf>
    <xf numFmtId="9" fontId="14" fillId="8" borderId="2" xfId="0" applyNumberFormat="1" applyFont="1" applyFill="1" applyBorder="1" applyAlignment="1" applyProtection="1">
      <alignment vertical="top"/>
    </xf>
    <xf numFmtId="0" fontId="0" fillId="9" borderId="0" xfId="0" applyFill="1" applyAlignment="1" applyProtection="1">
      <alignment vertical="top"/>
    </xf>
    <xf numFmtId="9" fontId="0" fillId="5" borderId="10" xfId="0" applyNumberFormat="1" applyFill="1" applyBorder="1" applyAlignment="1" applyProtection="1">
      <alignment horizontal="right" vertical="top"/>
      <protection locked="0"/>
    </xf>
    <xf numFmtId="0" fontId="0" fillId="5" borderId="10" xfId="0" applyFill="1" applyBorder="1" applyAlignment="1" applyProtection="1">
      <alignment horizontal="right" vertical="top"/>
      <protection locked="0"/>
    </xf>
    <xf numFmtId="9" fontId="0" fillId="5" borderId="10" xfId="0" applyNumberFormat="1" applyFill="1" applyBorder="1" applyAlignment="1" applyProtection="1">
      <alignment horizontal="left" vertical="top"/>
      <protection locked="0"/>
    </xf>
    <xf numFmtId="0" fontId="0" fillId="5" borderId="10" xfId="0" applyFill="1" applyBorder="1" applyAlignment="1" applyProtection="1">
      <alignment horizontal="left" vertical="top"/>
      <protection locked="0"/>
    </xf>
    <xf numFmtId="0" fontId="2" fillId="8" borderId="0" xfId="0" applyFont="1" applyFill="1" applyAlignment="1" applyProtection="1">
      <alignment horizontal="center" vertical="top"/>
    </xf>
    <xf numFmtId="0" fontId="2" fillId="8" borderId="17" xfId="0" applyFont="1" applyFill="1" applyBorder="1" applyAlignment="1" applyProtection="1">
      <alignment horizontal="center" vertical="top"/>
    </xf>
    <xf numFmtId="0" fontId="0" fillId="8" borderId="1" xfId="0" applyFill="1" applyBorder="1" applyAlignment="1" applyProtection="1">
      <alignment vertical="top"/>
    </xf>
    <xf numFmtId="0" fontId="2" fillId="3" borderId="17" xfId="0" applyFont="1" applyFill="1" applyBorder="1" applyAlignment="1" applyProtection="1">
      <alignment horizontal="center" vertical="top"/>
    </xf>
    <xf numFmtId="0" fontId="2" fillId="3" borderId="19" xfId="0" applyFont="1" applyFill="1" applyBorder="1" applyAlignment="1" applyProtection="1">
      <alignment horizontal="center" vertical="top"/>
    </xf>
    <xf numFmtId="166" fontId="0" fillId="5" borderId="10" xfId="0" applyNumberFormat="1" applyFill="1" applyBorder="1" applyAlignment="1" applyProtection="1">
      <alignment horizontal="center" vertical="top"/>
      <protection locked="0"/>
    </xf>
    <xf numFmtId="166" fontId="0" fillId="5" borderId="10" xfId="0" applyNumberFormat="1" applyFill="1" applyBorder="1" applyAlignment="1" applyProtection="1">
      <alignment horizontal="left" vertical="top"/>
      <protection locked="0"/>
    </xf>
    <xf numFmtId="0" fontId="6" fillId="10" borderId="0" xfId="0" applyFont="1" applyFill="1" applyBorder="1" applyAlignment="1" applyProtection="1">
      <alignment vertical="center"/>
      <protection locked="0"/>
    </xf>
    <xf numFmtId="0" fontId="5" fillId="10" borderId="0" xfId="0" applyFont="1" applyFill="1" applyBorder="1" applyAlignment="1" applyProtection="1">
      <alignment vertical="center" wrapText="1"/>
      <protection locked="0"/>
    </xf>
    <xf numFmtId="0" fontId="5" fillId="10" borderId="0" xfId="0" applyFont="1" applyFill="1" applyBorder="1" applyAlignment="1" applyProtection="1">
      <alignment vertical="center" wrapText="1"/>
    </xf>
    <xf numFmtId="0" fontId="5" fillId="10" borderId="0" xfId="0" applyFont="1" applyFill="1" applyBorder="1" applyAlignment="1" applyProtection="1">
      <alignment vertical="center"/>
    </xf>
    <xf numFmtId="0" fontId="0" fillId="4" borderId="0" xfId="0" applyFill="1" applyBorder="1" applyAlignment="1" applyProtection="1">
      <alignment vertical="top"/>
    </xf>
    <xf numFmtId="0" fontId="0" fillId="6" borderId="0" xfId="0" applyFill="1" applyBorder="1" applyAlignment="1" applyProtection="1">
      <alignment vertical="top" wrapText="1"/>
    </xf>
    <xf numFmtId="0" fontId="0" fillId="10" borderId="0" xfId="0" applyFill="1" applyBorder="1" applyAlignment="1" applyProtection="1">
      <alignment vertical="top"/>
    </xf>
    <xf numFmtId="0" fontId="0" fillId="10" borderId="0" xfId="0" applyFill="1" applyBorder="1" applyAlignment="1" applyProtection="1">
      <alignment vertical="top" wrapText="1"/>
    </xf>
    <xf numFmtId="0" fontId="0" fillId="4" borderId="0" xfId="0" applyFill="1" applyAlignment="1" applyProtection="1">
      <alignment vertical="top"/>
      <protection locked="0"/>
    </xf>
    <xf numFmtId="0" fontId="0" fillId="4" borderId="0" xfId="0" applyFill="1" applyAlignment="1" applyProtection="1">
      <alignment vertical="top" wrapText="1"/>
      <protection locked="0"/>
    </xf>
    <xf numFmtId="1" fontId="0" fillId="4" borderId="13" xfId="0" applyNumberFormat="1" applyFill="1" applyBorder="1" applyAlignment="1" applyProtection="1">
      <alignment vertical="top"/>
    </xf>
    <xf numFmtId="1" fontId="18" fillId="4" borderId="0" xfId="0" applyNumberFormat="1" applyFont="1" applyFill="1" applyAlignment="1" applyProtection="1">
      <alignment vertical="top"/>
    </xf>
    <xf numFmtId="0" fontId="9" fillId="4" borderId="0" xfId="0" applyFont="1" applyFill="1" applyAlignment="1" applyProtection="1">
      <alignment vertical="top"/>
      <protection locked="0"/>
    </xf>
    <xf numFmtId="0" fontId="0" fillId="4" borderId="0" xfId="0" applyFont="1" applyFill="1" applyAlignment="1" applyProtection="1">
      <alignment vertical="top"/>
      <protection locked="0"/>
    </xf>
    <xf numFmtId="9" fontId="14" fillId="8" borderId="0" xfId="0" applyNumberFormat="1" applyFont="1" applyFill="1" applyBorder="1" applyAlignment="1" applyProtection="1">
      <alignment vertical="top"/>
    </xf>
    <xf numFmtId="0" fontId="2" fillId="2" borderId="0" xfId="0" applyFont="1" applyFill="1" applyAlignment="1">
      <alignment horizontal="right"/>
    </xf>
    <xf numFmtId="0" fontId="2" fillId="2" borderId="0" xfId="0" applyFont="1" applyFill="1" applyAlignment="1">
      <alignment horizontal="right" vertical="center"/>
    </xf>
    <xf numFmtId="167" fontId="27" fillId="2" borderId="20" xfId="0" applyNumberFormat="1" applyFont="1" applyFill="1" applyBorder="1" applyAlignment="1">
      <alignment horizontal="center" textRotation="90"/>
    </xf>
    <xf numFmtId="167" fontId="27" fillId="2" borderId="3" xfId="0" applyNumberFormat="1" applyFont="1" applyFill="1" applyBorder="1" applyAlignment="1">
      <alignment horizontal="center" textRotation="90"/>
    </xf>
    <xf numFmtId="167" fontId="27" fillId="2" borderId="21" xfId="0" applyNumberFormat="1" applyFont="1" applyFill="1" applyBorder="1" applyAlignment="1">
      <alignment horizontal="center" textRotation="90"/>
    </xf>
    <xf numFmtId="0" fontId="0" fillId="4" borderId="0" xfId="0" applyFill="1" applyAlignment="1" applyProtection="1">
      <alignment horizontal="right" vertical="top"/>
    </xf>
    <xf numFmtId="0" fontId="20" fillId="4" borderId="0" xfId="3" applyFill="1" applyAlignment="1" applyProtection="1">
      <alignment vertical="top" wrapText="1"/>
    </xf>
    <xf numFmtId="0" fontId="0" fillId="3" borderId="0" xfId="0" applyFont="1" applyFill="1" applyAlignment="1" applyProtection="1">
      <alignment vertical="top" wrapText="1"/>
    </xf>
    <xf numFmtId="0" fontId="15" fillId="7" borderId="0" xfId="0" applyFont="1" applyFill="1" applyBorder="1" applyAlignment="1" applyProtection="1">
      <alignment horizontal="center" vertical="top"/>
    </xf>
    <xf numFmtId="0" fontId="15" fillId="7" borderId="0" xfId="0" applyFont="1" applyFill="1" applyAlignment="1" applyProtection="1">
      <alignment horizontal="center" vertical="center"/>
    </xf>
    <xf numFmtId="0" fontId="0" fillId="6" borderId="0" xfId="0" applyFill="1" applyBorder="1" applyAlignment="1" applyProtection="1">
      <alignment horizontal="center" vertical="top"/>
    </xf>
    <xf numFmtId="0" fontId="27" fillId="7" borderId="0" xfId="0" applyFont="1" applyFill="1" applyAlignment="1" applyProtection="1">
      <alignment horizontal="center" vertical="center"/>
    </xf>
    <xf numFmtId="0" fontId="27" fillId="7" borderId="0" xfId="0" applyFont="1" applyFill="1" applyBorder="1" applyAlignment="1" applyProtection="1">
      <alignment horizontal="center" vertical="center"/>
    </xf>
    <xf numFmtId="0" fontId="28" fillId="7" borderId="0" xfId="0" applyFont="1" applyFill="1" applyBorder="1" applyAlignment="1" applyProtection="1">
      <alignment horizontal="center" vertical="center"/>
    </xf>
    <xf numFmtId="0" fontId="29" fillId="7" borderId="0" xfId="0" applyFont="1" applyFill="1" applyAlignment="1" applyProtection="1">
      <alignment horizontal="center" vertical="center"/>
    </xf>
    <xf numFmtId="0" fontId="29" fillId="7" borderId="0" xfId="0" applyFont="1" applyFill="1" applyBorder="1" applyAlignment="1" applyProtection="1">
      <alignment horizontal="center" vertical="top"/>
    </xf>
    <xf numFmtId="0" fontId="28" fillId="7" borderId="0" xfId="0" applyFont="1" applyFill="1" applyBorder="1" applyAlignment="1" applyProtection="1">
      <alignment horizontal="center" vertical="top"/>
    </xf>
    <xf numFmtId="0" fontId="8" fillId="13" borderId="0" xfId="0" applyFont="1" applyFill="1" applyAlignment="1" applyProtection="1">
      <alignment vertical="center" wrapText="1"/>
      <protection locked="0"/>
    </xf>
    <xf numFmtId="0" fontId="8" fillId="13" borderId="0" xfId="0" applyFont="1" applyFill="1" applyAlignment="1" applyProtection="1">
      <alignment vertical="center"/>
    </xf>
    <xf numFmtId="2" fontId="7" fillId="13" borderId="0" xfId="0" applyNumberFormat="1" applyFont="1" applyFill="1" applyAlignment="1" applyProtection="1">
      <alignment vertical="center"/>
    </xf>
    <xf numFmtId="0" fontId="7" fillId="13" borderId="0" xfId="0" applyFont="1" applyFill="1" applyAlignment="1" applyProtection="1">
      <alignment vertical="center"/>
    </xf>
    <xf numFmtId="0" fontId="7" fillId="13" borderId="0" xfId="0" applyFont="1" applyFill="1" applyAlignment="1" applyProtection="1">
      <alignment vertical="center" wrapText="1"/>
    </xf>
    <xf numFmtId="1" fontId="30" fillId="13" borderId="0" xfId="0" applyNumberFormat="1" applyFont="1" applyFill="1" applyAlignment="1" applyProtection="1">
      <alignment vertical="center"/>
      <protection locked="0"/>
    </xf>
    <xf numFmtId="0" fontId="31" fillId="11" borderId="0" xfId="0" applyFont="1" applyFill="1" applyBorder="1" applyAlignment="1" applyProtection="1">
      <alignment horizontal="center" vertical="top" textRotation="90"/>
    </xf>
    <xf numFmtId="0" fontId="31" fillId="11" borderId="0" xfId="0" applyFont="1" applyFill="1" applyAlignment="1" applyProtection="1">
      <alignment horizontal="center" vertical="top" textRotation="90"/>
    </xf>
    <xf numFmtId="0" fontId="0" fillId="14" borderId="0" xfId="0" applyFill="1" applyAlignment="1" applyProtection="1">
      <alignment vertical="top"/>
    </xf>
    <xf numFmtId="0" fontId="12" fillId="14" borderId="0" xfId="0" applyFont="1" applyFill="1" applyAlignment="1" applyProtection="1">
      <alignment vertical="top"/>
    </xf>
    <xf numFmtId="0" fontId="24" fillId="14" borderId="0" xfId="0" applyFont="1" applyFill="1" applyBorder="1" applyAlignment="1" applyProtection="1">
      <alignment vertical="center"/>
    </xf>
    <xf numFmtId="165" fontId="23" fillId="14" borderId="0" xfId="1" applyNumberFormat="1" applyFont="1" applyFill="1" applyAlignment="1" applyProtection="1">
      <alignment horizontal="left" vertical="center"/>
    </xf>
    <xf numFmtId="0" fontId="0" fillId="16" borderId="0" xfId="0" applyFill="1"/>
    <xf numFmtId="0" fontId="0" fillId="4" borderId="0" xfId="0" applyFill="1" applyBorder="1" applyAlignment="1" applyProtection="1">
      <alignment vertical="top" wrapText="1"/>
      <protection locked="0"/>
    </xf>
    <xf numFmtId="166" fontId="0" fillId="5" borderId="10" xfId="0" applyNumberFormat="1" applyFill="1" applyBorder="1" applyAlignment="1" applyProtection="1">
      <alignment horizontal="right" vertical="top"/>
      <protection locked="0"/>
    </xf>
    <xf numFmtId="0" fontId="22" fillId="4" borderId="0" xfId="0" applyFont="1" applyFill="1" applyBorder="1" applyAlignment="1" applyProtection="1">
      <alignment vertical="top"/>
    </xf>
    <xf numFmtId="0" fontId="0" fillId="4" borderId="0" xfId="0" applyFill="1" applyBorder="1" applyAlignment="1" applyProtection="1">
      <alignment vertical="top" wrapText="1"/>
    </xf>
    <xf numFmtId="166" fontId="0" fillId="4" borderId="13" xfId="0" applyNumberFormat="1" applyFill="1" applyBorder="1" applyAlignment="1" applyProtection="1">
      <alignment vertical="top"/>
    </xf>
    <xf numFmtId="9" fontId="0" fillId="14" borderId="10" xfId="0" applyNumberFormat="1" applyFill="1" applyBorder="1" applyAlignment="1" applyProtection="1">
      <alignment horizontal="right" vertical="top"/>
      <protection locked="0"/>
    </xf>
    <xf numFmtId="166" fontId="0" fillId="14" borderId="10" xfId="0" applyNumberFormat="1" applyFill="1" applyBorder="1" applyAlignment="1" applyProtection="1">
      <alignment horizontal="right" vertical="top"/>
      <protection locked="0"/>
    </xf>
    <xf numFmtId="0" fontId="2" fillId="4" borderId="15" xfId="0" applyFont="1" applyFill="1" applyBorder="1" applyAlignment="1" applyProtection="1">
      <alignment horizontal="right" vertical="top" wrapText="1"/>
    </xf>
    <xf numFmtId="0" fontId="2" fillId="4" borderId="22" xfId="0" applyFont="1" applyFill="1" applyBorder="1" applyAlignment="1" applyProtection="1">
      <alignment horizontal="right" vertical="top"/>
    </xf>
    <xf numFmtId="15" fontId="0" fillId="4" borderId="10" xfId="0" applyNumberFormat="1" applyFill="1" applyBorder="1" applyAlignment="1" applyProtection="1">
      <alignment vertical="top" wrapText="1"/>
    </xf>
    <xf numFmtId="15" fontId="0" fillId="4" borderId="13" xfId="0" applyNumberFormat="1" applyFill="1" applyBorder="1" applyAlignment="1" applyProtection="1">
      <alignment vertical="top" wrapText="1"/>
    </xf>
    <xf numFmtId="15" fontId="0" fillId="4" borderId="18" xfId="0" applyNumberFormat="1" applyFill="1" applyBorder="1" applyAlignment="1" applyProtection="1">
      <alignment vertical="top" wrapText="1"/>
    </xf>
    <xf numFmtId="15" fontId="2" fillId="5" borderId="13" xfId="0" applyNumberFormat="1" applyFont="1" applyFill="1" applyBorder="1" applyAlignment="1" applyProtection="1">
      <alignment vertical="top" wrapText="1"/>
      <protection locked="0"/>
    </xf>
    <xf numFmtId="0" fontId="18" fillId="4" borderId="0" xfId="0" applyFont="1" applyFill="1" applyBorder="1" applyAlignment="1" applyProtection="1">
      <alignment horizontal="right" vertical="top"/>
    </xf>
    <xf numFmtId="0" fontId="18" fillId="4" borderId="0" xfId="0" applyFont="1" applyFill="1" applyBorder="1" applyAlignment="1" applyProtection="1">
      <alignment vertical="top"/>
    </xf>
    <xf numFmtId="0" fontId="36" fillId="19" borderId="0" xfId="0" applyFont="1" applyFill="1" applyBorder="1" applyAlignment="1" applyProtection="1">
      <alignment horizontal="right" vertical="top"/>
    </xf>
    <xf numFmtId="0" fontId="36" fillId="19" borderId="0" xfId="0" applyFont="1" applyFill="1" applyBorder="1" applyAlignment="1" applyProtection="1">
      <alignment vertical="top"/>
    </xf>
    <xf numFmtId="0" fontId="36" fillId="19" borderId="0" xfId="0" applyFont="1" applyFill="1" applyBorder="1" applyAlignment="1" applyProtection="1">
      <alignment horizontal="right" vertical="center"/>
    </xf>
    <xf numFmtId="15" fontId="2" fillId="4" borderId="12" xfId="0" applyNumberFormat="1" applyFont="1" applyFill="1" applyBorder="1" applyAlignment="1" applyProtection="1">
      <alignment vertical="top" wrapText="1"/>
    </xf>
    <xf numFmtId="166" fontId="0" fillId="5" borderId="12" xfId="0" applyNumberFormat="1" applyFill="1" applyBorder="1" applyAlignment="1" applyProtection="1">
      <alignment horizontal="right" vertical="top"/>
      <protection locked="0"/>
    </xf>
    <xf numFmtId="166" fontId="0" fillId="14" borderId="12" xfId="0" applyNumberFormat="1" applyFill="1" applyBorder="1" applyAlignment="1" applyProtection="1">
      <alignment horizontal="right" vertical="top"/>
      <protection locked="0"/>
    </xf>
    <xf numFmtId="166" fontId="0" fillId="5" borderId="12" xfId="0" applyNumberFormat="1" applyFill="1" applyBorder="1" applyAlignment="1" applyProtection="1">
      <alignment horizontal="left" vertical="top"/>
      <protection locked="0"/>
    </xf>
    <xf numFmtId="0" fontId="17" fillId="19" borderId="0" xfId="0" applyFont="1" applyFill="1" applyBorder="1" applyAlignment="1" applyProtection="1">
      <alignment vertical="top"/>
    </xf>
    <xf numFmtId="0" fontId="37" fillId="19" borderId="0" xfId="0" applyFont="1" applyFill="1" applyBorder="1" applyAlignment="1" applyProtection="1">
      <alignment vertical="top"/>
    </xf>
    <xf numFmtId="1" fontId="38" fillId="19" borderId="0" xfId="0" applyNumberFormat="1" applyFont="1" applyFill="1" applyBorder="1" applyAlignment="1" applyProtection="1">
      <alignment vertical="top"/>
    </xf>
    <xf numFmtId="0" fontId="0" fillId="2" borderId="0" xfId="0" applyFill="1" applyAlignment="1">
      <alignment horizontal="right"/>
    </xf>
    <xf numFmtId="0" fontId="0" fillId="11" borderId="0" xfId="0" applyFill="1"/>
    <xf numFmtId="0" fontId="2" fillId="11" borderId="0" xfId="0" applyFont="1" applyFill="1" applyBorder="1" applyAlignment="1">
      <alignment horizontal="right"/>
    </xf>
    <xf numFmtId="166" fontId="0" fillId="0" borderId="0" xfId="0" applyNumberFormat="1"/>
    <xf numFmtId="0" fontId="0" fillId="20" borderId="0" xfId="0" applyFill="1"/>
    <xf numFmtId="0" fontId="0" fillId="18" borderId="0" xfId="0" applyFill="1"/>
    <xf numFmtId="0" fontId="0" fillId="21" borderId="0" xfId="0" applyFill="1"/>
    <xf numFmtId="0" fontId="0" fillId="17" borderId="0" xfId="0" applyFill="1"/>
    <xf numFmtId="0" fontId="0" fillId="22" borderId="0" xfId="0" applyFill="1"/>
    <xf numFmtId="0" fontId="40" fillId="0" borderId="0" xfId="0" applyFont="1" applyAlignment="1">
      <alignment vertical="top" wrapText="1"/>
    </xf>
    <xf numFmtId="0" fontId="41" fillId="0" borderId="0" xfId="0" applyFont="1" applyAlignment="1">
      <alignment horizontal="right"/>
    </xf>
    <xf numFmtId="0" fontId="39" fillId="0" borderId="0" xfId="0" applyFont="1" applyAlignment="1">
      <alignment vertical="top"/>
    </xf>
    <xf numFmtId="1" fontId="0" fillId="6" borderId="4" xfId="0" applyNumberFormat="1" applyFill="1" applyBorder="1" applyAlignment="1" applyProtection="1">
      <alignment vertical="top"/>
      <protection locked="0"/>
    </xf>
    <xf numFmtId="0" fontId="17" fillId="8" borderId="0" xfId="0" applyFont="1" applyFill="1" applyAlignment="1" applyProtection="1">
      <alignment vertical="top"/>
    </xf>
    <xf numFmtId="0" fontId="0" fillId="4" borderId="0" xfId="0" applyFill="1" applyAlignment="1" applyProtection="1">
      <alignment horizontal="right" vertical="top" wrapText="1"/>
    </xf>
    <xf numFmtId="0" fontId="0" fillId="5" borderId="0" xfId="0" applyFill="1" applyAlignment="1" applyProtection="1">
      <alignment horizontal="right" vertical="top" wrapText="1"/>
      <protection locked="0"/>
    </xf>
    <xf numFmtId="0" fontId="43" fillId="4" borderId="0" xfId="0" applyFont="1" applyFill="1" applyAlignment="1" applyProtection="1">
      <alignment vertical="top"/>
    </xf>
    <xf numFmtId="0" fontId="42" fillId="4" borderId="0" xfId="0" applyFont="1" applyFill="1" applyAlignment="1" applyProtection="1">
      <alignment horizontal="right" vertical="top" wrapText="1"/>
    </xf>
    <xf numFmtId="165" fontId="45" fillId="14" borderId="0" xfId="1" applyNumberFormat="1" applyFont="1" applyFill="1" applyAlignment="1" applyProtection="1">
      <alignment horizontal="left" vertical="center"/>
    </xf>
    <xf numFmtId="1" fontId="0" fillId="6" borderId="4" xfId="2" applyNumberFormat="1" applyFont="1" applyFill="1" applyBorder="1" applyAlignment="1" applyProtection="1">
      <alignment vertical="top"/>
      <protection locked="0"/>
    </xf>
    <xf numFmtId="0" fontId="33" fillId="9" borderId="0" xfId="0" applyFont="1" applyFill="1" applyAlignment="1" applyProtection="1">
      <alignment horizontal="right" vertical="center"/>
    </xf>
    <xf numFmtId="0" fontId="33" fillId="9" borderId="0" xfId="0" applyFont="1" applyFill="1" applyAlignment="1" applyProtection="1">
      <alignment vertical="center"/>
    </xf>
    <xf numFmtId="0" fontId="0" fillId="23" borderId="0" xfId="0" applyFill="1" applyAlignment="1" applyProtection="1">
      <alignment vertical="top"/>
    </xf>
    <xf numFmtId="0" fontId="12" fillId="23" borderId="0" xfId="0" applyFont="1" applyFill="1" applyAlignment="1" applyProtection="1">
      <alignment vertical="top"/>
    </xf>
    <xf numFmtId="0" fontId="13" fillId="15" borderId="0" xfId="0" applyFont="1" applyFill="1" applyAlignment="1" applyProtection="1">
      <alignment vertical="center"/>
    </xf>
    <xf numFmtId="0" fontId="50" fillId="14" borderId="4" xfId="0" applyFont="1" applyFill="1" applyBorder="1" applyAlignment="1" applyProtection="1">
      <alignment horizontal="right" vertical="center"/>
    </xf>
    <xf numFmtId="9" fontId="0" fillId="5" borderId="0" xfId="2" applyFont="1" applyFill="1" applyAlignment="1" applyProtection="1">
      <alignment vertical="center"/>
      <protection locked="0"/>
    </xf>
    <xf numFmtId="9" fontId="0" fillId="5" borderId="16" xfId="2" applyFont="1" applyFill="1" applyBorder="1" applyAlignment="1" applyProtection="1">
      <alignment vertical="center"/>
      <protection locked="0"/>
    </xf>
    <xf numFmtId="0" fontId="33" fillId="9" borderId="0" xfId="3" applyFont="1" applyFill="1" applyAlignment="1" applyProtection="1">
      <alignment horizontal="right" vertical="top"/>
    </xf>
    <xf numFmtId="0" fontId="33" fillId="9" borderId="0" xfId="0" applyFont="1" applyFill="1" applyAlignment="1" applyProtection="1">
      <alignment horizontal="left" vertical="top" indent="1"/>
    </xf>
    <xf numFmtId="0" fontId="0" fillId="5" borderId="0" xfId="0" applyFill="1" applyProtection="1">
      <protection locked="0"/>
    </xf>
    <xf numFmtId="0" fontId="0" fillId="5" borderId="0" xfId="0" applyFont="1" applyFill="1" applyProtection="1">
      <protection locked="0"/>
    </xf>
    <xf numFmtId="0" fontId="2" fillId="4" borderId="0" xfId="0" applyFont="1" applyFill="1" applyAlignment="1">
      <alignment horizontal="right"/>
    </xf>
    <xf numFmtId="0" fontId="0" fillId="4" borderId="0" xfId="0" applyFill="1" applyBorder="1" applyAlignment="1">
      <alignment horizontal="right"/>
    </xf>
    <xf numFmtId="0" fontId="0" fillId="4" borderId="0" xfId="0" applyFont="1" applyFill="1" applyBorder="1" applyAlignment="1">
      <alignment horizontal="right"/>
    </xf>
    <xf numFmtId="0" fontId="21" fillId="4" borderId="0" xfId="0" applyFont="1" applyFill="1" applyAlignment="1" applyProtection="1">
      <alignment horizontal="left" vertical="top"/>
    </xf>
    <xf numFmtId="0" fontId="42" fillId="4" borderId="0" xfId="0" applyFont="1" applyFill="1" applyAlignment="1" applyProtection="1">
      <alignment horizontal="right" vertical="top"/>
    </xf>
    <xf numFmtId="0" fontId="42" fillId="4" borderId="0" xfId="0" applyFont="1" applyFill="1" applyAlignment="1" applyProtection="1">
      <alignment horizontal="left" vertical="top"/>
    </xf>
    <xf numFmtId="9" fontId="0" fillId="2" borderId="14" xfId="2" applyFont="1" applyFill="1" applyBorder="1" applyAlignment="1" applyProtection="1">
      <alignment horizontal="left"/>
    </xf>
    <xf numFmtId="9" fontId="0" fillId="5" borderId="0" xfId="0" applyNumberFormat="1" applyFill="1" applyBorder="1" applyProtection="1">
      <protection locked="0"/>
    </xf>
    <xf numFmtId="0" fontId="51" fillId="4" borderId="0" xfId="0" applyFont="1" applyFill="1" applyBorder="1" applyAlignment="1">
      <alignment horizontal="right"/>
    </xf>
    <xf numFmtId="0" fontId="0" fillId="9" borderId="1" xfId="0" applyFill="1" applyBorder="1" applyAlignment="1" applyProtection="1">
      <alignment vertical="top"/>
    </xf>
    <xf numFmtId="164" fontId="8" fillId="2" borderId="0" xfId="1" applyFont="1" applyFill="1" applyAlignment="1" applyProtection="1">
      <alignment vertical="center"/>
    </xf>
    <xf numFmtId="164" fontId="0" fillId="6" borderId="4" xfId="1" applyFont="1" applyFill="1" applyBorder="1" applyAlignment="1" applyProtection="1">
      <alignment vertical="top"/>
      <protection locked="0"/>
    </xf>
    <xf numFmtId="164" fontId="0" fillId="12" borderId="4" xfId="1" applyFont="1" applyFill="1" applyBorder="1" applyAlignment="1" applyProtection="1">
      <alignment vertical="top"/>
    </xf>
    <xf numFmtId="2" fontId="0" fillId="2" borderId="4" xfId="0" applyNumberFormat="1" applyFill="1" applyBorder="1" applyAlignment="1" applyProtection="1">
      <alignment vertical="top"/>
    </xf>
    <xf numFmtId="0" fontId="54" fillId="0" borderId="0" xfId="0" applyFont="1" applyAlignment="1">
      <alignment vertical="top"/>
    </xf>
    <xf numFmtId="0" fontId="0" fillId="0" borderId="0" xfId="0" applyAlignment="1">
      <alignment vertical="top"/>
    </xf>
    <xf numFmtId="0" fontId="8" fillId="2" borderId="0" xfId="0" applyFont="1" applyFill="1" applyAlignment="1" applyProtection="1">
      <alignment horizontal="left" vertical="center"/>
    </xf>
    <xf numFmtId="0" fontId="8" fillId="2" borderId="0" xfId="0" applyFont="1" applyFill="1" applyAlignment="1" applyProtection="1">
      <alignment vertical="center" wrapText="1"/>
    </xf>
    <xf numFmtId="1" fontId="55" fillId="2" borderId="0" xfId="0" applyNumberFormat="1" applyFont="1" applyFill="1" applyAlignment="1" applyProtection="1">
      <alignment vertical="center"/>
    </xf>
    <xf numFmtId="0" fontId="55" fillId="2" borderId="0" xfId="0" applyFont="1" applyFill="1" applyAlignment="1" applyProtection="1">
      <alignment horizontal="left" vertical="center"/>
    </xf>
    <xf numFmtId="0" fontId="2" fillId="3" borderId="0" xfId="0" applyFont="1" applyFill="1" applyBorder="1" applyAlignment="1" applyProtection="1">
      <alignment horizontal="center" vertical="top"/>
    </xf>
    <xf numFmtId="0" fontId="2" fillId="9" borderId="0" xfId="0" applyFont="1" applyFill="1" applyAlignment="1" applyProtection="1">
      <alignment horizontal="center" vertical="center"/>
    </xf>
    <xf numFmtId="0" fontId="49" fillId="14" borderId="4" xfId="0" applyFont="1" applyFill="1" applyBorder="1" applyAlignment="1" applyProtection="1">
      <alignment vertical="center"/>
      <protection locked="0"/>
    </xf>
    <xf numFmtId="0" fontId="49" fillId="14" borderId="15" xfId="0" applyFont="1" applyFill="1" applyBorder="1" applyAlignment="1" applyProtection="1">
      <alignment vertical="center"/>
    </xf>
    <xf numFmtId="165" fontId="56" fillId="4" borderId="0" xfId="1" applyNumberFormat="1" applyFont="1" applyFill="1" applyBorder="1" applyAlignment="1" applyProtection="1">
      <alignment vertical="center"/>
    </xf>
    <xf numFmtId="0" fontId="2" fillId="3" borderId="0" xfId="0" applyFont="1" applyFill="1" applyBorder="1" applyAlignment="1" applyProtection="1">
      <alignment horizontal="center" vertical="top"/>
    </xf>
    <xf numFmtId="0" fontId="2" fillId="8" borderId="0" xfId="0" applyFont="1" applyFill="1" applyBorder="1" applyAlignment="1" applyProtection="1">
      <alignment horizontal="center" vertical="top"/>
    </xf>
    <xf numFmtId="0" fontId="2" fillId="8" borderId="19" xfId="0" applyFont="1" applyFill="1" applyBorder="1" applyAlignment="1" applyProtection="1">
      <alignment horizontal="center" vertical="top"/>
    </xf>
    <xf numFmtId="0" fontId="0" fillId="13" borderId="0" xfId="0" applyFill="1" applyAlignment="1" applyProtection="1">
      <alignment vertical="center"/>
    </xf>
    <xf numFmtId="0" fontId="44" fillId="4" borderId="0" xfId="0" applyFont="1" applyFill="1" applyAlignment="1" applyProtection="1">
      <alignment wrapText="1"/>
    </xf>
    <xf numFmtId="0" fontId="0" fillId="5" borderId="0" xfId="0" applyFill="1" applyAlignment="1" applyProtection="1">
      <alignment vertical="top"/>
      <protection locked="0"/>
    </xf>
    <xf numFmtId="0" fontId="0" fillId="5" borderId="0" xfId="0" applyFill="1" applyBorder="1" applyProtection="1">
      <protection locked="0"/>
    </xf>
    <xf numFmtId="0" fontId="0" fillId="5" borderId="0" xfId="0" applyFill="1" applyBorder="1" applyAlignment="1" applyProtection="1">
      <alignment vertical="top"/>
      <protection locked="0"/>
    </xf>
    <xf numFmtId="0" fontId="2" fillId="3" borderId="0" xfId="0" applyFont="1" applyFill="1" applyAlignment="1" applyProtection="1">
      <alignment vertical="top" wrapText="1"/>
      <protection locked="0"/>
    </xf>
    <xf numFmtId="0" fontId="2" fillId="8" borderId="0" xfId="0" applyFont="1" applyFill="1" applyBorder="1" applyAlignment="1" applyProtection="1">
      <alignment horizontal="center" vertical="top" wrapText="1"/>
    </xf>
    <xf numFmtId="0" fontId="2" fillId="3" borderId="0" xfId="0" applyFont="1" applyFill="1" applyBorder="1" applyAlignment="1" applyProtection="1">
      <alignment horizontal="center" vertical="top" wrapText="1"/>
    </xf>
    <xf numFmtId="0" fontId="50" fillId="14" borderId="9" xfId="0" applyFont="1" applyFill="1" applyBorder="1" applyAlignment="1" applyProtection="1">
      <alignment horizontal="right" vertical="center"/>
    </xf>
    <xf numFmtId="0" fontId="49" fillId="14" borderId="9" xfId="0" applyFont="1" applyFill="1" applyBorder="1" applyAlignment="1" applyProtection="1">
      <alignment vertical="center"/>
      <protection locked="0"/>
    </xf>
    <xf numFmtId="9" fontId="47" fillId="14" borderId="18" xfId="0" applyNumberFormat="1" applyFont="1" applyFill="1" applyBorder="1" applyAlignment="1" applyProtection="1">
      <alignment horizontal="center" vertical="center"/>
      <protection locked="0"/>
    </xf>
    <xf numFmtId="0" fontId="13" fillId="15" borderId="0" xfId="0" applyFont="1" applyFill="1" applyBorder="1" applyAlignment="1" applyProtection="1">
      <alignment vertical="center"/>
    </xf>
    <xf numFmtId="0" fontId="48" fillId="14" borderId="0" xfId="0" applyFont="1" applyFill="1" applyBorder="1" applyAlignment="1" applyProtection="1">
      <alignment horizontal="right" vertical="center"/>
    </xf>
    <xf numFmtId="0" fontId="0" fillId="14" borderId="4" xfId="0" applyFill="1" applyBorder="1" applyAlignment="1" applyProtection="1">
      <alignment vertical="top"/>
    </xf>
    <xf numFmtId="0" fontId="25" fillId="14" borderId="4" xfId="0" applyFont="1" applyFill="1" applyBorder="1" applyAlignment="1" applyProtection="1">
      <alignment vertical="center"/>
    </xf>
    <xf numFmtId="0" fontId="2" fillId="9" borderId="0" xfId="0" applyFont="1" applyFill="1" applyAlignment="1" applyProtection="1">
      <alignment horizontal="center" vertical="center"/>
    </xf>
    <xf numFmtId="0" fontId="57" fillId="4" borderId="0" xfId="3" applyFont="1" applyFill="1" applyBorder="1" applyAlignment="1" applyProtection="1">
      <alignment horizontal="center" vertical="top"/>
    </xf>
    <xf numFmtId="0" fontId="15" fillId="4" borderId="0" xfId="0" applyFont="1" applyFill="1" applyBorder="1" applyAlignment="1" applyProtection="1">
      <alignment horizontal="center" vertical="top"/>
    </xf>
    <xf numFmtId="0" fontId="2" fillId="24" borderId="0" xfId="0" applyFont="1" applyFill="1" applyAlignment="1" applyProtection="1">
      <alignment vertical="top" wrapText="1"/>
    </xf>
    <xf numFmtId="0" fontId="0" fillId="24" borderId="0" xfId="0" applyFill="1" applyAlignment="1" applyProtection="1">
      <alignment vertical="top" wrapText="1"/>
    </xf>
    <xf numFmtId="165" fontId="2" fillId="24" borderId="0" xfId="1" applyNumberFormat="1" applyFont="1" applyFill="1" applyAlignment="1" applyProtection="1">
      <alignment vertical="top"/>
    </xf>
    <xf numFmtId="0" fontId="2" fillId="24" borderId="0" xfId="0" applyFont="1" applyFill="1" applyAlignment="1" applyProtection="1">
      <alignment horizontal="right" vertical="top"/>
    </xf>
    <xf numFmtId="0" fontId="2" fillId="24" borderId="0" xfId="0" applyFont="1" applyFill="1" applyAlignment="1" applyProtection="1">
      <alignment horizontal="right" vertical="top" wrapText="1"/>
    </xf>
    <xf numFmtId="0" fontId="60" fillId="9" borderId="0" xfId="3" applyFont="1" applyFill="1" applyAlignment="1" applyProtection="1">
      <alignment horizontal="center" vertical="top"/>
    </xf>
    <xf numFmtId="0" fontId="61" fillId="0" borderId="0" xfId="0" applyFont="1" applyAlignment="1">
      <alignment horizontal="right" vertical="top"/>
    </xf>
    <xf numFmtId="0" fontId="32" fillId="14" borderId="0" xfId="0" applyFont="1" applyFill="1" applyAlignment="1" applyProtection="1">
      <alignment horizontal="right" vertical="center"/>
    </xf>
    <xf numFmtId="0" fontId="25" fillId="14" borderId="0" xfId="0" applyFont="1" applyFill="1" applyAlignment="1" applyProtection="1">
      <alignment horizontal="right" vertical="center"/>
    </xf>
    <xf numFmtId="0" fontId="62" fillId="25" borderId="0" xfId="0" applyFont="1" applyFill="1" applyAlignment="1" applyProtection="1">
      <alignment vertical="center"/>
      <protection locked="0"/>
    </xf>
    <xf numFmtId="0" fontId="21" fillId="25" borderId="0" xfId="0" applyFont="1" applyFill="1" applyAlignment="1" applyProtection="1">
      <alignment vertical="top"/>
      <protection locked="0"/>
    </xf>
    <xf numFmtId="0" fontId="0" fillId="25" borderId="0" xfId="0" applyFill="1" applyAlignment="1" applyProtection="1">
      <alignment vertical="top"/>
      <protection locked="0"/>
    </xf>
    <xf numFmtId="0" fontId="5" fillId="10" borderId="16" xfId="0" applyFont="1" applyFill="1" applyBorder="1" applyAlignment="1" applyProtection="1">
      <alignment vertical="center" wrapText="1"/>
      <protection locked="0"/>
    </xf>
    <xf numFmtId="0" fontId="0" fillId="0" borderId="0" xfId="0" applyAlignment="1">
      <alignment horizontal="right" vertical="top"/>
    </xf>
    <xf numFmtId="0" fontId="66" fillId="0" borderId="0" xfId="0" applyFont="1" applyAlignment="1">
      <alignment horizontal="right" vertical="center"/>
    </xf>
    <xf numFmtId="0" fontId="2" fillId="14" borderId="0" xfId="0" applyFont="1" applyFill="1" applyAlignment="1" applyProtection="1">
      <alignment horizontal="right" vertical="top"/>
    </xf>
    <xf numFmtId="0" fontId="0" fillId="8" borderId="0" xfId="0" applyFill="1" applyAlignment="1" applyProtection="1">
      <alignment horizontal="right" vertical="center"/>
    </xf>
    <xf numFmtId="0" fontId="2" fillId="0" borderId="0" xfId="0" applyFont="1" applyAlignment="1">
      <alignment horizontal="right"/>
    </xf>
    <xf numFmtId="9" fontId="14" fillId="8" borderId="17" xfId="0" applyNumberFormat="1" applyFont="1" applyFill="1" applyBorder="1" applyAlignment="1" applyProtection="1">
      <alignment vertical="top"/>
    </xf>
    <xf numFmtId="0" fontId="0" fillId="4" borderId="0" xfId="0" applyFill="1" applyBorder="1" applyAlignment="1" applyProtection="1">
      <alignment vertical="top"/>
      <protection locked="0"/>
    </xf>
    <xf numFmtId="166" fontId="0" fillId="5" borderId="10" xfId="2" applyNumberFormat="1" applyFont="1" applyFill="1" applyBorder="1" applyAlignment="1" applyProtection="1">
      <alignment horizontal="right" vertical="top"/>
      <protection locked="0"/>
    </xf>
    <xf numFmtId="166" fontId="0" fillId="14" borderId="10" xfId="2" applyNumberFormat="1" applyFont="1" applyFill="1" applyBorder="1" applyAlignment="1" applyProtection="1">
      <alignment horizontal="right" vertical="top"/>
      <protection locked="0"/>
    </xf>
    <xf numFmtId="166" fontId="0" fillId="5" borderId="12" xfId="2" applyNumberFormat="1" applyFont="1" applyFill="1" applyBorder="1" applyAlignment="1" applyProtection="1">
      <alignment horizontal="right" vertical="top"/>
      <protection locked="0"/>
    </xf>
    <xf numFmtId="0" fontId="69" fillId="0" borderId="0" xfId="0" applyFont="1"/>
    <xf numFmtId="0" fontId="70" fillId="0" borderId="0" xfId="0" applyFont="1"/>
    <xf numFmtId="0" fontId="71" fillId="0" borderId="0" xfId="0" applyFont="1"/>
    <xf numFmtId="0" fontId="72" fillId="0" borderId="0" xfId="0" applyFont="1"/>
    <xf numFmtId="0" fontId="74" fillId="0" borderId="0" xfId="0" applyFont="1"/>
    <xf numFmtId="0" fontId="43" fillId="0" borderId="0" xfId="0" applyFont="1"/>
    <xf numFmtId="0" fontId="0" fillId="0" borderId="0" xfId="0" applyFont="1"/>
    <xf numFmtId="0" fontId="75" fillId="0" borderId="0" xfId="0" applyFont="1"/>
    <xf numFmtId="0" fontId="21" fillId="0" borderId="0" xfId="0" applyFont="1" applyAlignment="1">
      <alignment vertical="top" wrapText="1"/>
    </xf>
    <xf numFmtId="0" fontId="21" fillId="0" borderId="0" xfId="0" applyFont="1" applyAlignment="1">
      <alignment vertical="top"/>
    </xf>
    <xf numFmtId="0" fontId="67" fillId="0" borderId="0" xfId="0" applyFont="1" applyAlignment="1">
      <alignment horizontal="center" vertical="top"/>
    </xf>
    <xf numFmtId="0" fontId="27" fillId="0" borderId="0" xfId="0" applyFont="1" applyAlignment="1">
      <alignment vertical="top"/>
    </xf>
    <xf numFmtId="0" fontId="20" fillId="0" borderId="0" xfId="3" applyAlignment="1">
      <alignment vertical="top"/>
    </xf>
    <xf numFmtId="0" fontId="68" fillId="0" borderId="0" xfId="0" applyFont="1" applyAlignment="1">
      <alignment vertical="top"/>
    </xf>
    <xf numFmtId="0" fontId="76" fillId="2" borderId="0" xfId="0" applyFont="1" applyFill="1" applyAlignment="1" applyProtection="1">
      <alignment vertical="center" wrapText="1"/>
      <protection locked="0"/>
    </xf>
    <xf numFmtId="0" fontId="0" fillId="4" borderId="0" xfId="0" applyFont="1" applyFill="1" applyAlignment="1" applyProtection="1">
      <alignment vertical="top"/>
    </xf>
    <xf numFmtId="0" fontId="2" fillId="4" borderId="0" xfId="0" applyFont="1" applyFill="1" applyAlignment="1" applyProtection="1">
      <alignment horizontal="right" vertical="top"/>
    </xf>
    <xf numFmtId="0" fontId="8" fillId="13" borderId="0" xfId="0" applyFont="1" applyFill="1" applyAlignment="1" applyProtection="1">
      <alignment vertical="center" wrapText="1"/>
    </xf>
    <xf numFmtId="0" fontId="33" fillId="9" borderId="0" xfId="0" applyFont="1" applyFill="1" applyAlignment="1" applyProtection="1">
      <alignment vertical="top"/>
    </xf>
    <xf numFmtId="0" fontId="25" fillId="14" borderId="15" xfId="0" applyFont="1" applyFill="1" applyBorder="1" applyAlignment="1" applyProtection="1">
      <alignment vertical="center"/>
    </xf>
    <xf numFmtId="0" fontId="0" fillId="14" borderId="0" xfId="0" applyFill="1" applyBorder="1" applyAlignment="1" applyProtection="1">
      <alignment vertical="top"/>
    </xf>
    <xf numFmtId="0" fontId="25" fillId="14" borderId="14" xfId="0" applyFont="1" applyFill="1" applyBorder="1" applyAlignment="1" applyProtection="1">
      <alignment vertical="center"/>
    </xf>
    <xf numFmtId="0" fontId="0" fillId="14" borderId="0" xfId="0" applyFill="1" applyBorder="1" applyAlignment="1" applyProtection="1">
      <alignment vertical="top" wrapText="1"/>
    </xf>
    <xf numFmtId="0" fontId="10" fillId="14" borderId="0" xfId="0" applyFont="1" applyFill="1" applyBorder="1" applyAlignment="1" applyProtection="1">
      <alignment horizontal="right"/>
    </xf>
    <xf numFmtId="0" fontId="2" fillId="8" borderId="2" xfId="0" applyFont="1" applyFill="1" applyBorder="1" applyAlignment="1" applyProtection="1">
      <alignment vertical="top"/>
    </xf>
    <xf numFmtId="0" fontId="33" fillId="9" borderId="0" xfId="0" applyFont="1" applyFill="1" applyAlignment="1" applyProtection="1">
      <alignment horizontal="right" vertical="top"/>
    </xf>
    <xf numFmtId="9" fontId="14" fillId="8" borderId="1" xfId="0" applyNumberFormat="1" applyFont="1" applyFill="1" applyBorder="1" applyAlignment="1" applyProtection="1">
      <alignment horizontal="center" vertical="center"/>
    </xf>
    <xf numFmtId="0" fontId="59" fillId="4" borderId="0" xfId="3" applyFont="1" applyFill="1" applyAlignment="1" applyProtection="1">
      <alignment horizontal="left" vertical="center"/>
    </xf>
    <xf numFmtId="0" fontId="25" fillId="14" borderId="9" xfId="0" applyFont="1" applyFill="1" applyBorder="1" applyAlignment="1" applyProtection="1">
      <alignment vertical="center"/>
    </xf>
    <xf numFmtId="0" fontId="64" fillId="4" borderId="0" xfId="0" applyFont="1" applyFill="1" applyBorder="1" applyAlignment="1" applyProtection="1">
      <alignment vertical="top"/>
    </xf>
    <xf numFmtId="166" fontId="0" fillId="5" borderId="22" xfId="0" applyNumberFormat="1" applyFill="1" applyBorder="1" applyAlignment="1" applyProtection="1">
      <alignment horizontal="left" vertical="top"/>
      <protection locked="0"/>
    </xf>
    <xf numFmtId="0" fontId="0" fillId="4" borderId="16" xfId="0" applyFill="1" applyBorder="1" applyAlignment="1" applyProtection="1">
      <alignment vertical="top"/>
      <protection locked="0"/>
    </xf>
    <xf numFmtId="0" fontId="0" fillId="19" borderId="0" xfId="0" applyFill="1" applyAlignment="1" applyProtection="1">
      <alignment vertical="top"/>
    </xf>
    <xf numFmtId="9" fontId="0" fillId="5" borderId="10" xfId="0" applyNumberFormat="1" applyFill="1" applyBorder="1" applyAlignment="1" applyProtection="1">
      <alignment vertical="top"/>
      <protection locked="0"/>
    </xf>
    <xf numFmtId="9" fontId="0" fillId="5" borderId="13" xfId="0" applyNumberFormat="1" applyFill="1" applyBorder="1" applyAlignment="1" applyProtection="1">
      <alignment vertical="top"/>
      <protection locked="0"/>
    </xf>
    <xf numFmtId="165" fontId="5" fillId="19" borderId="9" xfId="1" applyNumberFormat="1" applyFont="1" applyFill="1" applyBorder="1" applyAlignment="1" applyProtection="1">
      <alignment vertical="top"/>
    </xf>
    <xf numFmtId="1" fontId="5" fillId="19" borderId="9" xfId="0" applyNumberFormat="1" applyFont="1" applyFill="1" applyBorder="1" applyAlignment="1" applyProtection="1">
      <alignment vertical="top"/>
    </xf>
    <xf numFmtId="0" fontId="43" fillId="4" borderId="0" xfId="0" applyFont="1" applyFill="1" applyAlignment="1" applyProtection="1">
      <alignment horizontal="right" vertical="top"/>
    </xf>
    <xf numFmtId="0" fontId="11" fillId="14" borderId="0" xfId="0" applyFont="1" applyFill="1" applyBorder="1" applyAlignment="1" applyProtection="1">
      <alignment horizontal="right" vertical="center"/>
    </xf>
    <xf numFmtId="0" fontId="78" fillId="14" borderId="4" xfId="0" applyFont="1" applyFill="1" applyBorder="1" applyAlignment="1" applyProtection="1">
      <alignment horizontal="right" vertical="center"/>
    </xf>
    <xf numFmtId="0" fontId="77" fillId="14" borderId="0" xfId="0" applyFont="1" applyFill="1" applyAlignment="1" applyProtection="1">
      <alignment vertical="center"/>
    </xf>
    <xf numFmtId="0" fontId="2" fillId="26" borderId="0" xfId="0" applyFont="1" applyFill="1" applyAlignment="1" applyProtection="1">
      <alignment vertical="top"/>
    </xf>
    <xf numFmtId="0" fontId="2" fillId="26" borderId="0" xfId="0" applyFont="1" applyFill="1" applyAlignment="1" applyProtection="1">
      <alignment vertical="top" wrapText="1"/>
    </xf>
    <xf numFmtId="9" fontId="0" fillId="5" borderId="10" xfId="2" applyFont="1" applyFill="1" applyBorder="1" applyAlignment="1" applyProtection="1">
      <alignment horizontal="right" vertical="top"/>
      <protection locked="0"/>
    </xf>
    <xf numFmtId="9" fontId="0" fillId="14" borderId="10" xfId="2" applyFont="1" applyFill="1" applyBorder="1" applyAlignment="1" applyProtection="1">
      <alignment horizontal="right" vertical="top"/>
      <protection locked="0"/>
    </xf>
    <xf numFmtId="0" fontId="0" fillId="4" borderId="0" xfId="0" applyFill="1" applyAlignment="1" applyProtection="1">
      <alignment horizontal="right" vertical="top"/>
      <protection locked="0"/>
    </xf>
    <xf numFmtId="9" fontId="42" fillId="5" borderId="0" xfId="0" applyNumberFormat="1" applyFont="1" applyFill="1" applyAlignment="1" applyProtection="1">
      <alignment horizontal="right" vertical="top"/>
      <protection locked="0"/>
    </xf>
    <xf numFmtId="9" fontId="0" fillId="5" borderId="0" xfId="0" applyNumberFormat="1" applyFill="1" applyAlignment="1" applyProtection="1">
      <alignment vertical="top"/>
      <protection locked="0"/>
    </xf>
    <xf numFmtId="9" fontId="0" fillId="6" borderId="4" xfId="0" applyNumberFormat="1" applyFill="1" applyBorder="1" applyAlignment="1" applyProtection="1">
      <alignment vertical="top" wrapText="1"/>
      <protection locked="0"/>
    </xf>
    <xf numFmtId="0" fontId="0" fillId="6" borderId="0" xfId="0" applyFill="1" applyAlignment="1" applyProtection="1">
      <alignment horizontal="left" vertical="top"/>
    </xf>
    <xf numFmtId="0" fontId="0" fillId="23" borderId="0" xfId="0" applyFill="1" applyAlignment="1" applyProtection="1">
      <alignment horizontal="left" vertical="top"/>
    </xf>
    <xf numFmtId="0" fontId="16" fillId="14" borderId="0" xfId="0" applyFont="1" applyFill="1" applyAlignment="1" applyProtection="1">
      <alignment horizontal="left"/>
    </xf>
    <xf numFmtId="0" fontId="0" fillId="14" borderId="0" xfId="0" applyFill="1" applyAlignment="1" applyProtection="1">
      <alignment horizontal="left" vertical="top"/>
    </xf>
    <xf numFmtId="0" fontId="46" fillId="14" borderId="0" xfId="0" applyFont="1" applyFill="1" applyAlignment="1" applyProtection="1">
      <alignment horizontal="left" vertical="center"/>
    </xf>
    <xf numFmtId="0" fontId="3" fillId="6" borderId="0" xfId="0" applyFont="1" applyFill="1" applyAlignment="1" applyProtection="1">
      <alignment horizontal="left" vertical="top"/>
    </xf>
    <xf numFmtId="0" fontId="0" fillId="9" borderId="0" xfId="0" applyFill="1" applyAlignment="1" applyProtection="1">
      <alignment horizontal="left" vertical="top"/>
    </xf>
    <xf numFmtId="0" fontId="17" fillId="8" borderId="0" xfId="0" applyFont="1" applyFill="1" applyAlignment="1" applyProtection="1">
      <alignment horizontal="left" vertical="top"/>
    </xf>
    <xf numFmtId="0" fontId="2" fillId="3" borderId="0" xfId="0" applyFont="1" applyFill="1" applyAlignment="1" applyProtection="1">
      <alignment horizontal="left" vertical="top" wrapText="1"/>
    </xf>
    <xf numFmtId="0" fontId="6" fillId="10" borderId="0" xfId="0" applyFont="1" applyFill="1" applyBorder="1" applyAlignment="1" applyProtection="1">
      <alignment horizontal="left" vertical="center"/>
      <protection locked="0"/>
    </xf>
    <xf numFmtId="0" fontId="0" fillId="4" borderId="0" xfId="0" applyFill="1" applyAlignment="1" applyProtection="1">
      <alignment horizontal="left" vertical="top"/>
    </xf>
    <xf numFmtId="0" fontId="0" fillId="6" borderId="4" xfId="0" applyFill="1" applyBorder="1" applyAlignment="1" applyProtection="1">
      <alignment horizontal="left" vertical="top"/>
    </xf>
    <xf numFmtId="0" fontId="0" fillId="6" borderId="0" xfId="0" applyFill="1" applyBorder="1" applyAlignment="1" applyProtection="1">
      <alignment horizontal="left" vertical="top"/>
    </xf>
    <xf numFmtId="0" fontId="0" fillId="10" borderId="0" xfId="0" applyFill="1" applyBorder="1" applyAlignment="1" applyProtection="1">
      <alignment horizontal="left" vertical="top"/>
    </xf>
    <xf numFmtId="0" fontId="17" fillId="8" borderId="0" xfId="0" applyFont="1" applyFill="1" applyAlignment="1" applyProtection="1">
      <alignment horizontal="left" vertical="center"/>
    </xf>
    <xf numFmtId="0" fontId="2" fillId="24" borderId="0" xfId="0" applyFont="1" applyFill="1" applyAlignment="1" applyProtection="1">
      <alignment horizontal="left" vertical="top"/>
    </xf>
    <xf numFmtId="0" fontId="2" fillId="26" borderId="0" xfId="0" applyFont="1" applyFill="1" applyAlignment="1" applyProtection="1">
      <alignment horizontal="left" vertical="top"/>
    </xf>
    <xf numFmtId="0" fontId="0" fillId="24" borderId="0" xfId="0" applyFill="1" applyAlignment="1" applyProtection="1">
      <alignment horizontal="left" vertical="top"/>
    </xf>
    <xf numFmtId="0" fontId="0" fillId="6" borderId="0" xfId="0" applyFill="1" applyAlignment="1" applyProtection="1">
      <alignment horizontal="left" vertical="top"/>
      <protection locked="0"/>
    </xf>
    <xf numFmtId="0" fontId="0" fillId="4" borderId="0" xfId="0" applyFill="1" applyAlignment="1" applyProtection="1">
      <alignment horizontal="left" vertical="top"/>
      <protection locked="0"/>
    </xf>
    <xf numFmtId="0" fontId="2" fillId="4" borderId="12" xfId="0" applyFont="1" applyFill="1" applyBorder="1" applyAlignment="1" applyProtection="1">
      <alignment horizontal="center" vertical="top"/>
      <protection locked="0"/>
    </xf>
    <xf numFmtId="0" fontId="2" fillId="4" borderId="12" xfId="0" applyFont="1" applyFill="1" applyBorder="1" applyAlignment="1" applyProtection="1">
      <alignment vertical="top"/>
      <protection locked="0"/>
    </xf>
    <xf numFmtId="0" fontId="50" fillId="14" borderId="0" xfId="0" applyFont="1" applyFill="1" applyAlignment="1" applyProtection="1">
      <alignment horizontal="left" vertical="center"/>
    </xf>
    <xf numFmtId="0" fontId="0" fillId="6" borderId="0" xfId="0" applyFont="1" applyFill="1" applyBorder="1" applyAlignment="1" applyProtection="1">
      <alignment vertical="top"/>
    </xf>
    <xf numFmtId="0" fontId="0" fillId="6" borderId="0" xfId="0" applyFont="1" applyFill="1" applyBorder="1" applyAlignment="1" applyProtection="1">
      <alignment horizontal="center" vertical="top"/>
    </xf>
    <xf numFmtId="0" fontId="0" fillId="4" borderId="0" xfId="0" applyFont="1" applyFill="1" applyAlignment="1" applyProtection="1">
      <alignment horizontal="left" vertical="top"/>
    </xf>
    <xf numFmtId="0" fontId="0" fillId="4" borderId="0" xfId="0" applyFont="1" applyFill="1" applyAlignment="1" applyProtection="1">
      <alignment vertical="top" wrapText="1"/>
    </xf>
    <xf numFmtId="166" fontId="0" fillId="4" borderId="0" xfId="0" applyNumberFormat="1" applyFont="1" applyFill="1" applyAlignment="1" applyProtection="1">
      <alignment vertical="top" wrapText="1"/>
    </xf>
    <xf numFmtId="166" fontId="0" fillId="4" borderId="0" xfId="0" applyNumberFormat="1" applyFont="1" applyFill="1" applyAlignment="1" applyProtection="1">
      <alignment vertical="top"/>
    </xf>
    <xf numFmtId="0" fontId="0" fillId="6" borderId="0" xfId="0" applyFont="1" applyFill="1" applyAlignment="1" applyProtection="1">
      <alignment vertical="top" wrapText="1"/>
    </xf>
    <xf numFmtId="0" fontId="0" fillId="6" borderId="0" xfId="0" applyFont="1" applyFill="1" applyAlignment="1" applyProtection="1">
      <alignment vertical="top"/>
    </xf>
    <xf numFmtId="0" fontId="79" fillId="11" borderId="0" xfId="0" applyFont="1" applyFill="1" applyBorder="1" applyAlignment="1" applyProtection="1">
      <alignment horizontal="center" vertical="top" textRotation="90"/>
    </xf>
    <xf numFmtId="0" fontId="2" fillId="6" borderId="0" xfId="0" applyFont="1" applyFill="1" applyBorder="1" applyAlignment="1" applyProtection="1">
      <alignment vertical="top"/>
    </xf>
    <xf numFmtId="0" fontId="2" fillId="6" borderId="0" xfId="0" applyFont="1" applyFill="1" applyBorder="1" applyAlignment="1" applyProtection="1">
      <alignment horizontal="center" vertical="top"/>
    </xf>
    <xf numFmtId="0" fontId="77" fillId="7" borderId="0" xfId="0" applyFont="1" applyFill="1" applyBorder="1" applyAlignment="1" applyProtection="1">
      <alignment horizontal="center" vertical="top"/>
    </xf>
    <xf numFmtId="0" fontId="2" fillId="4" borderId="0" xfId="0" applyFont="1" applyFill="1" applyAlignment="1" applyProtection="1">
      <alignment vertical="top"/>
    </xf>
    <xf numFmtId="0" fontId="2" fillId="4" borderId="0" xfId="0" applyFont="1" applyFill="1" applyAlignment="1" applyProtection="1">
      <alignment horizontal="left" vertical="top"/>
    </xf>
    <xf numFmtId="0" fontId="2" fillId="4" borderId="0" xfId="0" applyFont="1" applyFill="1" applyAlignment="1" applyProtection="1">
      <alignment vertical="top" wrapText="1"/>
    </xf>
    <xf numFmtId="166" fontId="2" fillId="4" borderId="0" xfId="0" applyNumberFormat="1" applyFont="1" applyFill="1" applyAlignment="1" applyProtection="1">
      <alignment vertical="top" wrapText="1"/>
    </xf>
    <xf numFmtId="166" fontId="2" fillId="4" borderId="0" xfId="0" applyNumberFormat="1" applyFont="1" applyFill="1" applyAlignment="1" applyProtection="1">
      <alignment vertical="top"/>
    </xf>
    <xf numFmtId="0" fontId="2" fillId="6" borderId="0" xfId="0" applyFont="1" applyFill="1" applyAlignment="1" applyProtection="1">
      <alignment vertical="top" wrapText="1"/>
    </xf>
    <xf numFmtId="0" fontId="2" fillId="6" borderId="0" xfId="0" applyFont="1" applyFill="1" applyAlignment="1" applyProtection="1">
      <alignment vertical="top"/>
    </xf>
    <xf numFmtId="0" fontId="8" fillId="2" borderId="0" xfId="0" applyFont="1" applyFill="1" applyAlignment="1" applyProtection="1">
      <alignment horizontal="left" vertical="center"/>
      <protection locked="0"/>
    </xf>
    <xf numFmtId="0" fontId="7" fillId="13" borderId="0" xfId="0" applyFont="1" applyFill="1" applyAlignment="1" applyProtection="1">
      <alignment horizontal="left" vertical="center"/>
      <protection locked="0"/>
    </xf>
    <xf numFmtId="165" fontId="7" fillId="13" borderId="0" xfId="1" applyNumberFormat="1" applyFont="1" applyFill="1" applyAlignment="1" applyProtection="1">
      <alignment horizontal="left" vertical="center" indent="1"/>
    </xf>
    <xf numFmtId="2" fontId="8" fillId="13" borderId="0" xfId="0" applyNumberFormat="1" applyFont="1" applyFill="1" applyAlignment="1" applyProtection="1">
      <alignment horizontal="right" vertical="center"/>
      <protection locked="0"/>
    </xf>
    <xf numFmtId="0" fontId="63" fillId="4" borderId="0" xfId="0" applyFont="1" applyFill="1" applyAlignment="1" applyProtection="1">
      <alignment horizontal="right" vertical="top" wrapText="1"/>
      <protection locked="0"/>
    </xf>
    <xf numFmtId="0" fontId="2" fillId="8" borderId="5" xfId="0" applyFont="1" applyFill="1" applyBorder="1" applyAlignment="1" applyProtection="1">
      <alignment horizontal="center" vertical="top"/>
    </xf>
    <xf numFmtId="0" fontId="2" fillId="8" borderId="7" xfId="0" applyFont="1" applyFill="1" applyBorder="1" applyAlignment="1" applyProtection="1">
      <alignment horizontal="center" vertical="top"/>
    </xf>
    <xf numFmtId="0" fontId="2" fillId="8" borderId="6" xfId="0" applyFont="1" applyFill="1" applyBorder="1" applyAlignment="1" applyProtection="1">
      <alignment horizontal="center" vertical="top"/>
    </xf>
    <xf numFmtId="0" fontId="0" fillId="4" borderId="0" xfId="0" applyFill="1" applyAlignment="1" applyProtection="1">
      <alignment horizontal="left" vertical="top" wrapText="1"/>
    </xf>
    <xf numFmtId="0" fontId="35" fillId="4" borderId="16" xfId="0" applyFont="1" applyFill="1" applyBorder="1" applyAlignment="1" applyProtection="1">
      <alignment horizontal="center" vertical="center"/>
    </xf>
    <xf numFmtId="0" fontId="35" fillId="4" borderId="0" xfId="0" applyFont="1" applyFill="1" applyBorder="1" applyAlignment="1" applyProtection="1">
      <alignment horizontal="center" vertical="center"/>
    </xf>
    <xf numFmtId="0" fontId="35" fillId="4" borderId="8" xfId="0" applyFont="1" applyFill="1" applyBorder="1" applyAlignment="1" applyProtection="1">
      <alignment horizontal="center" vertical="center"/>
    </xf>
    <xf numFmtId="0" fontId="35" fillId="4" borderId="4" xfId="0" applyFont="1" applyFill="1" applyBorder="1" applyAlignment="1" applyProtection="1">
      <alignment horizontal="center" vertical="center"/>
    </xf>
    <xf numFmtId="165" fontId="0" fillId="4" borderId="11" xfId="1" applyNumberFormat="1" applyFont="1" applyFill="1" applyBorder="1" applyAlignment="1" applyProtection="1">
      <alignment horizontal="center" vertical="top"/>
    </xf>
    <xf numFmtId="165" fontId="0" fillId="4" borderId="13" xfId="1" applyNumberFormat="1" applyFont="1" applyFill="1" applyBorder="1" applyAlignment="1" applyProtection="1">
      <alignment horizontal="center" vertical="top"/>
    </xf>
    <xf numFmtId="165" fontId="0" fillId="4" borderId="8" xfId="1" applyNumberFormat="1" applyFont="1" applyFill="1" applyBorder="1" applyAlignment="1" applyProtection="1">
      <alignment horizontal="center" vertical="top"/>
    </xf>
    <xf numFmtId="165" fontId="0" fillId="4" borderId="15" xfId="1" applyNumberFormat="1" applyFont="1" applyFill="1" applyBorder="1" applyAlignment="1" applyProtection="1">
      <alignment horizontal="center" vertical="top"/>
    </xf>
    <xf numFmtId="165" fontId="5" fillId="19" borderId="9" xfId="1" applyNumberFormat="1" applyFont="1" applyFill="1" applyBorder="1" applyAlignment="1" applyProtection="1">
      <alignment horizontal="center" vertical="top"/>
    </xf>
    <xf numFmtId="0" fontId="19" fillId="19" borderId="9" xfId="0" applyFont="1" applyFill="1" applyBorder="1" applyAlignment="1" applyProtection="1">
      <alignment horizontal="center" vertical="top"/>
    </xf>
    <xf numFmtId="0" fontId="65" fillId="4" borderId="0" xfId="0" applyFont="1" applyFill="1" applyBorder="1" applyAlignment="1" applyProtection="1">
      <alignment horizontal="left" vertical="top" wrapText="1"/>
      <protection locked="0"/>
    </xf>
    <xf numFmtId="0" fontId="2" fillId="3" borderId="0" xfId="0" applyFont="1" applyFill="1" applyBorder="1" applyAlignment="1" applyProtection="1">
      <alignment horizontal="center" vertical="top"/>
    </xf>
    <xf numFmtId="0" fontId="2" fillId="3" borderId="2" xfId="0" applyFont="1" applyFill="1" applyBorder="1" applyAlignment="1" applyProtection="1">
      <alignment horizontal="center" vertical="top"/>
    </xf>
    <xf numFmtId="165" fontId="6" fillId="10" borderId="0" xfId="1" applyNumberFormat="1" applyFont="1" applyFill="1" applyBorder="1" applyAlignment="1" applyProtection="1">
      <alignment horizontal="right" vertical="center"/>
    </xf>
    <xf numFmtId="0" fontId="52" fillId="2" borderId="0" xfId="0" applyFont="1" applyFill="1" applyBorder="1" applyAlignment="1" applyProtection="1">
      <alignment horizontal="center" textRotation="90"/>
    </xf>
    <xf numFmtId="0" fontId="58" fillId="2" borderId="0" xfId="3" applyFont="1" applyFill="1" applyBorder="1" applyAlignment="1" applyProtection="1">
      <alignment horizontal="center"/>
    </xf>
    <xf numFmtId="0" fontId="2" fillId="9" borderId="7" xfId="0" applyFont="1" applyFill="1" applyBorder="1" applyAlignment="1" applyProtection="1">
      <alignment horizontal="center" vertical="top"/>
    </xf>
    <xf numFmtId="0" fontId="2" fillId="9" borderId="0" xfId="0" applyFont="1" applyFill="1" applyAlignment="1" applyProtection="1">
      <alignment horizontal="center" vertical="center"/>
    </xf>
    <xf numFmtId="0" fontId="57" fillId="4" borderId="0" xfId="3" applyFont="1" applyFill="1" applyBorder="1" applyAlignment="1" applyProtection="1">
      <alignment horizontal="center" vertical="top"/>
    </xf>
    <xf numFmtId="0" fontId="58" fillId="4" borderId="0" xfId="3" applyFont="1" applyFill="1" applyBorder="1" applyAlignment="1" applyProtection="1">
      <alignment horizontal="center" vertical="top"/>
    </xf>
    <xf numFmtId="0" fontId="2" fillId="14" borderId="0" xfId="0" applyFont="1" applyFill="1" applyAlignment="1" applyProtection="1">
      <alignment horizontal="center" vertical="center" wrapText="1"/>
    </xf>
    <xf numFmtId="15" fontId="0" fillId="14" borderId="0" xfId="0" applyNumberFormat="1" applyFill="1" applyAlignment="1" applyProtection="1">
      <alignment horizontal="left" vertical="top"/>
    </xf>
    <xf numFmtId="0" fontId="4" fillId="14" borderId="0" xfId="0" applyFont="1" applyFill="1" applyAlignment="1" applyProtection="1">
      <alignment horizontal="right" wrapText="1"/>
    </xf>
    <xf numFmtId="165" fontId="6" fillId="10" borderId="0" xfId="1" applyNumberFormat="1" applyFont="1" applyFill="1" applyBorder="1" applyAlignment="1" applyProtection="1">
      <alignment horizontal="center" vertical="center"/>
    </xf>
    <xf numFmtId="165" fontId="53" fillId="9" borderId="0" xfId="1" applyNumberFormat="1" applyFont="1" applyFill="1" applyAlignment="1" applyProtection="1">
      <alignment horizontal="right" vertical="top"/>
    </xf>
    <xf numFmtId="0" fontId="64" fillId="4" borderId="4" xfId="0" applyFont="1" applyFill="1" applyBorder="1" applyAlignment="1" applyProtection="1">
      <alignment horizontal="center" vertical="top"/>
      <protection locked="0"/>
    </xf>
    <xf numFmtId="0" fontId="64" fillId="4" borderId="4" xfId="0" applyFont="1" applyFill="1" applyBorder="1" applyAlignment="1" applyProtection="1">
      <alignment horizontal="center" vertical="top"/>
    </xf>
    <xf numFmtId="0" fontId="0" fillId="4" borderId="0" xfId="0" applyFont="1" applyFill="1" applyAlignment="1" applyProtection="1">
      <alignment horizontal="right" vertical="top" wrapText="1"/>
    </xf>
    <xf numFmtId="0" fontId="44" fillId="4" borderId="0" xfId="0" applyFont="1" applyFill="1" applyAlignment="1" applyProtection="1">
      <alignment horizontal="left" vertical="top" wrapText="1"/>
    </xf>
    <xf numFmtId="15" fontId="38" fillId="19" borderId="0" xfId="0" applyNumberFormat="1" applyFont="1" applyFill="1" applyBorder="1" applyAlignment="1" applyProtection="1">
      <alignment horizontal="left" vertical="center" wrapText="1"/>
    </xf>
    <xf numFmtId="0" fontId="2" fillId="2" borderId="1" xfId="0" applyFont="1" applyFill="1" applyBorder="1" applyAlignment="1">
      <alignment horizontal="center"/>
    </xf>
    <xf numFmtId="0" fontId="2" fillId="2" borderId="0" xfId="0" applyFont="1" applyFill="1" applyBorder="1" applyAlignment="1">
      <alignment horizontal="center"/>
    </xf>
    <xf numFmtId="15" fontId="0" fillId="0" borderId="0" xfId="0" applyNumberFormat="1" applyFill="1" applyAlignment="1">
      <alignment horizontal="center"/>
    </xf>
    <xf numFmtId="15" fontId="0" fillId="5" borderId="0" xfId="0" applyNumberFormat="1" applyFill="1" applyAlignment="1">
      <alignment horizontal="left"/>
    </xf>
    <xf numFmtId="0" fontId="2" fillId="2" borderId="2" xfId="0" applyFont="1" applyFill="1" applyBorder="1" applyAlignment="1">
      <alignment horizontal="center"/>
    </xf>
    <xf numFmtId="0" fontId="67" fillId="0" borderId="0" xfId="0" applyFont="1" applyAlignment="1">
      <alignment horizontal="center" vertical="top"/>
    </xf>
    <xf numFmtId="0" fontId="66" fillId="0" borderId="0" xfId="0" applyFont="1" applyAlignment="1">
      <alignment horizontal="left" vertical="center"/>
    </xf>
    <xf numFmtId="0" fontId="2" fillId="0" borderId="0" xfId="0" applyFont="1" applyAlignment="1">
      <alignment horizontal="right" vertical="top" wrapText="1"/>
    </xf>
  </cellXfs>
  <cellStyles count="4">
    <cellStyle name="Comma" xfId="1" builtinId="3"/>
    <cellStyle name="Hyperlink" xfId="3" builtinId="8"/>
    <cellStyle name="Normal" xfId="0" builtinId="0"/>
    <cellStyle name="Percent" xfId="2" builtinId="5"/>
  </cellStyles>
  <dxfs count="1735">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C00000"/>
        </patternFill>
      </fill>
    </dxf>
    <dxf>
      <font>
        <strike/>
        <color rgb="FFC00000"/>
      </font>
    </dxf>
    <dxf>
      <fill>
        <patternFill>
          <bgColor rgb="FFC00000"/>
        </patternFill>
      </fill>
    </dxf>
    <dxf>
      <font>
        <strike/>
        <color rgb="FFC0000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C00000"/>
        </patternFill>
      </fill>
    </dxf>
    <dxf>
      <font>
        <strike/>
        <color rgb="FFC0000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strike/>
        <color rgb="FFC0000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theme="8" tint="-0.24994659260841701"/>
      </font>
      <fill>
        <patternFill>
          <bgColor theme="7" tint="0.59996337778862885"/>
        </patternFill>
      </fill>
    </dxf>
    <dxf>
      <font>
        <strike/>
        <color rgb="FFC00000"/>
      </font>
    </dxf>
    <dxf>
      <font>
        <strike/>
        <color rgb="FFC00000"/>
      </font>
      <fill>
        <patternFill patternType="none">
          <bgColor auto="1"/>
        </patternFill>
      </fill>
    </dxf>
    <dxf>
      <fill>
        <patternFill>
          <bgColor rgb="FFC00000"/>
        </patternFill>
      </fill>
    </dxf>
    <dxf>
      <fill>
        <patternFill>
          <bgColor rgb="FFC00000"/>
        </patternFill>
      </fill>
    </dxf>
    <dxf>
      <fill>
        <patternFill>
          <bgColor rgb="FFC00000"/>
        </patternFill>
      </fill>
    </dxf>
    <dxf>
      <font>
        <strike/>
        <color rgb="FFC00000"/>
      </font>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ill>
        <patternFill>
          <bgColor rgb="FFFFFF00"/>
        </patternFill>
      </fill>
    </dxf>
    <dxf>
      <fill>
        <patternFill>
          <bgColor rgb="FFFFFF00"/>
        </patternFill>
      </fill>
    </dxf>
    <dxf>
      <fill>
        <patternFill>
          <bgColor rgb="FFC00000"/>
        </patternFill>
      </fill>
    </dxf>
  </dxfs>
  <tableStyles count="0" defaultTableStyle="TableStyleMedium2" defaultPivotStyle="PivotStyleLight16"/>
  <colors>
    <mruColors>
      <color rgb="FFF5F9FD"/>
      <color rgb="FFFF00FF"/>
      <color rgb="FFFFF6DD"/>
      <color rgb="FF9933FF"/>
      <color rgb="FFCC00CC"/>
      <color rgb="FFFF66FF"/>
      <color rgb="FFFBDBC9"/>
      <color rgb="FFF9F9F9"/>
      <color rgb="FFFF999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224658064548566"/>
          <c:y val="0.26311006357607375"/>
          <c:w val="0.43439250997337919"/>
          <c:h val="0.45355678900473162"/>
        </c:manualLayout>
      </c:layout>
      <c:pieChart>
        <c:varyColors val="1"/>
        <c:ser>
          <c:idx val="0"/>
          <c:order val="0"/>
          <c:dLbls>
            <c:spPr>
              <a:noFill/>
              <a:ln>
                <a:noFill/>
              </a:ln>
              <a:effectLst/>
            </c:sp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Estimation!$L$381:$L$386</c:f>
            </c:multiLvlStrRef>
          </c:cat>
          <c:val>
            <c:numRef>
              <c:f>Estimation!$O$381:$O$386</c:f>
            </c:numRef>
          </c:val>
          <c:extLst>
            <c:ext xmlns:c16="http://schemas.microsoft.com/office/drawing/2014/chart" uri="{C3380CC4-5D6E-409C-BE32-E72D297353CC}">
              <c16:uniqueId val="{00000000-F667-4FB8-91F6-2E8BB13F40B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27</xdr:col>
      <xdr:colOff>1309430</xdr:colOff>
      <xdr:row>1</xdr:row>
      <xdr:rowOff>27173</xdr:rowOff>
    </xdr:from>
    <xdr:to>
      <xdr:col>27</xdr:col>
      <xdr:colOff>2317748</xdr:colOff>
      <xdr:row>4</xdr:row>
      <xdr:rowOff>29652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347" y="80090"/>
          <a:ext cx="1008318" cy="396160"/>
        </a:xfrm>
        <a:prstGeom prst="rect">
          <a:avLst/>
        </a:prstGeom>
        <a:ln>
          <a:noFill/>
        </a:ln>
        <a:effectLst>
          <a:outerShdw blurRad="50800" dist="38100" dir="18900000" algn="bl" rotWithShape="0">
            <a:prstClr val="black">
              <a:alpha val="40000"/>
            </a:prstClr>
          </a:outerShdw>
        </a:effectLst>
      </xdr:spPr>
    </xdr:pic>
    <xdr:clientData/>
  </xdr:twoCellAnchor>
  <xdr:twoCellAnchor>
    <xdr:from>
      <xdr:col>24</xdr:col>
      <xdr:colOff>89647</xdr:colOff>
      <xdr:row>379</xdr:row>
      <xdr:rowOff>100852</xdr:rowOff>
    </xdr:from>
    <xdr:to>
      <xdr:col>26</xdr:col>
      <xdr:colOff>515471</xdr:colOff>
      <xdr:row>387</xdr:row>
      <xdr:rowOff>22411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212912</xdr:colOff>
      <xdr:row>4</xdr:row>
      <xdr:rowOff>82799</xdr:rowOff>
    </xdr:from>
    <xdr:to>
      <xdr:col>16</xdr:col>
      <xdr:colOff>235322</xdr:colOff>
      <xdr:row>5</xdr:row>
      <xdr:rowOff>146299</xdr:rowOff>
    </xdr:to>
    <xdr:sp macro="" textlink="">
      <xdr:nvSpPr>
        <xdr:cNvPr id="5" name="Right Arrow 4">
          <a:extLst>
            <a:ext uri="{FF2B5EF4-FFF2-40B4-BE49-F238E27FC236}">
              <a16:creationId xmlns:a16="http://schemas.microsoft.com/office/drawing/2014/main" id="{00000000-0008-0000-0100-000005000000}"/>
            </a:ext>
          </a:extLst>
        </xdr:cNvPr>
        <xdr:cNvSpPr/>
      </xdr:nvSpPr>
      <xdr:spPr>
        <a:xfrm>
          <a:off x="5065059" y="519828"/>
          <a:ext cx="829234" cy="321236"/>
        </a:xfrm>
        <a:prstGeom prst="rightArrow">
          <a:avLst>
            <a:gd name="adj1" fmla="val 63333"/>
            <a:gd name="adj2" fmla="val 50000"/>
          </a:avLst>
        </a:prstGeom>
        <a:gradFill flip="none" rotWithShape="1">
          <a:gsLst>
            <a:gs pos="0">
              <a:schemeClr val="accent4">
                <a:lumMod val="60000"/>
                <a:lumOff val="40000"/>
              </a:schemeClr>
            </a:gs>
            <a:gs pos="45000">
              <a:schemeClr val="accent4">
                <a:lumMod val="40000"/>
                <a:lumOff val="60000"/>
              </a:schemeClr>
            </a:gs>
            <a:gs pos="57000">
              <a:schemeClr val="accent4">
                <a:lumMod val="40000"/>
                <a:lumOff val="60000"/>
              </a:schemeClr>
            </a:gs>
            <a:gs pos="82000">
              <a:schemeClr val="accent4">
                <a:lumMod val="20000"/>
                <a:lumOff val="80000"/>
              </a:schemeClr>
            </a:gs>
          </a:gsLst>
          <a:lin ang="10800000" scaled="1"/>
          <a:tileRect/>
        </a:gradFill>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050" b="0">
              <a:solidFill>
                <a:sysClr val="windowText" lastClr="000000"/>
              </a:solidFill>
            </a:rPr>
            <a:t>Sales'</a:t>
          </a:r>
          <a:r>
            <a:rPr lang="en-US" sz="1050" b="0" baseline="0">
              <a:solidFill>
                <a:sysClr val="windowText" lastClr="000000"/>
              </a:solidFill>
            </a:rPr>
            <a:t> Call</a:t>
          </a:r>
          <a:endParaRPr lang="en-US" sz="105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11</xdr:col>
          <xdr:colOff>19050</xdr:colOff>
          <xdr:row>8</xdr:row>
          <xdr:rowOff>12700</xdr:rowOff>
        </xdr:from>
        <xdr:to>
          <xdr:col>13</xdr:col>
          <xdr:colOff>76200</xdr:colOff>
          <xdr:row>9</xdr:row>
          <xdr:rowOff>69850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Add Before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127000</xdr:colOff>
          <xdr:row>8</xdr:row>
          <xdr:rowOff>12700</xdr:rowOff>
        </xdr:from>
        <xdr:to>
          <xdr:col>13</xdr:col>
          <xdr:colOff>819150</xdr:colOff>
          <xdr:row>9</xdr:row>
          <xdr:rowOff>69850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Add 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1600200</xdr:colOff>
          <xdr:row>8</xdr:row>
          <xdr:rowOff>12700</xdr:rowOff>
        </xdr:from>
        <xdr:to>
          <xdr:col>13</xdr:col>
          <xdr:colOff>2298700</xdr:colOff>
          <xdr:row>9</xdr:row>
          <xdr:rowOff>69850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2336800</xdr:colOff>
          <xdr:row>8</xdr:row>
          <xdr:rowOff>12700</xdr:rowOff>
        </xdr:from>
        <xdr:to>
          <xdr:col>14</xdr:col>
          <xdr:colOff>190500</xdr:colOff>
          <xdr:row>9</xdr:row>
          <xdr:rowOff>69850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Move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8</xdr:row>
          <xdr:rowOff>12700</xdr:rowOff>
        </xdr:from>
        <xdr:to>
          <xdr:col>15</xdr:col>
          <xdr:colOff>12700</xdr:colOff>
          <xdr:row>9</xdr:row>
          <xdr:rowOff>69850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857250</xdr:colOff>
          <xdr:row>8</xdr:row>
          <xdr:rowOff>12700</xdr:rowOff>
        </xdr:from>
        <xdr:to>
          <xdr:col>13</xdr:col>
          <xdr:colOff>1555750</xdr:colOff>
          <xdr:row>9</xdr:row>
          <xdr:rowOff>69850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Add Group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221780</xdr:colOff>
      <xdr:row>5</xdr:row>
      <xdr:rowOff>80428</xdr:rowOff>
    </xdr:from>
    <xdr:ext cx="4826250" cy="937629"/>
    <xdr:sp macro="" textlink="">
      <xdr:nvSpPr>
        <xdr:cNvPr id="2" name="Rectangle 1">
          <a:extLst>
            <a:ext uri="{FF2B5EF4-FFF2-40B4-BE49-F238E27FC236}">
              <a16:creationId xmlns:a16="http://schemas.microsoft.com/office/drawing/2014/main" id="{00000000-0008-0000-0200-000002000000}"/>
            </a:ext>
          </a:extLst>
        </xdr:cNvPr>
        <xdr:cNvSpPr/>
      </xdr:nvSpPr>
      <xdr:spPr>
        <a:xfrm rot="19958354">
          <a:off x="3812705" y="1423453"/>
          <a:ext cx="4826250" cy="937629"/>
        </a:xfrm>
        <a:prstGeom prst="rect">
          <a:avLst/>
        </a:prstGeom>
        <a:noFill/>
      </xdr:spPr>
      <xdr:txBody>
        <a:bodyPr wrap="square" lIns="91440" tIns="45720" rIns="91440" bIns="45720">
          <a:spAutoFit/>
        </a:bodyPr>
        <a:lstStyle/>
        <a:p>
          <a:pPr algn="ctr"/>
          <a:r>
            <a:rPr lang="en-US" sz="5400" b="1" cap="none" spc="50">
              <a:ln w="0"/>
              <a:solidFill>
                <a:schemeClr val="bg2"/>
              </a:solidFill>
              <a:effectLst>
                <a:innerShdw blurRad="63500" dist="50800" dir="13500000">
                  <a:srgbClr val="000000">
                    <a:alpha val="50000"/>
                  </a:srgbClr>
                </a:innerShdw>
              </a:effectLst>
            </a:rPr>
            <a:t>S a m p l e</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139598</xdr:colOff>
      <xdr:row>15</xdr:row>
      <xdr:rowOff>180975</xdr:rowOff>
    </xdr:from>
    <xdr:to>
      <xdr:col>6</xdr:col>
      <xdr:colOff>95250</xdr:colOff>
      <xdr:row>23</xdr:row>
      <xdr:rowOff>38100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a:srcRect t="630"/>
        <a:stretch/>
      </xdr:blipFill>
      <xdr:spPr>
        <a:xfrm>
          <a:off x="139598" y="2828925"/>
          <a:ext cx="1098652" cy="1381125"/>
        </a:xfrm>
        <a:prstGeom prst="rect">
          <a:avLst/>
        </a:prstGeom>
        <a:ln>
          <a:noFill/>
        </a:ln>
        <a:effectLst>
          <a:softEdge rad="112500"/>
        </a:effectLst>
      </xdr:spPr>
    </xdr:pic>
    <xdr:clientData/>
  </xdr:twoCellAnchor>
  <xdr:twoCellAnchor>
    <xdr:from>
      <xdr:col>30</xdr:col>
      <xdr:colOff>152400</xdr:colOff>
      <xdr:row>16</xdr:row>
      <xdr:rowOff>9526</xdr:rowOff>
    </xdr:from>
    <xdr:to>
      <xdr:col>36</xdr:col>
      <xdr:colOff>76200</xdr:colOff>
      <xdr:row>23</xdr:row>
      <xdr:rowOff>28576</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057900" y="3146426"/>
          <a:ext cx="1104900" cy="1314450"/>
          <a:chOff x="7297293" y="2273427"/>
          <a:chExt cx="1511046" cy="2476500"/>
        </a:xfrm>
      </xdr:grpSpPr>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srcRect r="62427"/>
          <a:stretch/>
        </xdr:blipFill>
        <xdr:spPr>
          <a:xfrm>
            <a:off x="7297293" y="2273427"/>
            <a:ext cx="737235" cy="2476500"/>
          </a:xfrm>
          <a:prstGeom prst="rect">
            <a:avLst/>
          </a:prstGeom>
          <a:effectLst>
            <a:softEdge rad="31750"/>
          </a:effec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rotWithShape="1">
          <a:blip xmlns:r="http://schemas.openxmlformats.org/officeDocument/2006/relationships" r:embed="rId2"/>
          <a:srcRect l="60563"/>
          <a:stretch/>
        </xdr:blipFill>
        <xdr:spPr>
          <a:xfrm>
            <a:off x="8034528" y="2273427"/>
            <a:ext cx="773811" cy="2476500"/>
          </a:xfrm>
          <a:prstGeom prst="rect">
            <a:avLst/>
          </a:prstGeom>
          <a:effectLst>
            <a:softEdge rad="31750"/>
          </a:effectLst>
        </xdr:spPr>
      </xdr:pic>
    </xdr:grpSp>
    <xdr:clientData/>
  </xdr:twoCellAnchor>
  <xdr:twoCellAnchor>
    <xdr:from>
      <xdr:col>4</xdr:col>
      <xdr:colOff>152400</xdr:colOff>
      <xdr:row>15</xdr:row>
      <xdr:rowOff>114300</xdr:rowOff>
    </xdr:from>
    <xdr:to>
      <xdr:col>6</xdr:col>
      <xdr:colOff>137160</xdr:colOff>
      <xdr:row>17</xdr:row>
      <xdr:rowOff>95250</xdr:rowOff>
    </xdr:to>
    <xdr:sp macro="" textlink="">
      <xdr:nvSpPr>
        <xdr:cNvPr id="8" name="Oval 7">
          <a:extLst>
            <a:ext uri="{FF2B5EF4-FFF2-40B4-BE49-F238E27FC236}">
              <a16:creationId xmlns:a16="http://schemas.microsoft.com/office/drawing/2014/main" id="{00000000-0008-0000-0400-000008000000}"/>
            </a:ext>
          </a:extLst>
        </xdr:cNvPr>
        <xdr:cNvSpPr/>
      </xdr:nvSpPr>
      <xdr:spPr>
        <a:xfrm>
          <a:off x="914400" y="31623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1</a:t>
          </a:r>
        </a:p>
      </xdr:txBody>
    </xdr:sp>
    <xdr:clientData/>
  </xdr:twoCellAnchor>
  <xdr:twoCellAnchor>
    <xdr:from>
      <xdr:col>34</xdr:col>
      <xdr:colOff>142875</xdr:colOff>
      <xdr:row>15</xdr:row>
      <xdr:rowOff>123825</xdr:rowOff>
    </xdr:from>
    <xdr:to>
      <xdr:col>36</xdr:col>
      <xdr:colOff>127635</xdr:colOff>
      <xdr:row>17</xdr:row>
      <xdr:rowOff>104775</xdr:rowOff>
    </xdr:to>
    <xdr:sp macro="" textlink="">
      <xdr:nvSpPr>
        <xdr:cNvPr id="9" name="Oval 8">
          <a:extLst>
            <a:ext uri="{FF2B5EF4-FFF2-40B4-BE49-F238E27FC236}">
              <a16:creationId xmlns:a16="http://schemas.microsoft.com/office/drawing/2014/main" id="{00000000-0008-0000-0400-000009000000}"/>
            </a:ext>
          </a:extLst>
        </xdr:cNvPr>
        <xdr:cNvSpPr/>
      </xdr:nvSpPr>
      <xdr:spPr>
        <a:xfrm>
          <a:off x="6619875" y="277177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2</a:t>
          </a:r>
        </a:p>
      </xdr:txBody>
    </xdr:sp>
    <xdr:clientData/>
  </xdr:twoCellAnchor>
  <xdr:twoCellAnchor editAs="oneCell">
    <xdr:from>
      <xdr:col>1</xdr:col>
      <xdr:colOff>152400</xdr:colOff>
      <xdr:row>37</xdr:row>
      <xdr:rowOff>85725</xdr:rowOff>
    </xdr:from>
    <xdr:to>
      <xdr:col>22</xdr:col>
      <xdr:colOff>151900</xdr:colOff>
      <xdr:row>40</xdr:row>
      <xdr:rowOff>38035</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3"/>
        <a:stretch>
          <a:fillRect/>
        </a:stretch>
      </xdr:blipFill>
      <xdr:spPr>
        <a:xfrm>
          <a:off x="342900" y="6543675"/>
          <a:ext cx="4000000" cy="523810"/>
        </a:xfrm>
        <a:prstGeom prst="rect">
          <a:avLst/>
        </a:prstGeom>
        <a:ln>
          <a:noFill/>
        </a:ln>
        <a:effectLst>
          <a:softEdge rad="112500"/>
        </a:effectLst>
      </xdr:spPr>
    </xdr:pic>
    <xdr:clientData/>
  </xdr:twoCellAnchor>
  <xdr:twoCellAnchor>
    <xdr:from>
      <xdr:col>0</xdr:col>
      <xdr:colOff>161925</xdr:colOff>
      <xdr:row>37</xdr:row>
      <xdr:rowOff>142875</xdr:rowOff>
    </xdr:from>
    <xdr:to>
      <xdr:col>2</xdr:col>
      <xdr:colOff>146685</xdr:colOff>
      <xdr:row>39</xdr:row>
      <xdr:rowOff>123825</xdr:rowOff>
    </xdr:to>
    <xdr:sp macro="" textlink="">
      <xdr:nvSpPr>
        <xdr:cNvPr id="16" name="Oval 15">
          <a:extLst>
            <a:ext uri="{FF2B5EF4-FFF2-40B4-BE49-F238E27FC236}">
              <a16:creationId xmlns:a16="http://schemas.microsoft.com/office/drawing/2014/main" id="{00000000-0008-0000-0400-000010000000}"/>
            </a:ext>
          </a:extLst>
        </xdr:cNvPr>
        <xdr:cNvSpPr/>
      </xdr:nvSpPr>
      <xdr:spPr>
        <a:xfrm>
          <a:off x="161925" y="66008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4</a:t>
          </a:r>
        </a:p>
      </xdr:txBody>
    </xdr:sp>
    <xdr:clientData/>
  </xdr:twoCellAnchor>
  <xdr:twoCellAnchor editAs="oneCell">
    <xdr:from>
      <xdr:col>18</xdr:col>
      <xdr:colOff>19050</xdr:colOff>
      <xdr:row>49</xdr:row>
      <xdr:rowOff>47625</xdr:rowOff>
    </xdr:from>
    <xdr:to>
      <xdr:col>58</xdr:col>
      <xdr:colOff>141907</xdr:colOff>
      <xdr:row>61</xdr:row>
      <xdr:rowOff>47339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4"/>
        <a:stretch>
          <a:fillRect/>
        </a:stretch>
      </xdr:blipFill>
      <xdr:spPr>
        <a:xfrm>
          <a:off x="3448050" y="8601075"/>
          <a:ext cx="7742857" cy="2285714"/>
        </a:xfrm>
        <a:prstGeom prst="rect">
          <a:avLst/>
        </a:prstGeom>
        <a:ln>
          <a:noFill/>
        </a:ln>
        <a:effectLst>
          <a:softEdge rad="112500"/>
        </a:effectLst>
      </xdr:spPr>
    </xdr:pic>
    <xdr:clientData/>
  </xdr:twoCellAnchor>
  <xdr:twoCellAnchor editAs="oneCell">
    <xdr:from>
      <xdr:col>0</xdr:col>
      <xdr:colOff>171450</xdr:colOff>
      <xdr:row>57</xdr:row>
      <xdr:rowOff>152400</xdr:rowOff>
    </xdr:from>
    <xdr:to>
      <xdr:col>34</xdr:col>
      <xdr:colOff>151593</xdr:colOff>
      <xdr:row>68</xdr:row>
      <xdr:rowOff>152138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5"/>
        <a:stretch>
          <a:fillRect/>
        </a:stretch>
      </xdr:blipFill>
      <xdr:spPr>
        <a:xfrm>
          <a:off x="171450" y="11182350"/>
          <a:ext cx="6457143" cy="2095238"/>
        </a:xfrm>
        <a:prstGeom prst="rect">
          <a:avLst/>
        </a:prstGeom>
        <a:ln>
          <a:noFill/>
        </a:ln>
        <a:effectLst>
          <a:softEdge rad="112500"/>
        </a:effectLst>
      </xdr:spPr>
    </xdr:pic>
    <xdr:clientData/>
  </xdr:twoCellAnchor>
  <xdr:twoCellAnchor>
    <xdr:from>
      <xdr:col>17</xdr:col>
      <xdr:colOff>95250</xdr:colOff>
      <xdr:row>48</xdr:row>
      <xdr:rowOff>152400</xdr:rowOff>
    </xdr:from>
    <xdr:to>
      <xdr:col>19</xdr:col>
      <xdr:colOff>80010</xdr:colOff>
      <xdr:row>50</xdr:row>
      <xdr:rowOff>133350</xdr:rowOff>
    </xdr:to>
    <xdr:sp macro="" textlink="">
      <xdr:nvSpPr>
        <xdr:cNvPr id="21" name="Oval 20">
          <a:extLst>
            <a:ext uri="{FF2B5EF4-FFF2-40B4-BE49-F238E27FC236}">
              <a16:creationId xmlns:a16="http://schemas.microsoft.com/office/drawing/2014/main" id="{00000000-0008-0000-0400-000015000000}"/>
            </a:ext>
          </a:extLst>
        </xdr:cNvPr>
        <xdr:cNvSpPr/>
      </xdr:nvSpPr>
      <xdr:spPr>
        <a:xfrm>
          <a:off x="3333750" y="85153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5</a:t>
          </a:r>
        </a:p>
      </xdr:txBody>
    </xdr:sp>
    <xdr:clientData/>
  </xdr:twoCellAnchor>
  <xdr:twoCellAnchor editAs="oneCell">
    <xdr:from>
      <xdr:col>19</xdr:col>
      <xdr:colOff>180975</xdr:colOff>
      <xdr:row>70</xdr:row>
      <xdr:rowOff>123825</xdr:rowOff>
    </xdr:from>
    <xdr:to>
      <xdr:col>60</xdr:col>
      <xdr:colOff>8570</xdr:colOff>
      <xdr:row>80</xdr:row>
      <xdr:rowOff>37873</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6"/>
        <a:stretch>
          <a:fillRect/>
        </a:stretch>
      </xdr:blipFill>
      <xdr:spPr>
        <a:xfrm>
          <a:off x="3800475" y="12677775"/>
          <a:ext cx="7638095" cy="1819048"/>
        </a:xfrm>
        <a:prstGeom prst="rect">
          <a:avLst/>
        </a:prstGeom>
        <a:ln>
          <a:noFill/>
        </a:ln>
        <a:effectLst>
          <a:softEdge rad="112500"/>
        </a:effectLst>
      </xdr:spPr>
    </xdr:pic>
    <xdr:clientData/>
  </xdr:twoCellAnchor>
  <xdr:twoCellAnchor>
    <xdr:from>
      <xdr:col>19</xdr:col>
      <xdr:colOff>66675</xdr:colOff>
      <xdr:row>70</xdr:row>
      <xdr:rowOff>66675</xdr:rowOff>
    </xdr:from>
    <xdr:to>
      <xdr:col>21</xdr:col>
      <xdr:colOff>51435</xdr:colOff>
      <xdr:row>72</xdr:row>
      <xdr:rowOff>47625</xdr:rowOff>
    </xdr:to>
    <xdr:sp macro="" textlink="">
      <xdr:nvSpPr>
        <xdr:cNvPr id="23" name="Oval 22">
          <a:extLst>
            <a:ext uri="{FF2B5EF4-FFF2-40B4-BE49-F238E27FC236}">
              <a16:creationId xmlns:a16="http://schemas.microsoft.com/office/drawing/2014/main" id="{00000000-0008-0000-0400-000017000000}"/>
            </a:ext>
          </a:extLst>
        </xdr:cNvPr>
        <xdr:cNvSpPr/>
      </xdr:nvSpPr>
      <xdr:spPr>
        <a:xfrm>
          <a:off x="3686175" y="126206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6</a:t>
          </a:r>
        </a:p>
      </xdr:txBody>
    </xdr:sp>
    <xdr:clientData/>
  </xdr:twoCellAnchor>
  <xdr:twoCellAnchor editAs="oneCell">
    <xdr:from>
      <xdr:col>0</xdr:col>
      <xdr:colOff>114300</xdr:colOff>
      <xdr:row>75</xdr:row>
      <xdr:rowOff>47625</xdr:rowOff>
    </xdr:from>
    <xdr:to>
      <xdr:col>17</xdr:col>
      <xdr:colOff>171038</xdr:colOff>
      <xdr:row>78</xdr:row>
      <xdr:rowOff>28506</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7"/>
        <a:stretch>
          <a:fillRect/>
        </a:stretch>
      </xdr:blipFill>
      <xdr:spPr>
        <a:xfrm>
          <a:off x="114300" y="13554075"/>
          <a:ext cx="3295238" cy="552381"/>
        </a:xfrm>
        <a:prstGeom prst="rect">
          <a:avLst/>
        </a:prstGeom>
        <a:ln>
          <a:noFill/>
        </a:ln>
        <a:effectLst>
          <a:softEdge rad="112500"/>
        </a:effectLst>
      </xdr:spPr>
    </xdr:pic>
    <xdr:clientData/>
  </xdr:twoCellAnchor>
  <xdr:twoCellAnchor editAs="oneCell">
    <xdr:from>
      <xdr:col>1</xdr:col>
      <xdr:colOff>142875</xdr:colOff>
      <xdr:row>87</xdr:row>
      <xdr:rowOff>152400</xdr:rowOff>
    </xdr:from>
    <xdr:to>
      <xdr:col>25</xdr:col>
      <xdr:colOff>85161</xdr:colOff>
      <xdr:row>100</xdr:row>
      <xdr:rowOff>75900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8"/>
        <a:stretch>
          <a:fillRect/>
        </a:stretch>
      </xdr:blipFill>
      <xdr:spPr>
        <a:xfrm>
          <a:off x="333375" y="16563975"/>
          <a:ext cx="4514286" cy="2400000"/>
        </a:xfrm>
        <a:prstGeom prst="rect">
          <a:avLst/>
        </a:prstGeom>
        <a:ln>
          <a:noFill/>
        </a:ln>
        <a:effectLst>
          <a:softEdge rad="112500"/>
        </a:effectLst>
      </xdr:spPr>
    </xdr:pic>
    <xdr:clientData/>
  </xdr:twoCellAnchor>
  <xdr:twoCellAnchor editAs="oneCell">
    <xdr:from>
      <xdr:col>36</xdr:col>
      <xdr:colOff>123825</xdr:colOff>
      <xdr:row>82</xdr:row>
      <xdr:rowOff>47625</xdr:rowOff>
    </xdr:from>
    <xdr:to>
      <xdr:col>45</xdr:col>
      <xdr:colOff>47420</xdr:colOff>
      <xdr:row>89</xdr:row>
      <xdr:rowOff>114119</xdr:rowOff>
    </xdr:to>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9"/>
        <a:stretch>
          <a:fillRect/>
        </a:stretch>
      </xdr:blipFill>
      <xdr:spPr>
        <a:xfrm>
          <a:off x="6981825" y="15459075"/>
          <a:ext cx="1638095" cy="1447619"/>
        </a:xfrm>
        <a:prstGeom prst="rect">
          <a:avLst/>
        </a:prstGeom>
        <a:ln>
          <a:noFill/>
        </a:ln>
        <a:effectLst>
          <a:softEdge rad="112500"/>
        </a:effectLst>
      </xdr:spPr>
    </xdr:pic>
    <xdr:clientData/>
  </xdr:twoCellAnchor>
  <xdr:twoCellAnchor>
    <xdr:from>
      <xdr:col>43</xdr:col>
      <xdr:colOff>123825</xdr:colOff>
      <xdr:row>82</xdr:row>
      <xdr:rowOff>0</xdr:rowOff>
    </xdr:from>
    <xdr:to>
      <xdr:col>45</xdr:col>
      <xdr:colOff>108585</xdr:colOff>
      <xdr:row>83</xdr:row>
      <xdr:rowOff>171450</xdr:rowOff>
    </xdr:to>
    <xdr:sp macro="" textlink="">
      <xdr:nvSpPr>
        <xdr:cNvPr id="33" name="Oval 32">
          <a:extLst>
            <a:ext uri="{FF2B5EF4-FFF2-40B4-BE49-F238E27FC236}">
              <a16:creationId xmlns:a16="http://schemas.microsoft.com/office/drawing/2014/main" id="{00000000-0008-0000-0400-000021000000}"/>
            </a:ext>
          </a:extLst>
        </xdr:cNvPr>
        <xdr:cNvSpPr/>
      </xdr:nvSpPr>
      <xdr:spPr>
        <a:xfrm>
          <a:off x="8315325" y="154114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7</a:t>
          </a:r>
        </a:p>
      </xdr:txBody>
    </xdr:sp>
    <xdr:clientData/>
  </xdr:twoCellAnchor>
  <xdr:twoCellAnchor>
    <xdr:from>
      <xdr:col>24</xdr:col>
      <xdr:colOff>28575</xdr:colOff>
      <xdr:row>86</xdr:row>
      <xdr:rowOff>171450</xdr:rowOff>
    </xdr:from>
    <xdr:to>
      <xdr:col>26</xdr:col>
      <xdr:colOff>13335</xdr:colOff>
      <xdr:row>88</xdr:row>
      <xdr:rowOff>152400</xdr:rowOff>
    </xdr:to>
    <xdr:sp macro="" textlink="">
      <xdr:nvSpPr>
        <xdr:cNvPr id="34" name="Oval 33">
          <a:extLst>
            <a:ext uri="{FF2B5EF4-FFF2-40B4-BE49-F238E27FC236}">
              <a16:creationId xmlns:a16="http://schemas.microsoft.com/office/drawing/2014/main" id="{00000000-0008-0000-0400-000022000000}"/>
            </a:ext>
          </a:extLst>
        </xdr:cNvPr>
        <xdr:cNvSpPr/>
      </xdr:nvSpPr>
      <xdr:spPr>
        <a:xfrm>
          <a:off x="4600575" y="163925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8</a:t>
          </a:r>
        </a:p>
      </xdr:txBody>
    </xdr:sp>
    <xdr:clientData/>
  </xdr:twoCellAnchor>
  <xdr:twoCellAnchor>
    <xdr:from>
      <xdr:col>56</xdr:col>
      <xdr:colOff>180975</xdr:colOff>
      <xdr:row>95</xdr:row>
      <xdr:rowOff>171450</xdr:rowOff>
    </xdr:from>
    <xdr:to>
      <xdr:col>58</xdr:col>
      <xdr:colOff>165735</xdr:colOff>
      <xdr:row>97</xdr:row>
      <xdr:rowOff>152400</xdr:rowOff>
    </xdr:to>
    <xdr:sp macro="" textlink="">
      <xdr:nvSpPr>
        <xdr:cNvPr id="37" name="Oval 36">
          <a:extLst>
            <a:ext uri="{FF2B5EF4-FFF2-40B4-BE49-F238E27FC236}">
              <a16:creationId xmlns:a16="http://schemas.microsoft.com/office/drawing/2014/main" id="{00000000-0008-0000-0400-000025000000}"/>
            </a:ext>
          </a:extLst>
        </xdr:cNvPr>
        <xdr:cNvSpPr/>
      </xdr:nvSpPr>
      <xdr:spPr>
        <a:xfrm>
          <a:off x="10848975" y="182118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9</a:t>
          </a:r>
        </a:p>
      </xdr:txBody>
    </xdr:sp>
    <xdr:clientData/>
  </xdr:twoCellAnchor>
  <xdr:twoCellAnchor>
    <xdr:from>
      <xdr:col>12</xdr:col>
      <xdr:colOff>57150</xdr:colOff>
      <xdr:row>103</xdr:row>
      <xdr:rowOff>9525</xdr:rowOff>
    </xdr:from>
    <xdr:to>
      <xdr:col>14</xdr:col>
      <xdr:colOff>41910</xdr:colOff>
      <xdr:row>104</xdr:row>
      <xdr:rowOff>180975</xdr:rowOff>
    </xdr:to>
    <xdr:grpSp>
      <xdr:nvGrpSpPr>
        <xdr:cNvPr id="43" name="Group 42">
          <a:extLst>
            <a:ext uri="{FF2B5EF4-FFF2-40B4-BE49-F238E27FC236}">
              <a16:creationId xmlns:a16="http://schemas.microsoft.com/office/drawing/2014/main" id="{00000000-0008-0000-0400-00002B000000}"/>
            </a:ext>
          </a:extLst>
        </xdr:cNvPr>
        <xdr:cNvGrpSpPr/>
      </xdr:nvGrpSpPr>
      <xdr:grpSpPr>
        <a:xfrm>
          <a:off x="2419350" y="19250025"/>
          <a:ext cx="378460" cy="355600"/>
          <a:chOff x="3257550" y="19583400"/>
          <a:chExt cx="365760" cy="361950"/>
        </a:xfrm>
      </xdr:grpSpPr>
      <xdr:sp macro="" textlink="">
        <xdr:nvSpPr>
          <xdr:cNvPr id="40" name="Oval 39">
            <a:extLst>
              <a:ext uri="{FF2B5EF4-FFF2-40B4-BE49-F238E27FC236}">
                <a16:creationId xmlns:a16="http://schemas.microsoft.com/office/drawing/2014/main" id="{00000000-0008-0000-0400-000028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10</a:t>
            </a:r>
          </a:p>
        </xdr:txBody>
      </xdr:sp>
    </xdr:grpSp>
    <xdr:clientData/>
  </xdr:twoCellAnchor>
  <xdr:twoCellAnchor editAs="oneCell">
    <xdr:from>
      <xdr:col>2</xdr:col>
      <xdr:colOff>9525</xdr:colOff>
      <xdr:row>105</xdr:row>
      <xdr:rowOff>104775</xdr:rowOff>
    </xdr:from>
    <xdr:to>
      <xdr:col>18</xdr:col>
      <xdr:colOff>75811</xdr:colOff>
      <xdr:row>109</xdr:row>
      <xdr:rowOff>114204</xdr:rowOff>
    </xdr:to>
    <xdr:pic>
      <xdr:nvPicPr>
        <xdr:cNvPr id="42" name="Picture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0"/>
        <a:stretch>
          <a:fillRect/>
        </a:stretch>
      </xdr:blipFill>
      <xdr:spPr>
        <a:xfrm>
          <a:off x="390525" y="20154900"/>
          <a:ext cx="3114286" cy="771429"/>
        </a:xfrm>
        <a:prstGeom prst="rect">
          <a:avLst/>
        </a:prstGeom>
        <a:ln>
          <a:noFill/>
        </a:ln>
        <a:effectLst>
          <a:softEdge rad="112500"/>
        </a:effectLst>
      </xdr:spPr>
    </xdr:pic>
    <xdr:clientData/>
  </xdr:twoCellAnchor>
  <xdr:twoCellAnchor editAs="oneCell">
    <xdr:from>
      <xdr:col>44</xdr:col>
      <xdr:colOff>104775</xdr:colOff>
      <xdr:row>113</xdr:row>
      <xdr:rowOff>57150</xdr:rowOff>
    </xdr:from>
    <xdr:to>
      <xdr:col>56</xdr:col>
      <xdr:colOff>133061</xdr:colOff>
      <xdr:row>114</xdr:row>
      <xdr:rowOff>123793</xdr:rowOff>
    </xdr:to>
    <xdr:pic>
      <xdr:nvPicPr>
        <xdr:cNvPr id="49" name="Picture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1"/>
        <a:stretch>
          <a:fillRect/>
        </a:stretch>
      </xdr:blipFill>
      <xdr:spPr>
        <a:xfrm>
          <a:off x="8486775" y="21631275"/>
          <a:ext cx="2314286" cy="257143"/>
        </a:xfrm>
        <a:prstGeom prst="rect">
          <a:avLst/>
        </a:prstGeom>
        <a:effectLst>
          <a:softEdge rad="31750"/>
        </a:effectLst>
      </xdr:spPr>
    </xdr:pic>
    <xdr:clientData/>
  </xdr:twoCellAnchor>
  <xdr:twoCellAnchor>
    <xdr:from>
      <xdr:col>43</xdr:col>
      <xdr:colOff>9525</xdr:colOff>
      <xdr:row>113</xdr:row>
      <xdr:rowOff>9525</xdr:rowOff>
    </xdr:from>
    <xdr:to>
      <xdr:col>44</xdr:col>
      <xdr:colOff>184785</xdr:colOff>
      <xdr:row>114</xdr:row>
      <xdr:rowOff>180975</xdr:rowOff>
    </xdr:to>
    <xdr:grpSp>
      <xdr:nvGrpSpPr>
        <xdr:cNvPr id="50" name="Group 49">
          <a:extLst>
            <a:ext uri="{FF2B5EF4-FFF2-40B4-BE49-F238E27FC236}">
              <a16:creationId xmlns:a16="http://schemas.microsoft.com/office/drawing/2014/main" id="{00000000-0008-0000-0400-000032000000}"/>
            </a:ext>
          </a:extLst>
        </xdr:cNvPr>
        <xdr:cNvGrpSpPr/>
      </xdr:nvGrpSpPr>
      <xdr:grpSpPr>
        <a:xfrm>
          <a:off x="8474075" y="21091525"/>
          <a:ext cx="372110" cy="355600"/>
          <a:chOff x="3257550" y="19583400"/>
          <a:chExt cx="365760" cy="361950"/>
        </a:xfrm>
      </xdr:grpSpPr>
      <xdr:sp macro="" textlink="">
        <xdr:nvSpPr>
          <xdr:cNvPr id="51" name="Oval 50">
            <a:extLst>
              <a:ext uri="{FF2B5EF4-FFF2-40B4-BE49-F238E27FC236}">
                <a16:creationId xmlns:a16="http://schemas.microsoft.com/office/drawing/2014/main" id="{00000000-0008-0000-0400-000033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52" name="TextBox 51">
            <a:extLst>
              <a:ext uri="{FF2B5EF4-FFF2-40B4-BE49-F238E27FC236}">
                <a16:creationId xmlns:a16="http://schemas.microsoft.com/office/drawing/2014/main" id="{00000000-0008-0000-0400-000034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11</a:t>
            </a:r>
          </a:p>
        </xdr:txBody>
      </xdr:sp>
    </xdr:grpSp>
    <xdr:clientData/>
  </xdr:twoCellAnchor>
  <xdr:twoCellAnchor>
    <xdr:from>
      <xdr:col>2</xdr:col>
      <xdr:colOff>66675</xdr:colOff>
      <xdr:row>122</xdr:row>
      <xdr:rowOff>0</xdr:rowOff>
    </xdr:from>
    <xdr:to>
      <xdr:col>14</xdr:col>
      <xdr:colOff>47342</xdr:colOff>
      <xdr:row>126</xdr:row>
      <xdr:rowOff>152286</xdr:rowOff>
    </xdr:to>
    <xdr:pic>
      <xdr:nvPicPr>
        <xdr:cNvPr id="53" name="Picture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2"/>
        <a:stretch>
          <a:fillRect/>
        </a:stretch>
      </xdr:blipFill>
      <xdr:spPr>
        <a:xfrm>
          <a:off x="447675" y="23288625"/>
          <a:ext cx="2266667" cy="914286"/>
        </a:xfrm>
        <a:prstGeom prst="rect">
          <a:avLst/>
        </a:prstGeom>
        <a:ln>
          <a:noFill/>
        </a:ln>
        <a:effectLst>
          <a:softEdge rad="112500"/>
        </a:effectLst>
      </xdr:spPr>
    </xdr:pic>
    <xdr:clientData/>
  </xdr:twoCellAnchor>
  <xdr:twoCellAnchor>
    <xdr:from>
      <xdr:col>45</xdr:col>
      <xdr:colOff>171450</xdr:colOff>
      <xdr:row>121</xdr:row>
      <xdr:rowOff>104775</xdr:rowOff>
    </xdr:from>
    <xdr:to>
      <xdr:col>61</xdr:col>
      <xdr:colOff>190117</xdr:colOff>
      <xdr:row>126</xdr:row>
      <xdr:rowOff>47513</xdr:rowOff>
    </xdr:to>
    <xdr:pic>
      <xdr:nvPicPr>
        <xdr:cNvPr id="54" name="Picture 53">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13"/>
        <a:stretch>
          <a:fillRect/>
        </a:stretch>
      </xdr:blipFill>
      <xdr:spPr>
        <a:xfrm>
          <a:off x="8743950" y="23202900"/>
          <a:ext cx="3066667" cy="895238"/>
        </a:xfrm>
        <a:prstGeom prst="rect">
          <a:avLst/>
        </a:prstGeom>
        <a:ln>
          <a:noFill/>
        </a:ln>
        <a:effectLst>
          <a:softEdge rad="112500"/>
        </a:effectLst>
      </xdr:spPr>
    </xdr:pic>
    <xdr:clientData/>
  </xdr:twoCellAnchor>
  <xdr:twoCellAnchor>
    <xdr:from>
      <xdr:col>29</xdr:col>
      <xdr:colOff>66675</xdr:colOff>
      <xdr:row>120</xdr:row>
      <xdr:rowOff>9525</xdr:rowOff>
    </xdr:from>
    <xdr:to>
      <xdr:col>31</xdr:col>
      <xdr:colOff>51435</xdr:colOff>
      <xdr:row>121</xdr:row>
      <xdr:rowOff>180975</xdr:rowOff>
    </xdr:to>
    <xdr:grpSp>
      <xdr:nvGrpSpPr>
        <xdr:cNvPr id="56" name="Group 55">
          <a:extLst>
            <a:ext uri="{FF2B5EF4-FFF2-40B4-BE49-F238E27FC236}">
              <a16:creationId xmlns:a16="http://schemas.microsoft.com/office/drawing/2014/main" id="{00000000-0008-0000-0400-000038000000}"/>
            </a:ext>
          </a:extLst>
        </xdr:cNvPr>
        <xdr:cNvGrpSpPr/>
      </xdr:nvGrpSpPr>
      <xdr:grpSpPr>
        <a:xfrm>
          <a:off x="5775325" y="22380575"/>
          <a:ext cx="378460" cy="355600"/>
          <a:chOff x="3257550" y="19583400"/>
          <a:chExt cx="365760" cy="361950"/>
        </a:xfrm>
      </xdr:grpSpPr>
      <xdr:sp macro="" textlink="">
        <xdr:nvSpPr>
          <xdr:cNvPr id="57" name="Oval 56">
            <a:extLst>
              <a:ext uri="{FF2B5EF4-FFF2-40B4-BE49-F238E27FC236}">
                <a16:creationId xmlns:a16="http://schemas.microsoft.com/office/drawing/2014/main" id="{00000000-0008-0000-0400-000039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12</a:t>
            </a:r>
          </a:p>
        </xdr:txBody>
      </xdr:sp>
    </xdr:grpSp>
    <xdr:clientData/>
  </xdr:twoCellAnchor>
  <xdr:twoCellAnchor editAs="oneCell">
    <xdr:from>
      <xdr:col>3</xdr:col>
      <xdr:colOff>0</xdr:colOff>
      <xdr:row>133</xdr:row>
      <xdr:rowOff>66675</xdr:rowOff>
    </xdr:from>
    <xdr:to>
      <xdr:col>58</xdr:col>
      <xdr:colOff>36786</xdr:colOff>
      <xdr:row>139</xdr:row>
      <xdr:rowOff>133199</xdr:rowOff>
    </xdr:to>
    <xdr:pic>
      <xdr:nvPicPr>
        <xdr:cNvPr id="59" name="Picture 58">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4"/>
        <a:stretch>
          <a:fillRect/>
        </a:stretch>
      </xdr:blipFill>
      <xdr:spPr>
        <a:xfrm>
          <a:off x="571500" y="25450800"/>
          <a:ext cx="10514286" cy="1209524"/>
        </a:xfrm>
        <a:prstGeom prst="rect">
          <a:avLst/>
        </a:prstGeom>
        <a:effectLst>
          <a:softEdge rad="31750"/>
        </a:effectLst>
      </xdr:spPr>
    </xdr:pic>
    <xdr:clientData/>
  </xdr:twoCellAnchor>
  <xdr:twoCellAnchor>
    <xdr:from>
      <xdr:col>3</xdr:col>
      <xdr:colOff>9525</xdr:colOff>
      <xdr:row>133</xdr:row>
      <xdr:rowOff>0</xdr:rowOff>
    </xdr:from>
    <xdr:to>
      <xdr:col>4</xdr:col>
      <xdr:colOff>184785</xdr:colOff>
      <xdr:row>134</xdr:row>
      <xdr:rowOff>171450</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600075" y="24765000"/>
          <a:ext cx="372110" cy="355600"/>
          <a:chOff x="3257550" y="19583400"/>
          <a:chExt cx="365760" cy="361950"/>
        </a:xfrm>
      </xdr:grpSpPr>
      <xdr:sp macro="" textlink="">
        <xdr:nvSpPr>
          <xdr:cNvPr id="61" name="Oval 60">
            <a:extLst>
              <a:ext uri="{FF2B5EF4-FFF2-40B4-BE49-F238E27FC236}">
                <a16:creationId xmlns:a16="http://schemas.microsoft.com/office/drawing/2014/main" id="{00000000-0008-0000-0400-00003D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62" name="TextBox 61">
            <a:extLst>
              <a:ext uri="{FF2B5EF4-FFF2-40B4-BE49-F238E27FC236}">
                <a16:creationId xmlns:a16="http://schemas.microsoft.com/office/drawing/2014/main" id="{00000000-0008-0000-0400-00003E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13</a:t>
            </a:r>
          </a:p>
        </xdr:txBody>
      </xdr:sp>
    </xdr:grpSp>
    <xdr:clientData/>
  </xdr:twoCellAnchor>
  <xdr:twoCellAnchor>
    <xdr:from>
      <xdr:col>24</xdr:col>
      <xdr:colOff>28575</xdr:colOff>
      <xdr:row>141</xdr:row>
      <xdr:rowOff>152400</xdr:rowOff>
    </xdr:from>
    <xdr:to>
      <xdr:col>26</xdr:col>
      <xdr:colOff>13335</xdr:colOff>
      <xdr:row>143</xdr:row>
      <xdr:rowOff>133350</xdr:rowOff>
    </xdr:to>
    <xdr:grpSp>
      <xdr:nvGrpSpPr>
        <xdr:cNvPr id="64" name="Group 63">
          <a:extLst>
            <a:ext uri="{FF2B5EF4-FFF2-40B4-BE49-F238E27FC236}">
              <a16:creationId xmlns:a16="http://schemas.microsoft.com/office/drawing/2014/main" id="{00000000-0008-0000-0400-000040000000}"/>
            </a:ext>
          </a:extLst>
        </xdr:cNvPr>
        <xdr:cNvGrpSpPr/>
      </xdr:nvGrpSpPr>
      <xdr:grpSpPr>
        <a:xfrm>
          <a:off x="4752975" y="26390600"/>
          <a:ext cx="378460" cy="349250"/>
          <a:chOff x="3257550" y="19583400"/>
          <a:chExt cx="365760" cy="361950"/>
        </a:xfrm>
      </xdr:grpSpPr>
      <xdr:sp macro="" textlink="">
        <xdr:nvSpPr>
          <xdr:cNvPr id="65" name="Oval 64">
            <a:extLst>
              <a:ext uri="{FF2B5EF4-FFF2-40B4-BE49-F238E27FC236}">
                <a16:creationId xmlns:a16="http://schemas.microsoft.com/office/drawing/2014/main" id="{00000000-0008-0000-0400-000041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14</a:t>
            </a:r>
          </a:p>
        </xdr:txBody>
      </xdr:sp>
    </xdr:grpSp>
    <xdr:clientData/>
  </xdr:twoCellAnchor>
  <xdr:twoCellAnchor editAs="oneCell">
    <xdr:from>
      <xdr:col>5</xdr:col>
      <xdr:colOff>171450</xdr:colOff>
      <xdr:row>154</xdr:row>
      <xdr:rowOff>152400</xdr:rowOff>
    </xdr:from>
    <xdr:to>
      <xdr:col>57</xdr:col>
      <xdr:colOff>170212</xdr:colOff>
      <xdr:row>172</xdr:row>
      <xdr:rowOff>180543</xdr:rowOff>
    </xdr:to>
    <xdr:pic>
      <xdr:nvPicPr>
        <xdr:cNvPr id="67" name="Picture 66">
          <a:extLst>
            <a:ext uri="{FF2B5EF4-FFF2-40B4-BE49-F238E27FC236}">
              <a16:creationId xmlns:a16="http://schemas.microsoft.com/office/drawing/2014/main" id="{00000000-0008-0000-0400-000043000000}"/>
            </a:ext>
          </a:extLst>
        </xdr:cNvPr>
        <xdr:cNvPicPr>
          <a:picLocks noChangeAspect="1"/>
        </xdr:cNvPicPr>
      </xdr:nvPicPr>
      <xdr:blipFill>
        <a:blip xmlns:r="http://schemas.openxmlformats.org/officeDocument/2006/relationships" r:embed="rId15"/>
        <a:stretch>
          <a:fillRect/>
        </a:stretch>
      </xdr:blipFill>
      <xdr:spPr>
        <a:xfrm>
          <a:off x="1123950" y="29537025"/>
          <a:ext cx="9904762" cy="3457143"/>
        </a:xfrm>
        <a:prstGeom prst="rect">
          <a:avLst/>
        </a:prstGeom>
        <a:ln>
          <a:noFill/>
        </a:ln>
        <a:effectLst>
          <a:softEdge rad="112500"/>
        </a:effectLst>
      </xdr:spPr>
    </xdr:pic>
    <xdr:clientData/>
  </xdr:twoCellAnchor>
  <xdr:twoCellAnchor>
    <xdr:from>
      <xdr:col>4</xdr:col>
      <xdr:colOff>95250</xdr:colOff>
      <xdr:row>154</xdr:row>
      <xdr:rowOff>85725</xdr:rowOff>
    </xdr:from>
    <xdr:to>
      <xdr:col>6</xdr:col>
      <xdr:colOff>80010</xdr:colOff>
      <xdr:row>156</xdr:row>
      <xdr:rowOff>66675</xdr:rowOff>
    </xdr:to>
    <xdr:grpSp>
      <xdr:nvGrpSpPr>
        <xdr:cNvPr id="68" name="Group 67">
          <a:extLst>
            <a:ext uri="{FF2B5EF4-FFF2-40B4-BE49-F238E27FC236}">
              <a16:creationId xmlns:a16="http://schemas.microsoft.com/office/drawing/2014/main" id="{00000000-0008-0000-0400-000044000000}"/>
            </a:ext>
          </a:extLst>
        </xdr:cNvPr>
        <xdr:cNvGrpSpPr/>
      </xdr:nvGrpSpPr>
      <xdr:grpSpPr>
        <a:xfrm>
          <a:off x="882650" y="28717875"/>
          <a:ext cx="378460" cy="349250"/>
          <a:chOff x="3257550" y="19583400"/>
          <a:chExt cx="365760" cy="361950"/>
        </a:xfrm>
      </xdr:grpSpPr>
      <xdr:sp macro="" textlink="">
        <xdr:nvSpPr>
          <xdr:cNvPr id="69" name="Oval 68">
            <a:extLst>
              <a:ext uri="{FF2B5EF4-FFF2-40B4-BE49-F238E27FC236}">
                <a16:creationId xmlns:a16="http://schemas.microsoft.com/office/drawing/2014/main" id="{00000000-0008-0000-0400-000045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70" name="TextBox 69">
            <a:extLst>
              <a:ext uri="{FF2B5EF4-FFF2-40B4-BE49-F238E27FC236}">
                <a16:creationId xmlns:a16="http://schemas.microsoft.com/office/drawing/2014/main" id="{00000000-0008-0000-0400-000046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15</a:t>
            </a:r>
          </a:p>
        </xdr:txBody>
      </xdr:sp>
    </xdr:grpSp>
    <xdr:clientData/>
  </xdr:twoCellAnchor>
  <xdr:twoCellAnchor editAs="oneCell">
    <xdr:from>
      <xdr:col>14</xdr:col>
      <xdr:colOff>66675</xdr:colOff>
      <xdr:row>24</xdr:row>
      <xdr:rowOff>152400</xdr:rowOff>
    </xdr:from>
    <xdr:to>
      <xdr:col>38</xdr:col>
      <xdr:colOff>18484</xdr:colOff>
      <xdr:row>28</xdr:row>
      <xdr:rowOff>180876</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6"/>
        <a:stretch>
          <a:fillRect/>
        </a:stretch>
      </xdr:blipFill>
      <xdr:spPr>
        <a:xfrm>
          <a:off x="2733675" y="4895850"/>
          <a:ext cx="4523809" cy="790476"/>
        </a:xfrm>
        <a:prstGeom prst="rect">
          <a:avLst/>
        </a:prstGeom>
        <a:ln>
          <a:noFill/>
        </a:ln>
        <a:effectLst>
          <a:softEdge rad="112500"/>
        </a:effectLst>
      </xdr:spPr>
    </xdr:pic>
    <xdr:clientData/>
  </xdr:twoCellAnchor>
  <xdr:twoCellAnchor>
    <xdr:from>
      <xdr:col>13</xdr:col>
      <xdr:colOff>152400</xdr:colOff>
      <xdr:row>24</xdr:row>
      <xdr:rowOff>0</xdr:rowOff>
    </xdr:from>
    <xdr:to>
      <xdr:col>15</xdr:col>
      <xdr:colOff>137160</xdr:colOff>
      <xdr:row>25</xdr:row>
      <xdr:rowOff>171450</xdr:rowOff>
    </xdr:to>
    <xdr:sp macro="" textlink="">
      <xdr:nvSpPr>
        <xdr:cNvPr id="11" name="Oval 10">
          <a:extLst>
            <a:ext uri="{FF2B5EF4-FFF2-40B4-BE49-F238E27FC236}">
              <a16:creationId xmlns:a16="http://schemas.microsoft.com/office/drawing/2014/main" id="{00000000-0008-0000-0400-00000B000000}"/>
            </a:ext>
          </a:extLst>
        </xdr:cNvPr>
        <xdr:cNvSpPr/>
      </xdr:nvSpPr>
      <xdr:spPr>
        <a:xfrm>
          <a:off x="2628900" y="47434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3</a:t>
          </a:r>
        </a:p>
      </xdr:txBody>
    </xdr:sp>
    <xdr:clientData/>
  </xdr:twoCellAnchor>
  <xdr:twoCellAnchor>
    <xdr:from>
      <xdr:col>30</xdr:col>
      <xdr:colOff>19050</xdr:colOff>
      <xdr:row>96</xdr:row>
      <xdr:rowOff>47625</xdr:rowOff>
    </xdr:from>
    <xdr:to>
      <xdr:col>59</xdr:col>
      <xdr:colOff>132645</xdr:colOff>
      <xdr:row>111</xdr:row>
      <xdr:rowOff>9173</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5924550" y="17992725"/>
          <a:ext cx="5822245" cy="2730148"/>
          <a:chOff x="5734050" y="18554700"/>
          <a:chExt cx="5638095" cy="2819048"/>
        </a:xfrm>
      </xdr:grpSpPr>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7"/>
          <a:stretch>
            <a:fillRect/>
          </a:stretch>
        </xdr:blipFill>
        <xdr:spPr>
          <a:xfrm>
            <a:off x="5734050" y="18554700"/>
            <a:ext cx="5638095" cy="2819048"/>
          </a:xfrm>
          <a:prstGeom prst="rect">
            <a:avLst/>
          </a:prstGeom>
          <a:ln>
            <a:noFill/>
          </a:ln>
          <a:effectLst>
            <a:softEdge rad="112500"/>
          </a:effectLst>
        </xdr:spPr>
      </xdr:pic>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18"/>
          <a:srcRect r="5129" b="21728"/>
          <a:stretch/>
        </xdr:blipFill>
        <xdr:spPr>
          <a:xfrm>
            <a:off x="10201275" y="20031075"/>
            <a:ext cx="1057275" cy="171450"/>
          </a:xfrm>
          <a:prstGeom prst="rect">
            <a:avLst/>
          </a:prstGeom>
        </xdr:spPr>
      </xdr:pic>
    </xdr:grpSp>
    <xdr:clientData/>
  </xdr:twoCellAnchor>
  <xdr:twoCellAnchor>
    <xdr:from>
      <xdr:col>24</xdr:col>
      <xdr:colOff>47625</xdr:colOff>
      <xdr:row>142</xdr:row>
      <xdr:rowOff>66675</xdr:rowOff>
    </xdr:from>
    <xdr:to>
      <xdr:col>58</xdr:col>
      <xdr:colOff>18244</xdr:colOff>
      <xdr:row>148</xdr:row>
      <xdr:rowOff>180818</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4772025" y="26489025"/>
          <a:ext cx="6663519" cy="1219043"/>
          <a:chOff x="4619625" y="27336750"/>
          <a:chExt cx="6447619" cy="1257143"/>
        </a:xfrm>
      </xdr:grpSpPr>
      <xdr:pic>
        <xdr:nvPicPr>
          <xdr:cNvPr id="63" name="Picture 62">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19"/>
          <a:stretch>
            <a:fillRect/>
          </a:stretch>
        </xdr:blipFill>
        <xdr:spPr>
          <a:xfrm>
            <a:off x="4619625" y="27336750"/>
            <a:ext cx="6447619" cy="1257143"/>
          </a:xfrm>
          <a:prstGeom prst="rect">
            <a:avLst/>
          </a:prstGeom>
        </xdr:spPr>
      </xdr:pic>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8"/>
          <a:stretch>
            <a:fillRect/>
          </a:stretch>
        </xdr:blipFill>
        <xdr:spPr>
          <a:xfrm>
            <a:off x="9229725" y="27393900"/>
            <a:ext cx="1219048" cy="219048"/>
          </a:xfrm>
          <a:prstGeom prst="rect">
            <a:avLst/>
          </a:prstGeom>
        </xdr:spPr>
      </xdr:pic>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8"/>
          <a:stretch>
            <a:fillRect/>
          </a:stretch>
        </xdr:blipFill>
        <xdr:spPr>
          <a:xfrm>
            <a:off x="9839325" y="27403425"/>
            <a:ext cx="1219048" cy="219048"/>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Sanjeet Chauhan" id="{7A866C20-73AD-4A7D-ABD4-7FF91D8E3CCD}" userId="S::sanjeet.chauhan@nagarro.com::d330eb14-ede1-4f5d-a9c5-298bbfdb6ce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23" dT="2019-07-09T21:53:09.88" personId="{7A866C20-73AD-4A7D-ABD4-7FF91D8E3CCD}" id="{7CCDC33E-4A20-4C04-9208-3ABAB03F06DB}">
    <text>Need to clarify</text>
  </threadedComment>
  <threadedComment ref="X47" dT="2019-07-09T17:00:56.67" personId="{7A866C20-73AD-4A7D-ABD4-7FF91D8E3CCD}" id="{A26F4214-8AFF-4C7D-875A-54FC233A4694}">
    <text>Need to clarify</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microsoft.com/office/2017/10/relationships/threadedComment" Target="../threadedComments/threadedComment1.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vikas.burman@nagarro.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B2:C59"/>
  <sheetViews>
    <sheetView workbookViewId="0">
      <selection activeCell="B51" sqref="B51:C55"/>
    </sheetView>
  </sheetViews>
  <sheetFormatPr defaultRowHeight="14.5" outlineLevelRow="1" x14ac:dyDescent="0.35"/>
  <cols>
    <col min="1" max="1" width="3.81640625" customWidth="1"/>
    <col min="2" max="2" width="14.1796875" customWidth="1"/>
    <col min="3" max="3" width="32.26953125" customWidth="1"/>
  </cols>
  <sheetData>
    <row r="2" spans="2:3" collapsed="1" x14ac:dyDescent="0.35">
      <c r="B2" s="3" t="s">
        <v>16</v>
      </c>
      <c r="C2" s="4"/>
    </row>
    <row r="3" spans="2:3" hidden="1" outlineLevel="1" x14ac:dyDescent="0.35">
      <c r="B3" s="2" t="s">
        <v>23</v>
      </c>
      <c r="C3" s="2"/>
    </row>
    <row r="4" spans="2:3" hidden="1" outlineLevel="1" x14ac:dyDescent="0.35">
      <c r="B4" s="2" t="s">
        <v>6</v>
      </c>
      <c r="C4" s="2"/>
    </row>
    <row r="5" spans="2:3" hidden="1" outlineLevel="1" x14ac:dyDescent="0.35">
      <c r="B5" s="2" t="s">
        <v>7</v>
      </c>
      <c r="C5" s="2"/>
    </row>
    <row r="7" spans="2:3" collapsed="1" x14ac:dyDescent="0.35">
      <c r="B7" s="3" t="s">
        <v>17</v>
      </c>
      <c r="C7" s="4"/>
    </row>
    <row r="8" spans="2:3" hidden="1" outlineLevel="1" x14ac:dyDescent="0.35">
      <c r="B8" s="2" t="s">
        <v>23</v>
      </c>
      <c r="C8" s="2"/>
    </row>
    <row r="9" spans="2:3" hidden="1" outlineLevel="1" x14ac:dyDescent="0.35">
      <c r="B9" s="2" t="s">
        <v>8</v>
      </c>
      <c r="C9" s="2"/>
    </row>
    <row r="10" spans="2:3" hidden="1" outlineLevel="1" x14ac:dyDescent="0.35">
      <c r="B10" s="2" t="s">
        <v>13</v>
      </c>
      <c r="C10" s="2"/>
    </row>
    <row r="11" spans="2:3" hidden="1" outlineLevel="1" x14ac:dyDescent="0.35">
      <c r="B11" s="2" t="s">
        <v>14</v>
      </c>
      <c r="C11" s="2"/>
    </row>
    <row r="12" spans="2:3" hidden="1" outlineLevel="1" x14ac:dyDescent="0.35">
      <c r="B12" s="2" t="s">
        <v>15</v>
      </c>
      <c r="C12" s="2"/>
    </row>
    <row r="13" spans="2:3" hidden="1" outlineLevel="1" x14ac:dyDescent="0.35">
      <c r="B13" s="2" t="s">
        <v>9</v>
      </c>
      <c r="C13" s="2"/>
    </row>
    <row r="14" spans="2:3" hidden="1" outlineLevel="1" x14ac:dyDescent="0.35">
      <c r="B14" s="2" t="s">
        <v>10</v>
      </c>
      <c r="C14" s="2"/>
    </row>
    <row r="15" spans="2:3" hidden="1" outlineLevel="1" x14ac:dyDescent="0.35">
      <c r="B15" s="2" t="s">
        <v>12</v>
      </c>
      <c r="C15" s="2"/>
    </row>
    <row r="16" spans="2:3" hidden="1" outlineLevel="1" x14ac:dyDescent="0.35">
      <c r="B16" s="2" t="s">
        <v>11</v>
      </c>
      <c r="C16" s="2"/>
    </row>
    <row r="18" spans="2:3" collapsed="1" x14ac:dyDescent="0.35">
      <c r="B18" s="3" t="s">
        <v>24</v>
      </c>
      <c r="C18" s="4"/>
    </row>
    <row r="19" spans="2:3" hidden="1" outlineLevel="1" x14ac:dyDescent="0.35">
      <c r="B19" s="2" t="s">
        <v>23</v>
      </c>
      <c r="C19" s="2"/>
    </row>
    <row r="20" spans="2:3" hidden="1" outlineLevel="1" x14ac:dyDescent="0.35">
      <c r="B20" s="2" t="s">
        <v>18</v>
      </c>
      <c r="C20" s="2"/>
    </row>
    <row r="21" spans="2:3" hidden="1" outlineLevel="1" x14ac:dyDescent="0.35">
      <c r="B21" s="2" t="s">
        <v>19</v>
      </c>
      <c r="C21" s="2"/>
    </row>
    <row r="22" spans="2:3" hidden="1" outlineLevel="1" x14ac:dyDescent="0.35">
      <c r="B22" s="2" t="s">
        <v>20</v>
      </c>
      <c r="C22" s="2"/>
    </row>
    <row r="23" spans="2:3" hidden="1" outlineLevel="1" x14ac:dyDescent="0.35">
      <c r="B23" s="2" t="s">
        <v>21</v>
      </c>
      <c r="C23" s="2"/>
    </row>
    <row r="24" spans="2:3" hidden="1" outlineLevel="1" x14ac:dyDescent="0.35">
      <c r="B24" s="2" t="s">
        <v>22</v>
      </c>
      <c r="C24" s="2"/>
    </row>
    <row r="26" spans="2:3" collapsed="1" x14ac:dyDescent="0.35">
      <c r="B26" s="3" t="s">
        <v>28</v>
      </c>
      <c r="C26" s="4"/>
    </row>
    <row r="27" spans="2:3" hidden="1" outlineLevel="1" x14ac:dyDescent="0.35">
      <c r="B27" s="2" t="s">
        <v>23</v>
      </c>
      <c r="C27" s="2"/>
    </row>
    <row r="28" spans="2:3" hidden="1" outlineLevel="1" x14ac:dyDescent="0.35">
      <c r="B28" s="2" t="s">
        <v>25</v>
      </c>
      <c r="C28" s="2"/>
    </row>
    <row r="29" spans="2:3" hidden="1" outlineLevel="1" x14ac:dyDescent="0.35">
      <c r="B29" s="2" t="s">
        <v>27</v>
      </c>
      <c r="C29" s="2"/>
    </row>
    <row r="31" spans="2:3" collapsed="1" x14ac:dyDescent="0.35">
      <c r="B31" s="3" t="s">
        <v>35</v>
      </c>
      <c r="C31" s="3"/>
    </row>
    <row r="32" spans="2:3" hidden="1" outlineLevel="1" x14ac:dyDescent="0.35">
      <c r="B32" s="2" t="s">
        <v>23</v>
      </c>
      <c r="C32" s="2"/>
    </row>
    <row r="33" spans="2:3" hidden="1" outlineLevel="1" x14ac:dyDescent="0.35">
      <c r="B33" s="2" t="s">
        <v>32</v>
      </c>
      <c r="C33" s="2"/>
    </row>
    <row r="34" spans="2:3" hidden="1" outlineLevel="1" x14ac:dyDescent="0.35">
      <c r="B34" s="2" t="s">
        <v>33</v>
      </c>
      <c r="C34" s="2"/>
    </row>
    <row r="35" spans="2:3" hidden="1" outlineLevel="1" x14ac:dyDescent="0.35">
      <c r="B35" s="2" t="s">
        <v>34</v>
      </c>
      <c r="C35" s="2"/>
    </row>
    <row r="37" spans="2:3" collapsed="1" x14ac:dyDescent="0.35">
      <c r="B37" s="3" t="s">
        <v>37</v>
      </c>
      <c r="C37" s="3"/>
    </row>
    <row r="38" spans="2:3" hidden="1" outlineLevel="1" x14ac:dyDescent="0.35">
      <c r="B38" s="2" t="s">
        <v>23</v>
      </c>
      <c r="C38" s="2"/>
    </row>
    <row r="39" spans="2:3" hidden="1" outlineLevel="1" x14ac:dyDescent="0.35">
      <c r="B39" s="2" t="s">
        <v>38</v>
      </c>
      <c r="C39" s="2"/>
    </row>
    <row r="40" spans="2:3" hidden="1" outlineLevel="1" x14ac:dyDescent="0.35">
      <c r="B40" s="2" t="s">
        <v>39</v>
      </c>
      <c r="C40" s="2"/>
    </row>
    <row r="41" spans="2:3" hidden="1" outlineLevel="1" x14ac:dyDescent="0.35">
      <c r="B41" s="2" t="s">
        <v>40</v>
      </c>
      <c r="C41" s="2"/>
    </row>
    <row r="42" spans="2:3" hidden="1" outlineLevel="1" x14ac:dyDescent="0.35">
      <c r="B42" s="2" t="s">
        <v>41</v>
      </c>
      <c r="C42" s="2"/>
    </row>
    <row r="44" spans="2:3" collapsed="1" x14ac:dyDescent="0.35">
      <c r="B44" s="3" t="s">
        <v>44</v>
      </c>
      <c r="C44" s="4"/>
    </row>
    <row r="45" spans="2:3" hidden="1" outlineLevel="1" x14ac:dyDescent="0.35">
      <c r="B45" s="2" t="s">
        <v>23</v>
      </c>
      <c r="C45" s="2"/>
    </row>
    <row r="46" spans="2:3" hidden="1" outlineLevel="1" x14ac:dyDescent="0.35">
      <c r="B46" s="2" t="s">
        <v>42</v>
      </c>
      <c r="C46" s="2"/>
    </row>
    <row r="47" spans="2:3" hidden="1" outlineLevel="1" x14ac:dyDescent="0.35">
      <c r="B47" s="2" t="s">
        <v>43</v>
      </c>
      <c r="C47" s="2"/>
    </row>
    <row r="48" spans="2:3" hidden="1" outlineLevel="1" x14ac:dyDescent="0.35">
      <c r="B48" s="2" t="s">
        <v>45</v>
      </c>
      <c r="C48" s="2"/>
    </row>
    <row r="50" spans="2:3" collapsed="1" x14ac:dyDescent="0.35">
      <c r="B50" s="3" t="s">
        <v>52</v>
      </c>
      <c r="C50" s="3"/>
    </row>
    <row r="51" spans="2:3" hidden="1" outlineLevel="1" x14ac:dyDescent="0.35">
      <c r="B51" s="2" t="s">
        <v>54</v>
      </c>
      <c r="C51" s="163">
        <f>IF(MIN_EFFORT_PERCENT &lt; 0, MIN_EFFORT_PERCENT, MIN_EFFORT_PERCENT*-1)</f>
        <v>-0.2</v>
      </c>
    </row>
    <row r="52" spans="2:3" hidden="1" outlineLevel="1" x14ac:dyDescent="0.35">
      <c r="B52" s="2" t="s">
        <v>126</v>
      </c>
      <c r="C52" s="163">
        <f>CUSTOM_PERCENT*-1</f>
        <v>-0.25</v>
      </c>
    </row>
    <row r="53" spans="2:3" hidden="1" outlineLevel="1" x14ac:dyDescent="0.35">
      <c r="B53" s="2" t="s">
        <v>55</v>
      </c>
      <c r="C53" s="163">
        <v>0</v>
      </c>
    </row>
    <row r="54" spans="2:3" hidden="1" outlineLevel="1" x14ac:dyDescent="0.35">
      <c r="B54" s="2" t="s">
        <v>127</v>
      </c>
      <c r="C54" s="163">
        <f>CUSTOM_PERCENT</f>
        <v>0.25</v>
      </c>
    </row>
    <row r="55" spans="2:3" hidden="1" outlineLevel="1" x14ac:dyDescent="0.35">
      <c r="B55" s="2" t="s">
        <v>53</v>
      </c>
      <c r="C55" s="163">
        <f>MAX_EFFORT_PERCENT</f>
        <v>0.2</v>
      </c>
    </row>
    <row r="57" spans="2:3" collapsed="1" x14ac:dyDescent="0.35">
      <c r="B57" s="3" t="s">
        <v>61</v>
      </c>
      <c r="C57" s="3"/>
    </row>
    <row r="58" spans="2:3" hidden="1" outlineLevel="1" x14ac:dyDescent="0.35">
      <c r="B58" s="2" t="s">
        <v>63</v>
      </c>
      <c r="C58" s="2"/>
    </row>
    <row r="59" spans="2:3" hidden="1" outlineLevel="1" x14ac:dyDescent="0.35">
      <c r="B59" s="2" t="s">
        <v>1</v>
      </c>
      <c r="C59" s="2"/>
    </row>
  </sheetData>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AD536"/>
  <sheetViews>
    <sheetView showGridLines="0" tabSelected="1" zoomScaleNormal="100" workbookViewId="0">
      <pane xSplit="11" ySplit="11" topLeftCell="M368" activePane="bottomRight" state="frozenSplit"/>
      <selection pane="topRight" activeCell="M1" sqref="M1"/>
      <selection pane="bottomLeft" activeCell="A17" sqref="A17"/>
      <selection pane="bottomRight" activeCell="T338" sqref="T338"/>
    </sheetView>
  </sheetViews>
  <sheetFormatPr defaultColWidth="9.1796875" defaultRowHeight="14.5" outlineLevelRow="2" outlineLevelCol="1" x14ac:dyDescent="0.35"/>
  <cols>
    <col min="1" max="1" width="1" style="93" customWidth="1"/>
    <col min="2" max="2" width="1" style="10" customWidth="1"/>
    <col min="3" max="5" width="1" style="80" customWidth="1"/>
    <col min="6" max="6" width="3" style="80" customWidth="1"/>
    <col min="7" max="7" width="8.54296875" style="19" customWidth="1" outlineLevel="1"/>
    <col min="8" max="8" width="8.453125" style="19" customWidth="1" outlineLevel="1"/>
    <col min="9" max="9" width="7.1796875" style="19" customWidth="1" outlineLevel="1"/>
    <col min="10" max="10" width="7.7265625" style="19" customWidth="1" outlineLevel="1"/>
    <col min="11" max="11" width="37.453125" style="19" customWidth="1" outlineLevel="1"/>
    <col min="12" max="12" width="3.81640625" style="19" customWidth="1"/>
    <col min="13" max="13" width="5.7265625" style="293" customWidth="1"/>
    <col min="14" max="14" width="42.7265625" style="27" customWidth="1"/>
    <col min="15" max="15" width="13.1796875" style="27" customWidth="1"/>
    <col min="16" max="16" width="17.1796875" style="19" customWidth="1"/>
    <col min="17" max="17" width="7" style="19" customWidth="1"/>
    <col min="18" max="18" width="6.453125" style="19" customWidth="1"/>
    <col min="19" max="19" width="12" style="19" customWidth="1"/>
    <col min="20" max="20" width="10.7265625" style="19" customWidth="1"/>
    <col min="21" max="21" width="6.81640625" style="19" customWidth="1" outlineLevel="1"/>
    <col min="22" max="22" width="6.1796875" style="19" customWidth="1" outlineLevel="1"/>
    <col min="23" max="23" width="6" style="19" customWidth="1" outlineLevel="1"/>
    <col min="24" max="24" width="11.7265625" style="19" customWidth="1" outlineLevel="1"/>
    <col min="25" max="25" width="11" style="19" customWidth="1" outlineLevel="1"/>
    <col min="26" max="26" width="6.54296875" style="19" customWidth="1" outlineLevel="1"/>
    <col min="27" max="27" width="11" style="19" customWidth="1" outlineLevel="1"/>
    <col min="28" max="28" width="35.7265625" style="27" customWidth="1"/>
    <col min="29" max="29" width="1.453125" style="12" customWidth="1"/>
    <col min="30" max="30" width="19" style="12" customWidth="1"/>
    <col min="31" max="16384" width="9.1796875" style="19"/>
  </cols>
  <sheetData>
    <row r="1" spans="1:30" s="11" customFormat="1" ht="4.5" customHeight="1" x14ac:dyDescent="0.35">
      <c r="A1" s="93"/>
      <c r="B1" s="10"/>
      <c r="C1" s="78"/>
      <c r="D1" s="78"/>
      <c r="E1" s="78"/>
      <c r="F1" s="78"/>
      <c r="M1" s="275"/>
      <c r="N1" s="12"/>
      <c r="O1" s="12"/>
      <c r="AB1" s="12"/>
      <c r="AC1" s="12"/>
      <c r="AD1" s="12"/>
    </row>
    <row r="2" spans="1:30" s="11" customFormat="1" ht="4.5" customHeight="1" x14ac:dyDescent="0.35">
      <c r="A2" s="94"/>
      <c r="B2" s="10"/>
      <c r="C2" s="340" t="s">
        <v>151</v>
      </c>
      <c r="D2" s="340"/>
      <c r="E2" s="340"/>
      <c r="F2" s="340"/>
      <c r="G2" s="147"/>
      <c r="H2" s="147"/>
      <c r="I2" s="147"/>
      <c r="J2" s="147"/>
      <c r="K2" s="147"/>
      <c r="L2" s="147"/>
      <c r="M2" s="276"/>
      <c r="N2" s="148"/>
      <c r="O2" s="147"/>
      <c r="P2" s="147"/>
      <c r="Q2" s="147"/>
      <c r="R2" s="147"/>
      <c r="S2" s="147"/>
      <c r="T2" s="147"/>
      <c r="U2" s="147"/>
      <c r="V2" s="147"/>
      <c r="W2" s="147"/>
      <c r="X2" s="147"/>
      <c r="Y2" s="147"/>
      <c r="Z2" s="147"/>
      <c r="AA2" s="147"/>
      <c r="AB2" s="147"/>
      <c r="AC2" s="147"/>
      <c r="AD2" s="12"/>
    </row>
    <row r="3" spans="1:30" s="11" customFormat="1" ht="23.25" customHeight="1" x14ac:dyDescent="0.6">
      <c r="A3" s="94"/>
      <c r="B3" s="10"/>
      <c r="C3" s="340"/>
      <c r="D3" s="340"/>
      <c r="E3" s="340"/>
      <c r="F3" s="340"/>
      <c r="G3" s="346" t="s">
        <v>514</v>
      </c>
      <c r="H3" s="346"/>
      <c r="I3" s="346"/>
      <c r="J3" s="346"/>
      <c r="K3" s="297" t="s">
        <v>543</v>
      </c>
      <c r="L3" s="95"/>
      <c r="M3" s="277">
        <f>IF(IS_KEY_OPP="Yes", 2, IF(IS_KEY_OPP="No", 0, 1))</f>
        <v>1</v>
      </c>
      <c r="N3" s="149" t="str">
        <f>CLIENT_NAME&amp;" - "&amp;PROJECT_NAME&amp;" ("&amp;PLATFORM&amp;" "&amp;PROJECT_TYPE&amp;" Project)"&amp;IF(RFP_NAME&lt;&gt;"", " - "&amp;RFP_NAME, "")</f>
        <v>Client Name - Project Name (- - Project) - RFP Name</v>
      </c>
      <c r="O3" s="149"/>
      <c r="P3" s="149"/>
      <c r="Q3" s="149"/>
      <c r="R3" s="149"/>
      <c r="S3" s="197"/>
      <c r="T3" s="264" t="str">
        <f>IF(COUNTIF(AD9:AD331, "Error:*") = 0, "", COUNTIF(AD9:AD331, "Error:*") &amp; " errors")</f>
        <v>1 errors</v>
      </c>
      <c r="U3" s="196"/>
      <c r="V3" s="196"/>
      <c r="W3" s="196"/>
      <c r="X3" s="210" t="s">
        <v>186</v>
      </c>
      <c r="Y3" s="212" t="s">
        <v>190</v>
      </c>
      <c r="Z3" s="214"/>
      <c r="AA3" s="213"/>
      <c r="AB3" s="266"/>
      <c r="AC3" s="95"/>
      <c r="AD3" s="12"/>
    </row>
    <row r="4" spans="1:30" s="11" customFormat="1" ht="4.5" customHeight="1" x14ac:dyDescent="0.35">
      <c r="A4" s="94"/>
      <c r="B4" s="10"/>
      <c r="C4" s="340"/>
      <c r="D4" s="340"/>
      <c r="E4" s="340"/>
      <c r="F4" s="340"/>
      <c r="G4" s="95"/>
      <c r="H4" s="95"/>
      <c r="I4" s="95"/>
      <c r="J4" s="95"/>
      <c r="K4" s="95"/>
      <c r="L4" s="95"/>
      <c r="M4" s="278"/>
      <c r="N4" s="96"/>
      <c r="O4" s="95"/>
      <c r="P4" s="246"/>
      <c r="Q4" s="198"/>
      <c r="R4" s="95"/>
      <c r="S4" s="199"/>
      <c r="T4" s="265"/>
      <c r="U4" s="196"/>
      <c r="V4" s="196"/>
      <c r="W4" s="196"/>
      <c r="X4" s="211"/>
      <c r="Y4" s="212"/>
      <c r="Z4" s="214"/>
      <c r="AA4" s="214"/>
      <c r="AB4" s="95"/>
      <c r="AC4" s="95"/>
      <c r="AD4" s="12"/>
    </row>
    <row r="5" spans="1:30" s="11" customFormat="1" ht="20.25" customHeight="1" x14ac:dyDescent="0.35">
      <c r="A5" s="94"/>
      <c r="B5" s="10"/>
      <c r="C5" s="340"/>
      <c r="D5" s="340"/>
      <c r="E5" s="340"/>
      <c r="F5" s="340"/>
      <c r="G5" s="95"/>
      <c r="H5" s="218"/>
      <c r="I5" s="218" t="s">
        <v>275</v>
      </c>
      <c r="J5" s="347">
        <v>42565</v>
      </c>
      <c r="K5" s="347"/>
      <c r="L5" s="95"/>
      <c r="M5" s="278"/>
      <c r="N5" s="98" t="str">
        <f>IF(TOTAL_EFFORT&lt;=0, "", CHOSEN_CURRENCY&amp;" "&amp;TEXT(CEILING(($W$387/1000),1),"##,##,###")&amp;" K  ●  "&amp;TEXT(TOTAL_EFFORT,"##,##,###")&amp;" PDs ("&amp;TEXT(TOTAL_WEEKS,"##,###"&amp;" Wk)"))</f>
        <v>- 221 K  ●  983 PDs (198 Wk)</v>
      </c>
      <c r="O5" s="248"/>
      <c r="P5" s="247"/>
      <c r="Q5" s="254"/>
      <c r="R5" s="193" t="s">
        <v>88</v>
      </c>
      <c r="S5" s="194" t="s">
        <v>55</v>
      </c>
      <c r="T5" s="195">
        <v>0.25</v>
      </c>
      <c r="U5" s="196"/>
      <c r="V5" s="196"/>
      <c r="W5" s="196"/>
      <c r="X5" s="210" t="s">
        <v>187</v>
      </c>
      <c r="Y5" s="212" t="s">
        <v>191</v>
      </c>
      <c r="Z5" s="213"/>
      <c r="AA5" s="213"/>
      <c r="AB5" s="348" t="s">
        <v>110</v>
      </c>
      <c r="AC5" s="97"/>
      <c r="AD5" s="12"/>
    </row>
    <row r="6" spans="1:30" s="11" customFormat="1" ht="20.25" customHeight="1" x14ac:dyDescent="0.35">
      <c r="A6" s="94"/>
      <c r="B6" s="10"/>
      <c r="C6" s="340"/>
      <c r="D6" s="340"/>
      <c r="E6" s="340"/>
      <c r="F6" s="340"/>
      <c r="G6" s="95"/>
      <c r="H6" s="218"/>
      <c r="I6" s="218" t="s">
        <v>276</v>
      </c>
      <c r="J6" s="95" t="s">
        <v>515</v>
      </c>
      <c r="K6" s="95"/>
      <c r="L6" s="95"/>
      <c r="M6" s="279"/>
      <c r="N6" s="143" t="str">
        <f>IF(TOTAL_EFFORT&lt;=0, "", "Auto: "&amp;DURATION&amp;" Wk  ("&amp;CEILING(DURATION/4,0.5)&amp;" M)"&amp;", Manual: "&amp;MANUAL_DURATION&amp;" Wk ("&amp;CEILING(MANUAL_DURATION/4,0.5)&amp;" M)")</f>
        <v>Auto: 87.8 Wk  (22 M), Manual: -143 Wk (-35.5 M)</v>
      </c>
      <c r="O6" s="249"/>
      <c r="P6" s="247"/>
      <c r="Q6" s="245"/>
      <c r="R6" s="150" t="s">
        <v>62</v>
      </c>
      <c r="S6" s="179" t="s">
        <v>63</v>
      </c>
      <c r="T6" s="180"/>
      <c r="U6" s="196"/>
      <c r="V6" s="196"/>
      <c r="W6" s="196"/>
      <c r="X6" s="210" t="s">
        <v>188</v>
      </c>
      <c r="Y6" s="212" t="s">
        <v>189</v>
      </c>
      <c r="Z6" s="213"/>
      <c r="AA6" s="213"/>
      <c r="AB6" s="348"/>
      <c r="AC6" s="97"/>
      <c r="AD6" s="12"/>
    </row>
    <row r="7" spans="1:30" s="11" customFormat="1" ht="4.5" customHeight="1" x14ac:dyDescent="0.35">
      <c r="A7" s="94"/>
      <c r="B7" s="10"/>
      <c r="C7" s="340"/>
      <c r="D7" s="340"/>
      <c r="E7" s="340"/>
      <c r="F7" s="340"/>
      <c r="G7" s="95"/>
      <c r="H7" s="95"/>
      <c r="I7" s="95"/>
      <c r="J7" s="95"/>
      <c r="K7" s="95"/>
      <c r="L7" s="95"/>
      <c r="M7" s="278"/>
      <c r="N7" s="96"/>
      <c r="O7" s="95"/>
      <c r="P7" s="95"/>
      <c r="Q7" s="95"/>
      <c r="R7" s="95"/>
      <c r="S7" s="95"/>
      <c r="T7" s="95"/>
      <c r="U7" s="95"/>
      <c r="V7" s="95"/>
      <c r="W7" s="95"/>
      <c r="X7" s="95"/>
      <c r="Y7" s="95"/>
      <c r="Z7" s="95"/>
      <c r="AA7" s="95"/>
      <c r="AB7" s="95"/>
      <c r="AC7" s="95"/>
      <c r="AD7" s="12"/>
    </row>
    <row r="8" spans="1:30" s="11" customFormat="1" ht="1.5" customHeight="1" x14ac:dyDescent="0.35">
      <c r="A8" s="93"/>
      <c r="B8" s="10"/>
      <c r="C8" s="340"/>
      <c r="D8" s="340"/>
      <c r="E8" s="340"/>
      <c r="F8" s="340"/>
      <c r="G8" s="13"/>
      <c r="H8" s="13"/>
      <c r="I8" s="13"/>
      <c r="J8" s="13"/>
      <c r="K8" s="13"/>
      <c r="L8" s="13"/>
      <c r="M8" s="280"/>
      <c r="N8" s="13"/>
      <c r="O8" s="13"/>
      <c r="P8" s="13"/>
      <c r="Q8" s="13"/>
      <c r="R8" s="13"/>
      <c r="S8" s="13"/>
      <c r="T8" s="13"/>
      <c r="U8" s="13"/>
      <c r="V8" s="13"/>
      <c r="W8" s="13"/>
      <c r="X8" s="13"/>
      <c r="Y8" s="13"/>
      <c r="Z8" s="13"/>
      <c r="AA8" s="13"/>
      <c r="AB8" s="12"/>
      <c r="AC8" s="12"/>
      <c r="AD8" s="12"/>
    </row>
    <row r="9" spans="1:30" s="11" customFormat="1" ht="15" customHeight="1" x14ac:dyDescent="0.35">
      <c r="A9" s="93"/>
      <c r="B9" s="10"/>
      <c r="C9" s="340"/>
      <c r="D9" s="340"/>
      <c r="E9" s="340"/>
      <c r="F9" s="340"/>
      <c r="G9" s="342" t="s">
        <v>131</v>
      </c>
      <c r="H9" s="342"/>
      <c r="I9" s="342"/>
      <c r="J9" s="342"/>
      <c r="K9" s="166"/>
      <c r="L9" s="154"/>
      <c r="M9" s="281"/>
      <c r="N9" s="43"/>
      <c r="O9" s="43"/>
      <c r="P9" s="43"/>
      <c r="Q9" s="244"/>
      <c r="R9" s="251" t="s">
        <v>147</v>
      </c>
      <c r="S9" s="208" t="s">
        <v>145</v>
      </c>
      <c r="T9" s="208" t="s">
        <v>146</v>
      </c>
      <c r="U9" s="244"/>
      <c r="V9" s="244"/>
      <c r="W9" s="244"/>
      <c r="X9" s="43"/>
      <c r="Y9" s="43"/>
      <c r="Z9" s="43"/>
      <c r="AA9" s="43"/>
      <c r="AB9" s="153" t="s">
        <v>175</v>
      </c>
      <c r="AC9" s="43"/>
      <c r="AD9" s="12"/>
    </row>
    <row r="10" spans="1:30" s="11" customFormat="1" ht="13.5" customHeight="1" x14ac:dyDescent="0.35">
      <c r="A10" s="93" t="s">
        <v>148</v>
      </c>
      <c r="B10" s="10"/>
      <c r="C10" s="341" t="s">
        <v>109</v>
      </c>
      <c r="D10" s="341"/>
      <c r="E10" s="341"/>
      <c r="F10" s="341"/>
      <c r="G10" s="48" t="s">
        <v>81</v>
      </c>
      <c r="H10" s="49" t="s">
        <v>80</v>
      </c>
      <c r="I10" s="183"/>
      <c r="J10" s="184"/>
      <c r="K10" s="50"/>
      <c r="L10" s="138"/>
      <c r="M10" s="282"/>
      <c r="N10" s="40"/>
      <c r="O10" s="191"/>
      <c r="P10" s="322" t="s">
        <v>57</v>
      </c>
      <c r="Q10" s="323"/>
      <c r="R10" s="324"/>
      <c r="S10" s="41"/>
      <c r="T10" s="250"/>
      <c r="U10" s="322" t="s">
        <v>58</v>
      </c>
      <c r="V10" s="323"/>
      <c r="W10" s="324"/>
      <c r="X10" s="252" t="s">
        <v>89</v>
      </c>
      <c r="Y10" s="69"/>
      <c r="Z10" s="42"/>
      <c r="AA10" s="221"/>
      <c r="AB10" s="40"/>
      <c r="AC10" s="40"/>
      <c r="AD10" s="12"/>
    </row>
    <row r="11" spans="1:30" s="11" customFormat="1" ht="15" customHeight="1" x14ac:dyDescent="0.35">
      <c r="A11" s="93" t="s">
        <v>104</v>
      </c>
      <c r="B11" s="10"/>
      <c r="C11" s="341" t="s">
        <v>152</v>
      </c>
      <c r="D11" s="341"/>
      <c r="E11" s="341"/>
      <c r="F11" s="341"/>
      <c r="G11" s="9" t="s">
        <v>60</v>
      </c>
      <c r="H11" s="51" t="s">
        <v>2</v>
      </c>
      <c r="I11" s="177" t="s">
        <v>133</v>
      </c>
      <c r="J11" s="51" t="s">
        <v>1</v>
      </c>
      <c r="K11" s="7" t="s">
        <v>48</v>
      </c>
      <c r="L11" s="77"/>
      <c r="M11" s="283" t="s">
        <v>82</v>
      </c>
      <c r="N11" s="77"/>
      <c r="O11" s="192" t="s">
        <v>430</v>
      </c>
      <c r="P11" s="7" t="s">
        <v>3</v>
      </c>
      <c r="Q11" s="52" t="s">
        <v>153</v>
      </c>
      <c r="R11" s="51" t="s">
        <v>51</v>
      </c>
      <c r="S11" s="337" t="s">
        <v>59</v>
      </c>
      <c r="T11" s="338"/>
      <c r="U11" s="8" t="s">
        <v>46</v>
      </c>
      <c r="V11" s="8" t="s">
        <v>90</v>
      </c>
      <c r="W11" s="182" t="s">
        <v>47</v>
      </c>
      <c r="X11" s="51" t="s">
        <v>57</v>
      </c>
      <c r="Y11" s="7" t="s">
        <v>64</v>
      </c>
      <c r="Z11" s="51" t="s">
        <v>50</v>
      </c>
      <c r="AA11" s="51" t="s">
        <v>139</v>
      </c>
      <c r="AB11" s="190" t="s">
        <v>444</v>
      </c>
      <c r="AC11" s="6"/>
      <c r="AD11" s="12"/>
    </row>
    <row r="12" spans="1:30" s="17" customFormat="1" ht="18.5" collapsed="1" x14ac:dyDescent="0.35">
      <c r="A12" s="93" t="s">
        <v>98</v>
      </c>
      <c r="B12" s="14"/>
      <c r="C12" s="344" t="s">
        <v>150</v>
      </c>
      <c r="D12" s="345"/>
      <c r="E12" s="345"/>
      <c r="F12" s="201" t="s">
        <v>149</v>
      </c>
      <c r="G12" s="55"/>
      <c r="H12" s="55"/>
      <c r="I12" s="55"/>
      <c r="J12" s="55"/>
      <c r="K12" s="55"/>
      <c r="L12" s="55" t="s">
        <v>0</v>
      </c>
      <c r="M12" s="284" t="s">
        <v>49</v>
      </c>
      <c r="N12" s="215"/>
      <c r="O12" s="57"/>
      <c r="P12" s="58"/>
      <c r="Q12" s="58"/>
      <c r="R12" s="58"/>
      <c r="S12" s="339">
        <f>CEILING(SUMIF(J13:J58, "&lt;&gt;Yes", T13:T58),1)</f>
        <v>133</v>
      </c>
      <c r="T12" s="339"/>
      <c r="U12" s="58"/>
      <c r="V12" s="58"/>
      <c r="W12" s="58"/>
      <c r="X12" s="58"/>
      <c r="Y12" s="58"/>
      <c r="Z12" s="58"/>
      <c r="AA12" s="58"/>
      <c r="AB12" s="58"/>
      <c r="AC12" s="58"/>
      <c r="AD12" s="16"/>
    </row>
    <row r="13" spans="1:30" s="11" customFormat="1" ht="3" hidden="1" customHeight="1" outlineLevel="1" x14ac:dyDescent="0.35">
      <c r="A13" s="93" t="s">
        <v>99</v>
      </c>
      <c r="B13" s="18"/>
      <c r="C13" s="202"/>
      <c r="D13" s="202"/>
      <c r="E13" s="202"/>
      <c r="F13" s="202"/>
      <c r="G13" s="28"/>
      <c r="H13" s="28"/>
      <c r="I13" s="28"/>
      <c r="J13" s="28"/>
      <c r="K13" s="28"/>
      <c r="L13" s="29">
        <v>0</v>
      </c>
      <c r="M13" s="285"/>
      <c r="N13" s="28"/>
      <c r="O13" s="28"/>
      <c r="P13" s="28"/>
      <c r="Q13" s="28"/>
      <c r="R13" s="28"/>
      <c r="S13" s="28"/>
      <c r="T13" s="30"/>
      <c r="U13" s="28"/>
      <c r="V13" s="28"/>
      <c r="W13" s="28"/>
      <c r="X13" s="30"/>
      <c r="Y13" s="28"/>
      <c r="Z13" s="28"/>
      <c r="AA13" s="28"/>
      <c r="AB13" s="31"/>
      <c r="AC13" s="31"/>
      <c r="AD13" s="12"/>
    </row>
    <row r="14" spans="1:30" s="17" customFormat="1" ht="15.5" hidden="1" outlineLevel="1" collapsed="1" x14ac:dyDescent="0.35">
      <c r="A14" s="93" t="s">
        <v>100</v>
      </c>
      <c r="B14" s="21"/>
      <c r="C14" s="84"/>
      <c r="D14" s="84"/>
      <c r="E14" s="84"/>
      <c r="F14" s="83"/>
      <c r="G14" s="32"/>
      <c r="H14" s="32"/>
      <c r="I14" s="32"/>
      <c r="J14" s="32"/>
      <c r="K14" s="32"/>
      <c r="L14" s="20">
        <f ca="1">LOOKUP(1000,INDIRECT("L1:"&amp;CELL("address",INDIRECT("R[-1]C",FALSE))))+1</f>
        <v>1</v>
      </c>
      <c r="M14" s="317" t="s">
        <v>454</v>
      </c>
      <c r="N14" s="317"/>
      <c r="O14" s="5"/>
      <c r="P14" s="33"/>
      <c r="Q14" s="33"/>
      <c r="R14" s="33"/>
      <c r="S14" s="33"/>
      <c r="T14" s="167">
        <f>IF($S$6="Exclude", SUMIFS(S15:S19, J15:J19, "&lt;&gt;Yes", G15:G19, "&lt;&gt;Yes"), SUMIFS(S15:S19, J15:J19, "&lt;&gt;Yes"))</f>
        <v>17.25</v>
      </c>
      <c r="U14" s="33"/>
      <c r="V14" s="33"/>
      <c r="W14" s="33"/>
      <c r="X14" s="34"/>
      <c r="Y14" s="35"/>
      <c r="Z14" s="35"/>
      <c r="AA14" s="35"/>
      <c r="AB14" s="240"/>
      <c r="AC14" s="36"/>
      <c r="AD14" s="26" t="str">
        <f>IF(M14="", "Error: Task name cannot be empty.", "")</f>
        <v/>
      </c>
    </row>
    <row r="15" spans="1:30" s="15" customFormat="1" ht="1.5" hidden="1" customHeight="1" outlineLevel="2" x14ac:dyDescent="0.35">
      <c r="A15" s="93" t="s">
        <v>101</v>
      </c>
      <c r="B15" s="21"/>
      <c r="C15" s="84"/>
      <c r="D15" s="84"/>
      <c r="E15" s="84"/>
      <c r="F15" s="83"/>
      <c r="G15" s="32"/>
      <c r="H15" s="32"/>
      <c r="I15" s="32"/>
      <c r="J15" s="32"/>
      <c r="K15" s="32"/>
      <c r="L15" s="175">
        <f ca="1">L14</f>
        <v>1</v>
      </c>
      <c r="M15" s="176" t="s">
        <v>105</v>
      </c>
      <c r="N15" s="173"/>
      <c r="O15" s="174"/>
      <c r="P15" s="33"/>
      <c r="Q15" s="33"/>
      <c r="R15" s="33"/>
      <c r="S15" s="33"/>
      <c r="T15" s="167"/>
      <c r="U15" s="33"/>
      <c r="V15" s="33"/>
      <c r="W15" s="33"/>
      <c r="X15" s="34"/>
      <c r="Y15" s="35"/>
      <c r="Z15" s="35"/>
      <c r="AA15" s="35"/>
      <c r="AB15" s="36"/>
      <c r="AC15" s="36"/>
      <c r="AD15" s="26"/>
    </row>
    <row r="16" spans="1:30" ht="43.5" hidden="1" outlineLevel="2" x14ac:dyDescent="0.35">
      <c r="A16" s="93" t="s">
        <v>0</v>
      </c>
      <c r="B16" s="21"/>
      <c r="C16" s="85"/>
      <c r="D16" s="85"/>
      <c r="E16" s="85"/>
      <c r="F16" s="86"/>
      <c r="G16" s="22" t="s">
        <v>6</v>
      </c>
      <c r="H16" s="22" t="s">
        <v>23</v>
      </c>
      <c r="I16" s="23" t="s">
        <v>23</v>
      </c>
      <c r="J16" s="22" t="s">
        <v>23</v>
      </c>
      <c r="K16" s="38" t="s">
        <v>506</v>
      </c>
      <c r="L16" s="22"/>
      <c r="M16" s="286" t="str">
        <f ca="1">IFERROR(OFFSET(M16,-1,,1,1)+0.1,OFFSET(M16,-1,-1,1,1)&amp;".1")</f>
        <v>1.1</v>
      </c>
      <c r="N16" s="23" t="s">
        <v>547</v>
      </c>
      <c r="O16" s="23"/>
      <c r="P16" s="23" t="s">
        <v>558</v>
      </c>
      <c r="Q16" s="144">
        <v>3</v>
      </c>
      <c r="R16" s="137">
        <v>2.5</v>
      </c>
      <c r="S16" s="169">
        <f>CEILING((IF(J16="Yes", 0, IF(H16="-",AA16,AA16+AA16*VLOOKUP(H16,BUFFERS_BY_TYPE,2,FALSE)))) +
   (IF(J16="Yes", 0, IF(H16="-",AA16,AA16+AA16*VLOOKUP(H16,BUFFERS_BY_TYPE,2,FALSE))))*VLOOKUP($S$5, SALES_CALL_SCALE_ARRAY, 2,FALSE),0.25)</f>
        <v>3</v>
      </c>
      <c r="T16" s="170"/>
      <c r="U16" s="24">
        <v>0</v>
      </c>
      <c r="V16" s="24">
        <v>1</v>
      </c>
      <c r="W16" s="24">
        <v>0</v>
      </c>
      <c r="X16" s="168">
        <v>0.4</v>
      </c>
      <c r="Y16" s="169">
        <f>CEILING((IF(P16=AS_DEV_EFFORT, DEV_EFFORT*Q16%,
                           IF(P16=AS_DURATION_EFFORT, (MANUAL_DURATION*5)*Q16%,
                                    (IF(Q16&lt;=1,X16,
                                          IF(SUM(U16:W16)=0,(Q16*X16),
                                               (((Q16*U16)*(X16+(X16*EXTRA_FOR_H)))+
                                               ((Q16*V16)*X16)+
                                               ((Q16*W16)*(X16-(X16*LESS_FOR_L)))
                                    )*IF(R16=0,1,R16))))))+Z16), 0.25)</f>
        <v>3</v>
      </c>
      <c r="Z16" s="25"/>
      <c r="AA16" s="169">
        <f>Y16+Y16*VLOOKUP(I16,EXTRAS_ARRAY,2,FALSE)</f>
        <v>3</v>
      </c>
      <c r="AB16" s="23" t="s">
        <v>548</v>
      </c>
      <c r="AC16" s="37"/>
      <c r="AD16" s="26" t="str">
        <f>IF(J16&lt;&gt;"Yes",
IF(S16&lt;=0,"Error: Effort value is not defined or is invalid.",
IF(AND(SUM(U16:W16)&gt;0,SUM(U16:W16)&lt;&gt;1),"Error: Complexity % distribution should sum to 100%.",
IF(AND(P16=AS_DEV_EFFORT,X16&lt;&gt;0),"Error: PDs should not be defined when defining as dev effort %.",
IF(AND(P16=AS_DURATION_EFFORT,X16&lt;&gt;0),"Error: PDs should not be defined when defining as duration effort %.","")))))</f>
        <v/>
      </c>
    </row>
    <row r="17" spans="1:30" ht="29" hidden="1" outlineLevel="2" x14ac:dyDescent="0.35">
      <c r="A17" s="93" t="s">
        <v>0</v>
      </c>
      <c r="B17" s="21"/>
      <c r="C17" s="85"/>
      <c r="D17" s="85"/>
      <c r="E17" s="85"/>
      <c r="F17" s="86"/>
      <c r="G17" s="22" t="s">
        <v>23</v>
      </c>
      <c r="H17" s="22" t="s">
        <v>23</v>
      </c>
      <c r="I17" s="23" t="s">
        <v>23</v>
      </c>
      <c r="J17" s="22" t="s">
        <v>23</v>
      </c>
      <c r="K17" s="38"/>
      <c r="L17" s="22"/>
      <c r="M17" s="286">
        <f ca="1">IFERROR(OFFSET(M17,-1,,1,1)+0.1,OFFSET(M17,-1,-1,1,1)&amp;".1")</f>
        <v>1.2000000000000002</v>
      </c>
      <c r="N17" s="23" t="s">
        <v>517</v>
      </c>
      <c r="O17" s="23"/>
      <c r="P17" s="23" t="s">
        <v>558</v>
      </c>
      <c r="Q17" s="144">
        <v>4</v>
      </c>
      <c r="R17" s="137">
        <v>2</v>
      </c>
      <c r="S17" s="169">
        <f>CEILING((IF(J17="Yes", 0, IF(H17="-",AA17,AA17+AA17*VLOOKUP(H17,BUFFERS_BY_TYPE,2,FALSE)))) +
   (IF(J17="Yes", 0, IF(H17="-",AA17,AA17+AA17*VLOOKUP(H17,BUFFERS_BY_TYPE,2,FALSE))))*VLOOKUP($S$5, SALES_CALL_SCALE_ARRAY, 2,FALSE),0.25)</f>
        <v>4</v>
      </c>
      <c r="T17" s="170"/>
      <c r="U17" s="24">
        <v>0</v>
      </c>
      <c r="V17" s="24">
        <v>1</v>
      </c>
      <c r="W17" s="24">
        <v>0</v>
      </c>
      <c r="X17" s="168">
        <v>0.5</v>
      </c>
      <c r="Y17" s="169">
        <f>CEILING((IF(P17=AS_DEV_EFFORT, DEV_EFFORT*Q17%,
                           IF(P17=AS_DURATION_EFFORT, (MANUAL_DURATION*5)*Q17%,
                                    (IF(Q17&lt;=1,X17,
                                          IF(SUM(U17:W17)=0,(Q17*X17),
                                               (((Q17*U17)*(X17+(X17*EXTRA_FOR_H)))+
                                               ((Q17*V17)*X17)+
                                               ((Q17*W17)*(X17-(X17*LESS_FOR_L)))
                                    )*IF(R17=0,1,R17))))))+Z17), 0.25)</f>
        <v>4</v>
      </c>
      <c r="Z17" s="25"/>
      <c r="AA17" s="169">
        <f>Y17+Y17*VLOOKUP(I17,EXTRAS_ARRAY,2,FALSE)</f>
        <v>4</v>
      </c>
      <c r="AB17" s="23" t="s">
        <v>627</v>
      </c>
      <c r="AC17" s="37"/>
      <c r="AD17" s="26" t="str">
        <f>IF(J17&lt;&gt;"Yes",
IF(S17&lt;=0,"Error: Effort value is not defined or is invalid.",
IF(AND(SUM(U17:W17)&gt;0,SUM(U17:W17)&lt;&gt;1),"Error: Complexity % distribution should sum to 100%.",
IF(AND(P17=AS_DEV_EFFORT,X17&lt;&gt;0),"Error: PDs should not be defined when defining as dev effort %.",
IF(AND(P17=AS_DURATION_EFFORT,X17&lt;&gt;0),"Error: PDs should not be defined when defining as duration effort %.","")))))</f>
        <v/>
      </c>
    </row>
    <row r="18" spans="1:30" ht="130.5" hidden="1" outlineLevel="2" x14ac:dyDescent="0.35">
      <c r="A18" s="93" t="s">
        <v>0</v>
      </c>
      <c r="B18" s="21"/>
      <c r="C18" s="85"/>
      <c r="D18" s="85"/>
      <c r="E18" s="85"/>
      <c r="F18" s="86"/>
      <c r="G18" s="22" t="s">
        <v>23</v>
      </c>
      <c r="H18" s="22" t="s">
        <v>23</v>
      </c>
      <c r="I18" s="23" t="s">
        <v>23</v>
      </c>
      <c r="J18" s="22" t="s">
        <v>23</v>
      </c>
      <c r="K18" s="38"/>
      <c r="L18" s="22"/>
      <c r="M18" s="286">
        <f ca="1">IFERROR(OFFSET(M18,-1,,1,1)+0.1,OFFSET(M18,-1,-1,1,1)&amp;".1")</f>
        <v>1.3000000000000003</v>
      </c>
      <c r="N18" s="23" t="s">
        <v>522</v>
      </c>
      <c r="O18" s="23"/>
      <c r="P18" s="23" t="s">
        <v>559</v>
      </c>
      <c r="Q18" s="144">
        <v>50</v>
      </c>
      <c r="R18" s="137">
        <v>1</v>
      </c>
      <c r="S18" s="169">
        <f>CEILING((IF(J18="Yes", 0, IF(H18="-",AA18,AA18+AA18*VLOOKUP(H18,BUFFERS_BY_TYPE,2,FALSE)))) +
   (IF(J18="Yes", 0, IF(H18="-",AA18,AA18+AA18*VLOOKUP(H18,BUFFERS_BY_TYPE,2,FALSE))))*VLOOKUP($S$5, SALES_CALL_SCALE_ARRAY, 2,FALSE),0.25)</f>
        <v>10.25</v>
      </c>
      <c r="T18" s="170"/>
      <c r="U18" s="24">
        <v>0.2</v>
      </c>
      <c r="V18" s="24">
        <v>0.5</v>
      </c>
      <c r="W18" s="24">
        <v>0.3</v>
      </c>
      <c r="X18" s="168">
        <v>0.2</v>
      </c>
      <c r="Y18" s="169">
        <f>CEILING((IF(P18=AS_DEV_EFFORT, DEV_EFFORT*Q18%,
                           IF(P18=AS_DURATION_EFFORT, (MANUAL_DURATION*5)*Q18%,
                                    (IF(Q18&lt;=1,X18,
                                          IF(SUM(U18:W18)=0,(Q18*X18),
                                               (((Q18*U18)*(X18+(X18*EXTRA_FOR_H)))+
                                               ((Q18*V18)*X18)+
                                               ((Q18*W18)*(X18-(X18*LESS_FOR_L)))
                                    )*IF(R18=0,1,R18))))))+Z18), 0.25)</f>
        <v>10.25</v>
      </c>
      <c r="Z18" s="25"/>
      <c r="AA18" s="169">
        <f>Y18+Y18*VLOOKUP(I18,EXTRAS_ARRAY,2,FALSE)</f>
        <v>10.25</v>
      </c>
      <c r="AB18" s="23"/>
      <c r="AC18" s="37"/>
      <c r="AD18" s="26" t="str">
        <f>IF(J18&lt;&gt;"Yes",
IF(S18&lt;=0,"Error: Effort value is not defined or is invalid.",
IF(AND(SUM(U18:W18)&gt;0,SUM(U18:W18)&lt;&gt;1),"Error: Complexity % distribution should sum to 100%.",
IF(AND(P18=AS_DEV_EFFORT,X18&lt;&gt;0),"Error: PDs should not be defined when defining as dev effort %.",
IF(AND(P18=AS_DURATION_EFFORT,X18&lt;&gt;0),"Error: PDs should not be defined when defining as duration effort %.","")))))</f>
        <v/>
      </c>
    </row>
    <row r="19" spans="1:30" s="11" customFormat="1" ht="7.5" hidden="1" customHeight="1" outlineLevel="2" x14ac:dyDescent="0.35">
      <c r="A19" s="93" t="s">
        <v>132</v>
      </c>
      <c r="B19" s="18"/>
      <c r="C19" s="78"/>
      <c r="D19" s="78"/>
      <c r="E19" s="78"/>
      <c r="F19" s="78"/>
      <c r="G19" s="10"/>
      <c r="H19" s="10"/>
      <c r="I19" s="10"/>
      <c r="J19" s="10"/>
      <c r="K19" s="10"/>
      <c r="L19" s="10"/>
      <c r="M19" s="287"/>
      <c r="N19" s="10"/>
      <c r="O19" s="10"/>
      <c r="P19" s="10"/>
      <c r="Q19" s="10"/>
      <c r="R19" s="10"/>
      <c r="S19" s="10"/>
      <c r="T19" s="18"/>
      <c r="U19" s="10"/>
      <c r="V19" s="10"/>
      <c r="W19" s="10"/>
      <c r="X19" s="18"/>
      <c r="Y19" s="10"/>
      <c r="Z19" s="10"/>
      <c r="AA19" s="10"/>
      <c r="AB19" s="60"/>
      <c r="AC19" s="60"/>
      <c r="AD19" s="12"/>
    </row>
    <row r="20" spans="1:30" s="17" customFormat="1" ht="15.5" hidden="1" outlineLevel="1" collapsed="1" x14ac:dyDescent="0.35">
      <c r="A20" s="93" t="s">
        <v>100</v>
      </c>
      <c r="B20" s="21"/>
      <c r="C20" s="84"/>
      <c r="D20" s="84"/>
      <c r="E20" s="84"/>
      <c r="F20" s="83"/>
      <c r="G20" s="32"/>
      <c r="H20" s="32"/>
      <c r="I20" s="32"/>
      <c r="J20" s="32"/>
      <c r="K20" s="32"/>
      <c r="L20" s="20">
        <f ca="1">LOOKUP(1000,INDIRECT("L1:"&amp;CELL("address",INDIRECT("R[-1]C",FALSE))))+1</f>
        <v>2</v>
      </c>
      <c r="M20" s="317" t="s">
        <v>455</v>
      </c>
      <c r="N20" s="317"/>
      <c r="O20" s="5"/>
      <c r="P20" s="33"/>
      <c r="Q20" s="33"/>
      <c r="R20" s="33"/>
      <c r="S20" s="33"/>
      <c r="T20" s="167">
        <f>IF($S$6="Exclude", SUMIFS(S21:S25, J21:J25, "&lt;&gt;Yes", G21:G25, "&lt;&gt;Yes"), SUMIFS(S21:S25, J21:J25, "&lt;&gt;Yes"))</f>
        <v>20.75</v>
      </c>
      <c r="U20" s="33"/>
      <c r="V20" s="33"/>
      <c r="W20" s="33"/>
      <c r="X20" s="34"/>
      <c r="Y20" s="35"/>
      <c r="Z20" s="35"/>
      <c r="AA20" s="35"/>
      <c r="AB20" s="240"/>
      <c r="AC20" s="36"/>
      <c r="AD20" s="26" t="str">
        <f>IF(M20="", "Error: Task name cannot be empty.", "")</f>
        <v/>
      </c>
    </row>
    <row r="21" spans="1:30" s="15" customFormat="1" ht="1.5" hidden="1" customHeight="1" outlineLevel="2" x14ac:dyDescent="0.35">
      <c r="A21" s="93" t="s">
        <v>101</v>
      </c>
      <c r="B21" s="21"/>
      <c r="C21" s="84"/>
      <c r="D21" s="84"/>
      <c r="E21" s="84"/>
      <c r="F21" s="83"/>
      <c r="G21" s="32"/>
      <c r="H21" s="32"/>
      <c r="I21" s="32"/>
      <c r="J21" s="32"/>
      <c r="K21" s="32"/>
      <c r="L21" s="175">
        <f ca="1">L20</f>
        <v>2</v>
      </c>
      <c r="M21" s="176" t="s">
        <v>105</v>
      </c>
      <c r="N21" s="173"/>
      <c r="O21" s="174"/>
      <c r="P21" s="33"/>
      <c r="Q21" s="33"/>
      <c r="R21" s="33"/>
      <c r="S21" s="33"/>
      <c r="T21" s="167"/>
      <c r="U21" s="33"/>
      <c r="V21" s="33"/>
      <c r="W21" s="33"/>
      <c r="X21" s="34"/>
      <c r="Y21" s="35"/>
      <c r="Z21" s="35"/>
      <c r="AA21" s="35"/>
      <c r="AB21" s="36"/>
      <c r="AC21" s="36"/>
      <c r="AD21" s="26"/>
    </row>
    <row r="22" spans="1:30" ht="43.5" hidden="1" outlineLevel="2" x14ac:dyDescent="0.35">
      <c r="A22" s="93" t="s">
        <v>0</v>
      </c>
      <c r="B22" s="21"/>
      <c r="C22" s="85"/>
      <c r="D22" s="85"/>
      <c r="E22" s="85"/>
      <c r="F22" s="86"/>
      <c r="G22" s="22" t="s">
        <v>23</v>
      </c>
      <c r="H22" s="22" t="s">
        <v>23</v>
      </c>
      <c r="I22" s="23" t="s">
        <v>23</v>
      </c>
      <c r="J22" s="22" t="s">
        <v>23</v>
      </c>
      <c r="K22" s="38"/>
      <c r="L22" s="22"/>
      <c r="M22" s="286" t="str">
        <f ca="1">IFERROR(OFFSET(M22,-1,,1,1)+0.1,OFFSET(M22,-1,-1,1,1)&amp;".1")</f>
        <v>2.1</v>
      </c>
      <c r="N22" s="23" t="s">
        <v>523</v>
      </c>
      <c r="O22" s="23"/>
      <c r="P22" s="23"/>
      <c r="Q22" s="144">
        <v>13</v>
      </c>
      <c r="R22" s="137">
        <v>1</v>
      </c>
      <c r="S22" s="169">
        <f>CEILING((IF(J22="Yes", 0, IF(H22="-",AA22,AA22+AA22*VLOOKUP(H22,BUFFERS_BY_TYPE,2,FALSE)))) +
   (IF(J22="Yes", 0, IF(H22="-",AA22,AA22+AA22*VLOOKUP(H22,BUFFERS_BY_TYPE,2,FALSE))))*VLOOKUP($S$5, SALES_CALL_SCALE_ARRAY, 2,FALSE),0.25)</f>
        <v>2.75</v>
      </c>
      <c r="T22" s="170"/>
      <c r="U22" s="24">
        <v>0</v>
      </c>
      <c r="V22" s="24">
        <v>1</v>
      </c>
      <c r="W22" s="24">
        <v>0</v>
      </c>
      <c r="X22" s="168">
        <v>0.2</v>
      </c>
      <c r="Y22" s="169">
        <f>CEILING((IF(P22=AS_DEV_EFFORT, DEV_EFFORT*Q22%,
                           IF(P22=AS_DURATION_EFFORT, (MANUAL_DURATION*5)*Q22%,
                                    (IF(Q22&lt;=1,X22,
                                          IF(SUM(U22:W22)=0,(Q22*X22),
                                               (((Q22*U22)*(X22+(X22*EXTRA_FOR_H)))+
                                               ((Q22*V22)*X22)+
                                               ((Q22*W22)*(X22-(X22*LESS_FOR_L)))
                                    )*IF(R22=0,1,R22))))))+Z22), 0.25)</f>
        <v>2.75</v>
      </c>
      <c r="Z22" s="25"/>
      <c r="AA22" s="169">
        <f>Y22+Y22*VLOOKUP(I22,EXTRAS_ARRAY,2,FALSE)</f>
        <v>2.75</v>
      </c>
      <c r="AB22" s="23" t="s">
        <v>549</v>
      </c>
      <c r="AC22" s="37"/>
      <c r="AD22" s="26" t="str">
        <f>IF(J22&lt;&gt;"Yes",
IF(S22&lt;=0,"Error: Effort value is not defined or is invalid.",
IF(AND(SUM(U22:W22)&gt;0,SUM(U22:W22)&lt;&gt;1),"Error: Complexity % distribution should sum to 100%.",
IF(AND(P22=AS_DEV_EFFORT,X22&lt;&gt;0),"Error: PDs should not be defined when defining as dev effort %.",
IF(AND(P22=AS_DURATION_EFFORT,X22&lt;&gt;0),"Error: PDs should not be defined when defining as duration effort %.","")))))</f>
        <v/>
      </c>
    </row>
    <row r="23" spans="1:30" ht="29" hidden="1" outlineLevel="2" x14ac:dyDescent="0.35">
      <c r="A23" s="93" t="s">
        <v>0</v>
      </c>
      <c r="B23" s="21"/>
      <c r="C23" s="85"/>
      <c r="D23" s="85"/>
      <c r="E23" s="85"/>
      <c r="F23" s="86"/>
      <c r="G23" s="22" t="s">
        <v>23</v>
      </c>
      <c r="H23" s="22" t="s">
        <v>23</v>
      </c>
      <c r="I23" s="23" t="s">
        <v>23</v>
      </c>
      <c r="J23" s="22" t="s">
        <v>23</v>
      </c>
      <c r="K23" s="38"/>
      <c r="L23" s="22"/>
      <c r="M23" s="286">
        <f ca="1">IFERROR(OFFSET(M23,-1,,1,1)+0.1,OFFSET(M23,-1,-1,1,1)&amp;".1")</f>
        <v>2.2000000000000002</v>
      </c>
      <c r="N23" s="23" t="s">
        <v>456</v>
      </c>
      <c r="O23" s="23" t="s">
        <v>508</v>
      </c>
      <c r="P23" s="23"/>
      <c r="Q23" s="144">
        <v>15</v>
      </c>
      <c r="R23" s="137"/>
      <c r="S23" s="169">
        <f>CEILING((IF(J23="Yes", 0, IF(H23="-",AA23,AA23+AA23*VLOOKUP(H23,BUFFERS_BY_TYPE,2,FALSE)))) +
   (IF(J23="Yes", 0, IF(H23="-",AA23,AA23+AA23*VLOOKUP(H23,BUFFERS_BY_TYPE,2,FALSE))))*VLOOKUP($S$5, SALES_CALL_SCALE_ARRAY, 2,FALSE),0.25)</f>
        <v>15</v>
      </c>
      <c r="T23" s="170"/>
      <c r="U23" s="24">
        <v>0</v>
      </c>
      <c r="V23" s="24">
        <v>1</v>
      </c>
      <c r="W23" s="24">
        <v>0</v>
      </c>
      <c r="X23" s="168">
        <v>1</v>
      </c>
      <c r="Y23" s="169">
        <f>CEILING((IF(P23=AS_DEV_EFFORT, DEV_EFFORT*Q23%,
                           IF(P23=AS_DURATION_EFFORT, (MANUAL_DURATION*5)*Q23%,
                                    (IF(Q23&lt;=1,X23,
                                          IF(SUM(U23:W23)=0,(Q23*X23),
                                               (((Q23*U23)*(X23+(X23*EXTRA_FOR_H)))+
                                               ((Q23*V23)*X23)+
                                               ((Q23*W23)*(X23-(X23*LESS_FOR_L)))
                                    )*IF(R23=0,1,R23))))))+Z23), 0.25)</f>
        <v>15</v>
      </c>
      <c r="Z23" s="25"/>
      <c r="AA23" s="169">
        <f>Y23+Y23*VLOOKUP(I23,EXTRAS_ARRAY,2,FALSE)</f>
        <v>15</v>
      </c>
      <c r="AB23" s="23" t="s">
        <v>550</v>
      </c>
      <c r="AC23" s="37"/>
      <c r="AD23" s="26" t="str">
        <f>IF(J23&lt;&gt;"Yes",
IF(S23&lt;=0,"Error: Effort value is not defined or is invalid.",
IF(AND(SUM(U23:W23)&gt;0,SUM(U23:W23)&lt;&gt;1),"Error: Complexity % distribution should sum to 100%.",
IF(AND(P23=AS_DEV_EFFORT,X23&lt;&gt;0),"Error: PDs should not be defined when defining as dev effort %.",
IF(AND(P23=AS_DURATION_EFFORT,X23&lt;&gt;0),"Error: PDs should not be defined when defining as duration effort %.","")))))</f>
        <v/>
      </c>
    </row>
    <row r="24" spans="1:30" ht="43.5" hidden="1" outlineLevel="2" x14ac:dyDescent="0.35">
      <c r="A24" s="93" t="s">
        <v>0</v>
      </c>
      <c r="B24" s="21"/>
      <c r="C24" s="85"/>
      <c r="D24" s="85"/>
      <c r="E24" s="85"/>
      <c r="F24" s="86"/>
      <c r="G24" s="22" t="s">
        <v>23</v>
      </c>
      <c r="H24" s="22" t="s">
        <v>23</v>
      </c>
      <c r="I24" s="23" t="s">
        <v>23</v>
      </c>
      <c r="J24" s="22" t="s">
        <v>23</v>
      </c>
      <c r="K24" s="38" t="s">
        <v>507</v>
      </c>
      <c r="L24" s="22"/>
      <c r="M24" s="286">
        <f ca="1">IFERROR(OFFSET(M24,-1,,1,1)+0.1,OFFSET(M24,-1,-1,1,1)&amp;".1")</f>
        <v>2.3000000000000003</v>
      </c>
      <c r="N24" s="23" t="s">
        <v>457</v>
      </c>
      <c r="O24" s="23"/>
      <c r="P24" s="23" t="s">
        <v>558</v>
      </c>
      <c r="Q24" s="144">
        <v>3</v>
      </c>
      <c r="R24" s="137">
        <v>2</v>
      </c>
      <c r="S24" s="169">
        <f>CEILING((IF(J24="Yes", 0, IF(H24="-",AA24,AA24+AA24*VLOOKUP(H24,BUFFERS_BY_TYPE,2,FALSE)))) +
   (IF(J24="Yes", 0, IF(H24="-",AA24,AA24+AA24*VLOOKUP(H24,BUFFERS_BY_TYPE,2,FALSE))))*VLOOKUP($S$5, SALES_CALL_SCALE_ARRAY, 2,FALSE),0.25)</f>
        <v>3</v>
      </c>
      <c r="T24" s="170"/>
      <c r="U24" s="24">
        <v>0</v>
      </c>
      <c r="V24" s="24">
        <v>1</v>
      </c>
      <c r="W24" s="24">
        <v>0</v>
      </c>
      <c r="X24" s="168">
        <v>0.5</v>
      </c>
      <c r="Y24" s="169">
        <f>CEILING((IF(P24=AS_DEV_EFFORT, DEV_EFFORT*Q24%,
                           IF(P24=AS_DURATION_EFFORT, (MANUAL_DURATION*5)*Q24%,
                                    (IF(Q24&lt;=1,X24,
                                          IF(SUM(U24:W24)=0,(Q24*X24),
                                               (((Q24*U24)*(X24+(X24*EXTRA_FOR_H)))+
                                               ((Q24*V24)*X24)+
                                               ((Q24*W24)*(X24-(X24*LESS_FOR_L)))
                                    )*IF(R24=0,1,R24))))))+Z24), 0.25)</f>
        <v>3</v>
      </c>
      <c r="Z24" s="25"/>
      <c r="AA24" s="169">
        <f>Y24+Y24*VLOOKUP(I24,EXTRAS_ARRAY,2,FALSE)</f>
        <v>3</v>
      </c>
      <c r="AB24" s="23" t="s">
        <v>551</v>
      </c>
      <c r="AC24" s="37"/>
      <c r="AD24" s="26" t="str">
        <f>IF(J24&lt;&gt;"Yes",
IF(S24&lt;=0,"Error: Effort value is not defined or is invalid.",
IF(AND(SUM(U24:W24)&gt;0,SUM(U24:W24)&lt;&gt;1),"Error: Complexity % distribution should sum to 100%.",
IF(AND(P24=AS_DEV_EFFORT,X24&lt;&gt;0),"Error: PDs should not be defined when defining as dev effort %.",
IF(AND(P24=AS_DURATION_EFFORT,X24&lt;&gt;0),"Error: PDs should not be defined when defining as duration effort %.","")))))</f>
        <v/>
      </c>
    </row>
    <row r="25" spans="1:30" s="11" customFormat="1" ht="7.5" hidden="1" customHeight="1" outlineLevel="2" x14ac:dyDescent="0.35">
      <c r="A25" s="93" t="s">
        <v>132</v>
      </c>
      <c r="B25" s="18"/>
      <c r="C25" s="78"/>
      <c r="D25" s="78"/>
      <c r="E25" s="78"/>
      <c r="F25" s="78"/>
      <c r="G25" s="10"/>
      <c r="H25" s="10"/>
      <c r="I25" s="10"/>
      <c r="J25" s="10"/>
      <c r="K25" s="10"/>
      <c r="L25" s="10"/>
      <c r="M25" s="287"/>
      <c r="N25" s="10"/>
      <c r="O25" s="10"/>
      <c r="P25" s="10"/>
      <c r="Q25" s="10"/>
      <c r="R25" s="10"/>
      <c r="S25" s="10"/>
      <c r="T25" s="18"/>
      <c r="U25" s="10"/>
      <c r="V25" s="10"/>
      <c r="W25" s="10"/>
      <c r="X25" s="18"/>
      <c r="Y25" s="10"/>
      <c r="Z25" s="10"/>
      <c r="AA25" s="10"/>
      <c r="AB25" s="60"/>
      <c r="AC25" s="60"/>
      <c r="AD25" s="12"/>
    </row>
    <row r="26" spans="1:30" s="17" customFormat="1" ht="15.5" hidden="1" outlineLevel="1" collapsed="1" x14ac:dyDescent="0.35">
      <c r="A26" s="93" t="s">
        <v>100</v>
      </c>
      <c r="B26" s="21"/>
      <c r="C26" s="84"/>
      <c r="D26" s="84"/>
      <c r="E26" s="84"/>
      <c r="F26" s="83"/>
      <c r="G26" s="32"/>
      <c r="H26" s="32"/>
      <c r="I26" s="32"/>
      <c r="J26" s="32"/>
      <c r="K26" s="32"/>
      <c r="L26" s="20">
        <f ca="1">LOOKUP(1000,INDIRECT("L1:"&amp;CELL("address",INDIRECT("R[-1]C",FALSE))))+1</f>
        <v>3</v>
      </c>
      <c r="M26" s="317" t="s">
        <v>516</v>
      </c>
      <c r="N26" s="317"/>
      <c r="O26" s="5"/>
      <c r="P26" s="33"/>
      <c r="Q26" s="33"/>
      <c r="R26" s="33"/>
      <c r="S26" s="33"/>
      <c r="T26" s="167">
        <f>IF($S$6="Exclude", SUMIFS(S27:S32, J27:J32, "&lt;&gt;Yes", G27:G32, "&lt;&gt;Yes"), SUMIFS(S27:S32, J27:J32, "&lt;&gt;Yes"))</f>
        <v>19</v>
      </c>
      <c r="U26" s="33"/>
      <c r="V26" s="33"/>
      <c r="W26" s="33"/>
      <c r="X26" s="34"/>
      <c r="Y26" s="35"/>
      <c r="Z26" s="35"/>
      <c r="AA26" s="35"/>
      <c r="AB26" s="240"/>
      <c r="AC26" s="36"/>
      <c r="AD26" s="26" t="str">
        <f>IF(M26="", "Error: Task name cannot be empty.", "")</f>
        <v/>
      </c>
    </row>
    <row r="27" spans="1:30" s="15" customFormat="1" ht="1.5" hidden="1" customHeight="1" outlineLevel="2" x14ac:dyDescent="0.35">
      <c r="A27" s="93" t="s">
        <v>101</v>
      </c>
      <c r="B27" s="21"/>
      <c r="C27" s="84"/>
      <c r="D27" s="84"/>
      <c r="E27" s="84"/>
      <c r="F27" s="83"/>
      <c r="G27" s="32"/>
      <c r="H27" s="32"/>
      <c r="I27" s="32"/>
      <c r="J27" s="32"/>
      <c r="K27" s="32"/>
      <c r="L27" s="175">
        <f ca="1">L26</f>
        <v>3</v>
      </c>
      <c r="M27" s="176" t="s">
        <v>105</v>
      </c>
      <c r="N27" s="173"/>
      <c r="O27" s="174"/>
      <c r="P27" s="33"/>
      <c r="Q27" s="33"/>
      <c r="R27" s="33"/>
      <c r="S27" s="33"/>
      <c r="T27" s="167"/>
      <c r="U27" s="33"/>
      <c r="V27" s="33"/>
      <c r="W27" s="33"/>
      <c r="X27" s="34"/>
      <c r="Y27" s="35"/>
      <c r="Z27" s="35"/>
      <c r="AA27" s="35"/>
      <c r="AB27" s="36"/>
      <c r="AC27" s="36"/>
      <c r="AD27" s="26"/>
    </row>
    <row r="28" spans="1:30" ht="43.5" hidden="1" outlineLevel="2" x14ac:dyDescent="0.35">
      <c r="A28" s="93" t="s">
        <v>0</v>
      </c>
      <c r="B28" s="21"/>
      <c r="C28" s="85"/>
      <c r="D28" s="85"/>
      <c r="E28" s="85"/>
      <c r="F28" s="86"/>
      <c r="G28" s="22" t="s">
        <v>23</v>
      </c>
      <c r="H28" s="22" t="s">
        <v>23</v>
      </c>
      <c r="I28" s="23" t="s">
        <v>23</v>
      </c>
      <c r="J28" s="22" t="s">
        <v>23</v>
      </c>
      <c r="K28" s="38"/>
      <c r="L28" s="22"/>
      <c r="M28" s="286" t="str">
        <f ca="1">IFERROR(OFFSET(M28,-1,,1,1)+0.1,OFFSET(M28,-1,-1,1,1)&amp;".1")</f>
        <v>3.1</v>
      </c>
      <c r="N28" s="23" t="s">
        <v>619</v>
      </c>
      <c r="O28" s="23"/>
      <c r="P28" s="23"/>
      <c r="Q28" s="144"/>
      <c r="R28" s="137"/>
      <c r="S28" s="169">
        <f>CEILING((IF(J28="Yes", 0, IF(H28="-",AA28,AA28+AA28*VLOOKUP(H28,BUFFERS_BY_TYPE,2,FALSE)))) +
   (IF(J28="Yes", 0, IF(H28="-",AA28,AA28+AA28*VLOOKUP(H28,BUFFERS_BY_TYPE,2,FALSE))))*VLOOKUP($S$5, SALES_CALL_SCALE_ARRAY, 2,FALSE),0.25)</f>
        <v>3</v>
      </c>
      <c r="T28" s="170"/>
      <c r="U28" s="24">
        <v>0</v>
      </c>
      <c r="V28" s="24">
        <v>1</v>
      </c>
      <c r="W28" s="24">
        <v>0</v>
      </c>
      <c r="X28" s="168">
        <v>3</v>
      </c>
      <c r="Y28" s="169">
        <f>CEILING((IF(P28=AS_DEV_EFFORT, DEV_EFFORT*Q28%,
                           IF(P28=AS_DURATION_EFFORT, (MANUAL_DURATION*5)*Q28%,
                                    (IF(Q28&lt;=1,X28,
                                          IF(SUM(U28:W28)=0,(Q28*X28),
                                               (((Q28*U28)*(X28+(X28*EXTRA_FOR_H)))+
                                               ((Q28*V28)*X28)+
                                               ((Q28*W28)*(X28-(X28*LESS_FOR_L)))
                                    )*IF(R28=0,1,R28))))))+Z28), 0.25)</f>
        <v>3</v>
      </c>
      <c r="Z28" s="25"/>
      <c r="AA28" s="169">
        <f>Y28+Y28*VLOOKUP(I28,EXTRAS_ARRAY,2,FALSE)</f>
        <v>3</v>
      </c>
      <c r="AB28" s="23"/>
      <c r="AC28" s="37"/>
      <c r="AD28" s="26" t="str">
        <f>IF(J28&lt;&gt;"Yes",
IF(S28&lt;=0,"Error: Effort value is not defined or is invalid.",
IF(AND(SUM(U28:W28)&gt;0,SUM(U28:W28)&lt;&gt;1),"Error: Complexity % distribution should sum to 100%.",
IF(AND(P28=AS_DEV_EFFORT,X28&lt;&gt;0),"Error: PDs should not be defined when defining as dev effort %.",
IF(AND(P28=AS_DURATION_EFFORT,X28&lt;&gt;0),"Error: PDs should not be defined when defining as duration effort %.","")))))</f>
        <v/>
      </c>
    </row>
    <row r="29" spans="1:30" ht="15.5" hidden="1" outlineLevel="2" x14ac:dyDescent="0.35">
      <c r="A29" s="93" t="s">
        <v>0</v>
      </c>
      <c r="B29" s="21"/>
      <c r="C29" s="85"/>
      <c r="D29" s="85"/>
      <c r="E29" s="85"/>
      <c r="F29" s="86"/>
      <c r="G29" s="22" t="s">
        <v>23</v>
      </c>
      <c r="H29" s="22" t="s">
        <v>23</v>
      </c>
      <c r="I29" s="23" t="s">
        <v>23</v>
      </c>
      <c r="J29" s="22" t="s">
        <v>23</v>
      </c>
      <c r="K29" s="38"/>
      <c r="L29" s="22"/>
      <c r="M29" s="286">
        <f ca="1">IFERROR(OFFSET(M29,-1,,1,1)+0.1,OFFSET(M29,-1,-1,1,1)&amp;".1")</f>
        <v>3.2</v>
      </c>
      <c r="N29" s="23" t="s">
        <v>553</v>
      </c>
      <c r="O29" s="23" t="s">
        <v>525</v>
      </c>
      <c r="P29" s="23"/>
      <c r="Q29" s="144"/>
      <c r="R29" s="137">
        <v>2</v>
      </c>
      <c r="S29" s="169">
        <f>CEILING((IF(J29="Yes", 0, IF(H29="-",AA29,AA29+AA29*VLOOKUP(H29,BUFFERS_BY_TYPE,2,FALSE)))) +
   (IF(J29="Yes", 0, IF(H29="-",AA29,AA29+AA29*VLOOKUP(H29,BUFFERS_BY_TYPE,2,FALSE))))*VLOOKUP($S$5, SALES_CALL_SCALE_ARRAY, 2,FALSE),0.25)</f>
        <v>5</v>
      </c>
      <c r="T29" s="170"/>
      <c r="U29" s="24">
        <v>0</v>
      </c>
      <c r="V29" s="24">
        <v>1</v>
      </c>
      <c r="W29" s="24">
        <v>0</v>
      </c>
      <c r="X29" s="168">
        <v>5</v>
      </c>
      <c r="Y29" s="169">
        <f>CEILING((IF(P29=AS_DEV_EFFORT, DEV_EFFORT*Q29%,
                           IF(P29=AS_DURATION_EFFORT, (MANUAL_DURATION*5)*Q29%,
                                    (IF(Q29&lt;=1,X29,
                                          IF(SUM(U29:W29)=0,(Q29*X29),
                                               (((Q29*U29)*(X29+(X29*EXTRA_FOR_H)))+
                                               ((Q29*V29)*X29)+
                                               ((Q29*W29)*(X29-(X29*LESS_FOR_L)))
                                    )*IF(R29=0,1,R29))))))+Z29), 0.25)</f>
        <v>5</v>
      </c>
      <c r="Z29" s="25"/>
      <c r="AA29" s="169">
        <f>Y29+Y29*VLOOKUP(I29,EXTRAS_ARRAY,2,FALSE)</f>
        <v>5</v>
      </c>
      <c r="AB29" s="23"/>
      <c r="AC29" s="37"/>
      <c r="AD29" s="26" t="str">
        <f>IF(J29&lt;&gt;"Yes",
IF(S29&lt;=0,"Error: Effort value is not defined or is invalid.",
IF(AND(SUM(U29:W29)&gt;0,SUM(U29:W29)&lt;&gt;1),"Error: Complexity % distribution should sum to 100%.",
IF(AND(P29=AS_DEV_EFFORT,X29&lt;&gt;0),"Error: PDs should not be defined when defining as dev effort %.",
IF(AND(P29=AS_DURATION_EFFORT,X29&lt;&gt;0),"Error: PDs should not be defined when defining as duration effort %.","")))))</f>
        <v/>
      </c>
    </row>
    <row r="30" spans="1:30" ht="15.5" hidden="1" outlineLevel="2" x14ac:dyDescent="0.35">
      <c r="A30" s="93" t="s">
        <v>0</v>
      </c>
      <c r="B30" s="21"/>
      <c r="C30" s="85"/>
      <c r="D30" s="85"/>
      <c r="E30" s="85"/>
      <c r="F30" s="86"/>
      <c r="G30" s="22" t="s">
        <v>23</v>
      </c>
      <c r="H30" s="22" t="s">
        <v>23</v>
      </c>
      <c r="I30" s="23" t="s">
        <v>23</v>
      </c>
      <c r="J30" s="22" t="s">
        <v>23</v>
      </c>
      <c r="K30" s="38"/>
      <c r="L30" s="22"/>
      <c r="M30" s="286">
        <f ca="1">IFERROR(OFFSET(M30,-1,,1,1)+0.1,OFFSET(M30,-1,-1,1,1)&amp;".1")</f>
        <v>3.3000000000000003</v>
      </c>
      <c r="N30" s="23" t="s">
        <v>552</v>
      </c>
      <c r="O30" s="23" t="s">
        <v>525</v>
      </c>
      <c r="P30" s="23"/>
      <c r="Q30" s="144"/>
      <c r="R30" s="137">
        <v>3</v>
      </c>
      <c r="S30" s="169">
        <f>CEILING((IF(J30="Yes", 0, IF(H30="-",AA30,AA30+AA30*VLOOKUP(H30,BUFFERS_BY_TYPE,2,FALSE)))) +
   (IF(J30="Yes", 0, IF(H30="-",AA30,AA30+AA30*VLOOKUP(H30,BUFFERS_BY_TYPE,2,FALSE))))*VLOOKUP($S$5, SALES_CALL_SCALE_ARRAY, 2,FALSE),0.25)</f>
        <v>9</v>
      </c>
      <c r="T30" s="170"/>
      <c r="U30" s="24">
        <v>0</v>
      </c>
      <c r="V30" s="24">
        <v>1</v>
      </c>
      <c r="W30" s="24">
        <v>0</v>
      </c>
      <c r="X30" s="168">
        <v>9</v>
      </c>
      <c r="Y30" s="169">
        <f>CEILING((IF(P30=AS_DEV_EFFORT, DEV_EFFORT*Q30%,
                           IF(P30=AS_DURATION_EFFORT, (MANUAL_DURATION*5)*Q30%,
                                    (IF(Q30&lt;=1,X30,
                                          IF(SUM(U30:W30)=0,(Q30*X30),
                                               (((Q30*U30)*(X30+(X30*EXTRA_FOR_H)))+
                                               ((Q30*V30)*X30)+
                                               ((Q30*W30)*(X30-(X30*LESS_FOR_L)))
                                    )*IF(R30=0,1,R30))))))+Z30), 0.25)</f>
        <v>9</v>
      </c>
      <c r="Z30" s="25"/>
      <c r="AA30" s="169">
        <f>Y30+Y30*VLOOKUP(I30,EXTRAS_ARRAY,2,FALSE)</f>
        <v>9</v>
      </c>
      <c r="AB30" s="23"/>
      <c r="AC30" s="37"/>
      <c r="AD30" s="26" t="str">
        <f>IF(J30&lt;&gt;"Yes",
IF(S30&lt;=0,"Error: Effort value is not defined or is invalid.",
IF(AND(SUM(U30:W30)&gt;0,SUM(U30:W30)&lt;&gt;1),"Error: Complexity % distribution should sum to 100%.",
IF(AND(P30=AS_DEV_EFFORT,X30&lt;&gt;0),"Error: PDs should not be defined when defining as dev effort %.",
IF(AND(P30=AS_DURATION_EFFORT,X30&lt;&gt;0),"Error: PDs should not be defined when defining as duration effort %.","")))))</f>
        <v/>
      </c>
    </row>
    <row r="31" spans="1:30" ht="43.5" hidden="1" outlineLevel="2" x14ac:dyDescent="0.35">
      <c r="A31" s="93" t="s">
        <v>0</v>
      </c>
      <c r="B31" s="21"/>
      <c r="C31" s="85"/>
      <c r="D31" s="85"/>
      <c r="E31" s="85"/>
      <c r="F31" s="86"/>
      <c r="G31" s="22" t="s">
        <v>23</v>
      </c>
      <c r="H31" s="22" t="s">
        <v>23</v>
      </c>
      <c r="I31" s="23" t="s">
        <v>23</v>
      </c>
      <c r="J31" s="22" t="s">
        <v>23</v>
      </c>
      <c r="K31" s="38"/>
      <c r="L31" s="22"/>
      <c r="M31" s="286">
        <f ca="1">IFERROR(OFFSET(M31,-1,,1,1)+0.1,OFFSET(M31,-1,-1,1,1)&amp;".1")</f>
        <v>3.4000000000000004</v>
      </c>
      <c r="N31" s="23" t="s">
        <v>524</v>
      </c>
      <c r="O31" s="23"/>
      <c r="P31" s="23"/>
      <c r="Q31" s="144"/>
      <c r="R31" s="137">
        <v>2</v>
      </c>
      <c r="S31" s="169">
        <f>CEILING((IF(J31="Yes", 0, IF(H31="-",AA31,AA31+AA31*VLOOKUP(H31,BUFFERS_BY_TYPE,2,FALSE)))) +
   (IF(J31="Yes", 0, IF(H31="-",AA31,AA31+AA31*VLOOKUP(H31,BUFFERS_BY_TYPE,2,FALSE))))*VLOOKUP($S$5, SALES_CALL_SCALE_ARRAY, 2,FALSE),0.25)</f>
        <v>2</v>
      </c>
      <c r="T31" s="170"/>
      <c r="U31" s="24">
        <v>0</v>
      </c>
      <c r="V31" s="24">
        <v>1</v>
      </c>
      <c r="W31" s="24">
        <v>0</v>
      </c>
      <c r="X31" s="168">
        <v>2</v>
      </c>
      <c r="Y31" s="169">
        <f>CEILING((IF(P31=AS_DEV_EFFORT, DEV_EFFORT*Q31%,
                           IF(P31=AS_DURATION_EFFORT, (MANUAL_DURATION*5)*Q31%,
                                    (IF(Q31&lt;=1,X31,
                                          IF(SUM(U31:W31)=0,(Q31*X31),
                                               (((Q31*U31)*(X31+(X31*EXTRA_FOR_H)))+
                                               ((Q31*V31)*X31)+
                                               ((Q31*W31)*(X31-(X31*LESS_FOR_L)))
                                    )*IF(R31=0,1,R31))))))+Z31), 0.25)</f>
        <v>2</v>
      </c>
      <c r="Z31" s="25"/>
      <c r="AA31" s="169">
        <f>Y31+Y31*VLOOKUP(I31,EXTRAS_ARRAY,2,FALSE)</f>
        <v>2</v>
      </c>
      <c r="AB31" s="23"/>
      <c r="AC31" s="37"/>
      <c r="AD31" s="26" t="str">
        <f>IF(J31&lt;&gt;"Yes",
IF(S31&lt;=0,"Error: Effort value is not defined or is invalid.",
IF(AND(SUM(U31:W31)&gt;0,SUM(U31:W31)&lt;&gt;1),"Error: Complexity % distribution should sum to 100%.",
IF(AND(P31=AS_DEV_EFFORT,X31&lt;&gt;0),"Error: PDs should not be defined when defining as dev effort %.",
IF(AND(P31=AS_DURATION_EFFORT,X31&lt;&gt;0),"Error: PDs should not be defined when defining as duration effort %.","")))))</f>
        <v/>
      </c>
    </row>
    <row r="32" spans="1:30" s="11" customFormat="1" ht="7.5" hidden="1" customHeight="1" outlineLevel="2" x14ac:dyDescent="0.35">
      <c r="A32" s="93" t="s">
        <v>132</v>
      </c>
      <c r="B32" s="18"/>
      <c r="C32" s="78"/>
      <c r="D32" s="78"/>
      <c r="E32" s="78"/>
      <c r="F32" s="78"/>
      <c r="G32" s="10"/>
      <c r="H32" s="10"/>
      <c r="I32" s="10"/>
      <c r="J32" s="10"/>
      <c r="K32" s="10"/>
      <c r="L32" s="10"/>
      <c r="M32" s="287"/>
      <c r="N32" s="10"/>
      <c r="O32" s="10"/>
      <c r="P32" s="10"/>
      <c r="Q32" s="10"/>
      <c r="R32" s="10"/>
      <c r="S32" s="10"/>
      <c r="T32" s="18"/>
      <c r="U32" s="10"/>
      <c r="V32" s="10"/>
      <c r="W32" s="10"/>
      <c r="X32" s="18"/>
      <c r="Y32" s="10"/>
      <c r="Z32" s="10"/>
      <c r="AA32" s="10"/>
      <c r="AB32" s="60"/>
      <c r="AC32" s="60"/>
      <c r="AD32" s="12"/>
    </row>
    <row r="33" spans="1:30" s="17" customFormat="1" ht="15.5" hidden="1" outlineLevel="1" collapsed="1" x14ac:dyDescent="0.35">
      <c r="A33" s="93" t="s">
        <v>100</v>
      </c>
      <c r="B33" s="21"/>
      <c r="C33" s="84"/>
      <c r="D33" s="84"/>
      <c r="E33" s="84"/>
      <c r="F33" s="83"/>
      <c r="G33" s="32"/>
      <c r="H33" s="32"/>
      <c r="I33" s="32"/>
      <c r="J33" s="32"/>
      <c r="K33" s="32"/>
      <c r="L33" s="20">
        <f ca="1">LOOKUP(1000,INDIRECT("L1:"&amp;CELL("address",INDIRECT("R[-1]C",FALSE))))+1</f>
        <v>4</v>
      </c>
      <c r="M33" s="317" t="s">
        <v>518</v>
      </c>
      <c r="N33" s="317"/>
      <c r="O33" s="5"/>
      <c r="P33" s="33"/>
      <c r="Q33" s="33"/>
      <c r="R33" s="33"/>
      <c r="S33" s="33"/>
      <c r="T33" s="167">
        <f>IF($S$6="Exclude", SUMIFS(S34:S38, J34:J38, "&lt;&gt;Yes", G34:G38, "&lt;&gt;Yes"), SUMIFS(S34:S38, J34:J38, "&lt;&gt;Yes"))</f>
        <v>9.25</v>
      </c>
      <c r="U33" s="33"/>
      <c r="V33" s="33"/>
      <c r="W33" s="33"/>
      <c r="X33" s="34"/>
      <c r="Y33" s="35"/>
      <c r="Z33" s="35"/>
      <c r="AA33" s="35"/>
      <c r="AB33" s="240"/>
      <c r="AC33" s="36"/>
      <c r="AD33" s="26" t="str">
        <f>IF(M33="", "Error: Task name cannot be empty.", "")</f>
        <v/>
      </c>
    </row>
    <row r="34" spans="1:30" s="15" customFormat="1" ht="1.5" hidden="1" customHeight="1" outlineLevel="2" x14ac:dyDescent="0.35">
      <c r="A34" s="93" t="s">
        <v>101</v>
      </c>
      <c r="B34" s="21"/>
      <c r="C34" s="84"/>
      <c r="D34" s="84"/>
      <c r="E34" s="84"/>
      <c r="F34" s="83"/>
      <c r="G34" s="32"/>
      <c r="H34" s="32"/>
      <c r="I34" s="32"/>
      <c r="J34" s="32"/>
      <c r="K34" s="32"/>
      <c r="L34" s="175">
        <f ca="1">L33</f>
        <v>4</v>
      </c>
      <c r="M34" s="176" t="s">
        <v>105</v>
      </c>
      <c r="N34" s="173"/>
      <c r="O34" s="174"/>
      <c r="P34" s="33"/>
      <c r="Q34" s="33"/>
      <c r="R34" s="33"/>
      <c r="S34" s="33"/>
      <c r="T34" s="167"/>
      <c r="U34" s="33"/>
      <c r="V34" s="33"/>
      <c r="W34" s="33"/>
      <c r="X34" s="34"/>
      <c r="Y34" s="35"/>
      <c r="Z34" s="35"/>
      <c r="AA34" s="35"/>
      <c r="AB34" s="36"/>
      <c r="AC34" s="36"/>
      <c r="AD34" s="26"/>
    </row>
    <row r="35" spans="1:30" ht="58" hidden="1" outlineLevel="2" x14ac:dyDescent="0.35">
      <c r="A35" s="93" t="s">
        <v>0</v>
      </c>
      <c r="B35" s="21"/>
      <c r="C35" s="85"/>
      <c r="D35" s="85"/>
      <c r="E35" s="85"/>
      <c r="F35" s="86"/>
      <c r="G35" s="22" t="s">
        <v>23</v>
      </c>
      <c r="H35" s="22" t="s">
        <v>23</v>
      </c>
      <c r="I35" s="23" t="s">
        <v>23</v>
      </c>
      <c r="J35" s="22" t="s">
        <v>23</v>
      </c>
      <c r="K35" s="38"/>
      <c r="L35" s="22"/>
      <c r="M35" s="286" t="str">
        <f ca="1">IFERROR(OFFSET(M35,-1,,1,1)+0.1,OFFSET(M35,-1,-1,1,1)&amp;".1")</f>
        <v>4.1</v>
      </c>
      <c r="N35" s="23" t="s">
        <v>554</v>
      </c>
      <c r="O35" s="23" t="s">
        <v>525</v>
      </c>
      <c r="P35" s="23"/>
      <c r="Q35" s="144">
        <v>6</v>
      </c>
      <c r="R35" s="137">
        <v>2</v>
      </c>
      <c r="S35" s="169">
        <f>CEILING((IF(J35="Yes", 0, IF(H35="-",AA35,AA35+AA35*VLOOKUP(H35,BUFFERS_BY_TYPE,2,FALSE)))) +
   (IF(J35="Yes", 0, IF(H35="-",AA35,AA35+AA35*VLOOKUP(H35,BUFFERS_BY_TYPE,2,FALSE))))*VLOOKUP($S$5, SALES_CALL_SCALE_ARRAY, 2,FALSE),0.25)</f>
        <v>5</v>
      </c>
      <c r="T35" s="170"/>
      <c r="U35" s="24">
        <v>0</v>
      </c>
      <c r="V35" s="24">
        <v>1</v>
      </c>
      <c r="W35" s="24">
        <v>0</v>
      </c>
      <c r="X35" s="168">
        <v>0.4</v>
      </c>
      <c r="Y35" s="169">
        <f>CEILING((IF(P35=AS_DEV_EFFORT, DEV_EFFORT*Q35%,
                           IF(P35=AS_DURATION_EFFORT, (MANUAL_DURATION*5)*Q35%,
                                    (IF(Q35&lt;=1,X35,
                                          IF(SUM(U35:W35)=0,(Q35*X35),
                                               (((Q35*U35)*(X35+(X35*EXTRA_FOR_H)))+
                                               ((Q35*V35)*X35)+
                                               ((Q35*W35)*(X35-(X35*LESS_FOR_L)))
                                    )*IF(R35=0,1,R35))))))+Z35), 0.25)</f>
        <v>5</v>
      </c>
      <c r="Z35" s="25"/>
      <c r="AA35" s="169">
        <f>Y35+Y35*VLOOKUP(I35,EXTRAS_ARRAY,2,FALSE)</f>
        <v>5</v>
      </c>
      <c r="AB35" s="23" t="s">
        <v>555</v>
      </c>
      <c r="AC35" s="37"/>
      <c r="AD35" s="26" t="str">
        <f>IF(J35&lt;&gt;"Yes",
IF(S35&lt;=0,"Error: Effort value is not defined or is invalid.",
IF(AND(SUM(U35:W35)&gt;0,SUM(U35:W35)&lt;&gt;1),"Error: Complexity % distribution should sum to 100%.",
IF(AND(P35=AS_DEV_EFFORT,X35&lt;&gt;0),"Error: PDs should not be defined when defining as dev effort %.",
IF(AND(P35=AS_DURATION_EFFORT,X35&lt;&gt;0),"Error: PDs should not be defined when defining as duration effort %.","")))))</f>
        <v/>
      </c>
    </row>
    <row r="36" spans="1:30" ht="15.5" hidden="1" outlineLevel="2" x14ac:dyDescent="0.35">
      <c r="A36" s="93" t="s">
        <v>0</v>
      </c>
      <c r="B36" s="21"/>
      <c r="C36" s="85"/>
      <c r="D36" s="85"/>
      <c r="E36" s="85"/>
      <c r="F36" s="86"/>
      <c r="G36" s="22" t="s">
        <v>23</v>
      </c>
      <c r="H36" s="22" t="s">
        <v>23</v>
      </c>
      <c r="I36" s="23" t="s">
        <v>23</v>
      </c>
      <c r="J36" s="22" t="s">
        <v>23</v>
      </c>
      <c r="K36" s="38"/>
      <c r="L36" s="22"/>
      <c r="M36" s="286">
        <f ca="1">IFERROR(OFFSET(M36,-1,,1,1)+0.1,OFFSET(M36,-1,-1,1,1)&amp;".1")</f>
        <v>4.1999999999999993</v>
      </c>
      <c r="N36" s="23" t="s">
        <v>526</v>
      </c>
      <c r="O36" s="23" t="s">
        <v>525</v>
      </c>
      <c r="P36" s="23"/>
      <c r="Q36" s="144">
        <v>7</v>
      </c>
      <c r="R36" s="137">
        <v>1</v>
      </c>
      <c r="S36" s="169">
        <f>CEILING((IF(J36="Yes", 0, IF(H36="-",AA36,AA36+AA36*VLOOKUP(H36,BUFFERS_BY_TYPE,2,FALSE)))) +
   (IF(J36="Yes", 0, IF(H36="-",AA36,AA36+AA36*VLOOKUP(H36,BUFFERS_BY_TYPE,2,FALSE))))*VLOOKUP($S$5, SALES_CALL_SCALE_ARRAY, 2,FALSE),0.25)</f>
        <v>2.25</v>
      </c>
      <c r="T36" s="170"/>
      <c r="U36" s="24">
        <v>0</v>
      </c>
      <c r="V36" s="24">
        <v>1</v>
      </c>
      <c r="W36" s="24">
        <v>0</v>
      </c>
      <c r="X36" s="168">
        <v>0.3</v>
      </c>
      <c r="Y36" s="169">
        <f>CEILING((IF(P36=AS_DEV_EFFORT, DEV_EFFORT*Q36%,
                           IF(P36=AS_DURATION_EFFORT, (MANUAL_DURATION*5)*Q36%,
                                    (IF(Q36&lt;=1,X36,
                                          IF(SUM(U36:W36)=0,(Q36*X36),
                                               (((Q36*U36)*(X36+(X36*EXTRA_FOR_H)))+
                                               ((Q36*V36)*X36)+
                                               ((Q36*W36)*(X36-(X36*LESS_FOR_L)))
                                    )*IF(R36=0,1,R36))))))+Z36), 0.25)</f>
        <v>2.25</v>
      </c>
      <c r="Z36" s="25"/>
      <c r="AA36" s="169">
        <f>Y36+Y36*VLOOKUP(I36,EXTRAS_ARRAY,2,FALSE)</f>
        <v>2.25</v>
      </c>
      <c r="AB36" s="23" t="s">
        <v>628</v>
      </c>
      <c r="AC36" s="37"/>
      <c r="AD36" s="26" t="str">
        <f>IF(J36&lt;&gt;"Yes",
IF(S36&lt;=0,"Error: Effort value is not defined or is invalid.",
IF(AND(SUM(U36:W36)&gt;0,SUM(U36:W36)&lt;&gt;1),"Error: Complexity % distribution should sum to 100%.",
IF(AND(P36=AS_DEV_EFFORT,X36&lt;&gt;0),"Error: PDs should not be defined when defining as dev effort %.",
IF(AND(P36=AS_DURATION_EFFORT,X36&lt;&gt;0),"Error: PDs should not be defined when defining as duration effort %.","")))))</f>
        <v/>
      </c>
    </row>
    <row r="37" spans="1:30" ht="29" hidden="1" outlineLevel="2" x14ac:dyDescent="0.35">
      <c r="A37" s="93" t="s">
        <v>0</v>
      </c>
      <c r="B37" s="21"/>
      <c r="C37" s="85"/>
      <c r="D37" s="85"/>
      <c r="E37" s="85"/>
      <c r="F37" s="86"/>
      <c r="G37" s="22" t="s">
        <v>23</v>
      </c>
      <c r="H37" s="22" t="s">
        <v>23</v>
      </c>
      <c r="I37" s="23" t="s">
        <v>23</v>
      </c>
      <c r="J37" s="22" t="s">
        <v>23</v>
      </c>
      <c r="K37" s="38"/>
      <c r="L37" s="22"/>
      <c r="M37" s="286">
        <f ca="1">IFERROR(OFFSET(M37,-1,,1,1)+0.1,OFFSET(M37,-1,-1,1,1)&amp;".1")</f>
        <v>4.2999999999999989</v>
      </c>
      <c r="N37" s="23" t="s">
        <v>527</v>
      </c>
      <c r="O37" s="23"/>
      <c r="P37" s="23" t="s">
        <v>560</v>
      </c>
      <c r="Q37" s="144">
        <v>3</v>
      </c>
      <c r="R37" s="137">
        <v>1</v>
      </c>
      <c r="S37" s="169">
        <f>CEILING((IF(J37="Yes", 0, IF(H37="-",AA37,AA37+AA37*VLOOKUP(H37,BUFFERS_BY_TYPE,2,FALSE)))) +
   (IF(J37="Yes", 0, IF(H37="-",AA37,AA37+AA37*VLOOKUP(H37,BUFFERS_BY_TYPE,2,FALSE))))*VLOOKUP($S$5, SALES_CALL_SCALE_ARRAY, 2,FALSE),0.25)</f>
        <v>2</v>
      </c>
      <c r="T37" s="170"/>
      <c r="U37" s="24">
        <v>0</v>
      </c>
      <c r="V37" s="24">
        <v>1</v>
      </c>
      <c r="W37" s="24">
        <v>0</v>
      </c>
      <c r="X37" s="168">
        <v>0.6</v>
      </c>
      <c r="Y37" s="169">
        <f>CEILING((IF(P37=AS_DEV_EFFORT, DEV_EFFORT*Q37%,
                           IF(P37=AS_DURATION_EFFORT, (MANUAL_DURATION*5)*Q37%,
                                    (IF(Q37&lt;=1,X37,
                                          IF(SUM(U37:W37)=0,(Q37*X37),
                                               (((Q37*U37)*(X37+(X37*EXTRA_FOR_H)))+
                                               ((Q37*V37)*X37)+
                                               ((Q37*W37)*(X37-(X37*LESS_FOR_L)))
                                    )*IF(R37=0,1,R37))))))+Z37), 0.25)</f>
        <v>2</v>
      </c>
      <c r="Z37" s="25"/>
      <c r="AA37" s="169">
        <f>Y37+Y37*VLOOKUP(I37,EXTRAS_ARRAY,2,FALSE)</f>
        <v>2</v>
      </c>
      <c r="AB37" s="23" t="s">
        <v>629</v>
      </c>
      <c r="AC37" s="37"/>
      <c r="AD37" s="26" t="str">
        <f>IF(J37&lt;&gt;"Yes",
IF(S37&lt;=0,"Error: Effort value is not defined or is invalid.",
IF(AND(SUM(U37:W37)&gt;0,SUM(U37:W37)&lt;&gt;1),"Error: Complexity % distribution should sum to 100%.",
IF(AND(P37=AS_DEV_EFFORT,X37&lt;&gt;0),"Error: PDs should not be defined when defining as dev effort %.",
IF(AND(P37=AS_DURATION_EFFORT,X37&lt;&gt;0),"Error: PDs should not be defined when defining as duration effort %.","")))))</f>
        <v/>
      </c>
    </row>
    <row r="38" spans="1:30" s="11" customFormat="1" ht="7.5" hidden="1" customHeight="1" outlineLevel="2" x14ac:dyDescent="0.35">
      <c r="A38" s="93" t="s">
        <v>132</v>
      </c>
      <c r="B38" s="18"/>
      <c r="C38" s="78"/>
      <c r="D38" s="78"/>
      <c r="E38" s="78"/>
      <c r="F38" s="78"/>
      <c r="G38" s="10"/>
      <c r="H38" s="10"/>
      <c r="I38" s="10"/>
      <c r="J38" s="10"/>
      <c r="K38" s="10"/>
      <c r="L38" s="10"/>
      <c r="M38" s="287"/>
      <c r="N38" s="10"/>
      <c r="O38" s="10"/>
      <c r="P38" s="10"/>
      <c r="Q38" s="10"/>
      <c r="R38" s="10"/>
      <c r="S38" s="10"/>
      <c r="T38" s="18"/>
      <c r="U38" s="10"/>
      <c r="V38" s="10"/>
      <c r="W38" s="10"/>
      <c r="X38" s="18"/>
      <c r="Y38" s="10"/>
      <c r="Z38" s="10"/>
      <c r="AA38" s="10"/>
      <c r="AB38" s="60"/>
      <c r="AC38" s="60"/>
      <c r="AD38" s="12"/>
    </row>
    <row r="39" spans="1:30" s="17" customFormat="1" ht="15.5" hidden="1" outlineLevel="1" collapsed="1" x14ac:dyDescent="0.35">
      <c r="A39" s="93" t="s">
        <v>100</v>
      </c>
      <c r="B39" s="21"/>
      <c r="C39" s="84"/>
      <c r="D39" s="84"/>
      <c r="E39" s="84"/>
      <c r="F39" s="83"/>
      <c r="G39" s="32"/>
      <c r="H39" s="32"/>
      <c r="I39" s="32"/>
      <c r="J39" s="32"/>
      <c r="K39" s="32"/>
      <c r="L39" s="20">
        <f ca="1">LOOKUP(1000,INDIRECT("L1:"&amp;CELL("address",INDIRECT("R[-1]C",FALSE))))+1</f>
        <v>5</v>
      </c>
      <c r="M39" s="317" t="s">
        <v>519</v>
      </c>
      <c r="N39" s="317"/>
      <c r="O39" s="5"/>
      <c r="P39" s="33"/>
      <c r="Q39" s="33"/>
      <c r="R39" s="33"/>
      <c r="S39" s="33"/>
      <c r="T39" s="167">
        <f>IF($S$6="Exclude", SUMIFS(S40:S44, J40:J44, "&lt;&gt;Yes", G40:G44, "&lt;&gt;Yes"), SUMIFS(S40:S44, J40:J44, "&lt;&gt;Yes"))</f>
        <v>29.75</v>
      </c>
      <c r="U39" s="33"/>
      <c r="V39" s="33"/>
      <c r="W39" s="33"/>
      <c r="X39" s="34"/>
      <c r="Y39" s="35"/>
      <c r="Z39" s="35"/>
      <c r="AA39" s="35"/>
      <c r="AB39" s="240"/>
      <c r="AC39" s="36"/>
      <c r="AD39" s="26" t="str">
        <f>IF(M39="", "Error: Task name cannot be empty.", "")</f>
        <v/>
      </c>
    </row>
    <row r="40" spans="1:30" s="15" customFormat="1" ht="1.5" hidden="1" customHeight="1" outlineLevel="2" x14ac:dyDescent="0.35">
      <c r="A40" s="93" t="s">
        <v>101</v>
      </c>
      <c r="B40" s="21"/>
      <c r="C40" s="84"/>
      <c r="D40" s="84"/>
      <c r="E40" s="84"/>
      <c r="F40" s="83"/>
      <c r="G40" s="32"/>
      <c r="H40" s="32"/>
      <c r="I40" s="32"/>
      <c r="J40" s="32"/>
      <c r="K40" s="32"/>
      <c r="L40" s="175">
        <f ca="1">L39</f>
        <v>5</v>
      </c>
      <c r="M40" s="176" t="s">
        <v>105</v>
      </c>
      <c r="N40" s="173"/>
      <c r="O40" s="174"/>
      <c r="P40" s="33"/>
      <c r="Q40" s="33"/>
      <c r="R40" s="33"/>
      <c r="S40" s="33"/>
      <c r="T40" s="167"/>
      <c r="U40" s="33"/>
      <c r="V40" s="33"/>
      <c r="W40" s="33"/>
      <c r="X40" s="34"/>
      <c r="Y40" s="35"/>
      <c r="Z40" s="35"/>
      <c r="AA40" s="35"/>
      <c r="AB40" s="36"/>
      <c r="AC40" s="36"/>
      <c r="AD40" s="26"/>
    </row>
    <row r="41" spans="1:30" ht="116" hidden="1" outlineLevel="2" x14ac:dyDescent="0.35">
      <c r="A41" s="93" t="s">
        <v>0</v>
      </c>
      <c r="B41" s="21"/>
      <c r="C41" s="85"/>
      <c r="D41" s="85"/>
      <c r="E41" s="85"/>
      <c r="F41" s="86"/>
      <c r="G41" s="22" t="s">
        <v>23</v>
      </c>
      <c r="H41" s="22" t="s">
        <v>23</v>
      </c>
      <c r="I41" s="23" t="s">
        <v>23</v>
      </c>
      <c r="J41" s="22" t="s">
        <v>23</v>
      </c>
      <c r="K41" s="38"/>
      <c r="L41" s="22"/>
      <c r="M41" s="286" t="str">
        <f ca="1">IFERROR(OFFSET(M41,-1,,1,1)+0.1,OFFSET(M41,-1,-1,1,1)&amp;".1")</f>
        <v>5.1</v>
      </c>
      <c r="N41" s="23" t="s">
        <v>458</v>
      </c>
      <c r="O41" s="23" t="s">
        <v>509</v>
      </c>
      <c r="P41" s="23"/>
      <c r="Q41" s="144">
        <v>22</v>
      </c>
      <c r="R41" s="137">
        <v>50</v>
      </c>
      <c r="S41" s="169">
        <f>CEILING((IF(J41="Yes", 0, IF(H41="-",AA41,AA41+AA41*VLOOKUP(H41,BUFFERS_BY_TYPE,2,FALSE)))) +
   (IF(J41="Yes", 0, IF(H41="-",AA41,AA41+AA41*VLOOKUP(H41,BUFFERS_BY_TYPE,2,FALSE))))*VLOOKUP($S$5, SALES_CALL_SCALE_ARRAY, 2,FALSE),0.25)</f>
        <v>22.75</v>
      </c>
      <c r="T41" s="170"/>
      <c r="U41" s="24">
        <v>0.2</v>
      </c>
      <c r="V41" s="24">
        <v>0.5</v>
      </c>
      <c r="W41" s="24">
        <v>0.3</v>
      </c>
      <c r="X41" s="168">
        <v>0.02</v>
      </c>
      <c r="Y41" s="169">
        <f>CEILING((IF(P41=AS_DEV_EFFORT, DEV_EFFORT*Q41%,
                           IF(P41=AS_DURATION_EFFORT, (MANUAL_DURATION*5)*Q41%,
                                    (IF(Q41&lt;=1,X41,
                                          IF(SUM(U41:W41)=0,(Q41*X41),
                                               (((Q41*U41)*(X41+(X41*EXTRA_FOR_H)))+
                                               ((Q41*V41)*X41)+
                                               ((Q41*W41)*(X41-(X41*LESS_FOR_L)))
                                    )*IF(R41=0,1,R41))))))+Z41), 0.25)</f>
        <v>22.75</v>
      </c>
      <c r="Z41" s="25"/>
      <c r="AA41" s="169">
        <f>Y41+Y41*VLOOKUP(I41,EXTRAS_ARRAY,2,FALSE)</f>
        <v>22.75</v>
      </c>
      <c r="AB41" s="23" t="s">
        <v>630</v>
      </c>
      <c r="AC41" s="37"/>
      <c r="AD41" s="26" t="str">
        <f>IF(J41&lt;&gt;"Yes",
IF(S41&lt;=0,"Error: Effort value is not defined or is invalid.",
IF(AND(SUM(U41:W41)&gt;0,SUM(U41:W41)&lt;&gt;1),"Error: Complexity % distribution should sum to 100%.",
IF(AND(P41=AS_DEV_EFFORT,X41&lt;&gt;0),"Error: PDs should not be defined when defining as dev effort %.",
IF(AND(P41=AS_DURATION_EFFORT,X41&lt;&gt;0),"Error: PDs should not be defined when defining as duration effort %.","")))))</f>
        <v/>
      </c>
    </row>
    <row r="42" spans="1:30" ht="43.5" hidden="1" outlineLevel="2" x14ac:dyDescent="0.35">
      <c r="A42" s="93" t="s">
        <v>0</v>
      </c>
      <c r="B42" s="21"/>
      <c r="C42" s="85"/>
      <c r="D42" s="85"/>
      <c r="E42" s="85"/>
      <c r="F42" s="86"/>
      <c r="G42" s="22" t="s">
        <v>23</v>
      </c>
      <c r="H42" s="22" t="s">
        <v>23</v>
      </c>
      <c r="I42" s="23" t="s">
        <v>23</v>
      </c>
      <c r="J42" s="22" t="s">
        <v>23</v>
      </c>
      <c r="K42" s="38"/>
      <c r="L42" s="22"/>
      <c r="M42" s="286">
        <f ca="1">IFERROR(OFFSET(M42,-1,,1,1)+0.1,OFFSET(M42,-1,-1,1,1)&amp;".1")</f>
        <v>5.1999999999999993</v>
      </c>
      <c r="N42" s="23" t="s">
        <v>459</v>
      </c>
      <c r="O42" s="23"/>
      <c r="P42" s="23" t="s">
        <v>558</v>
      </c>
      <c r="Q42" s="144">
        <v>3</v>
      </c>
      <c r="R42" s="137">
        <v>3</v>
      </c>
      <c r="S42" s="169">
        <f>CEILING((IF(J42="Yes", 0, IF(H42="-",AA42,AA42+AA42*VLOOKUP(H42,BUFFERS_BY_TYPE,2,FALSE)))) +
   (IF(J42="Yes", 0, IF(H42="-",AA42,AA42+AA42*VLOOKUP(H42,BUFFERS_BY_TYPE,2,FALSE))))*VLOOKUP($S$5, SALES_CALL_SCALE_ARRAY, 2,FALSE),0.25)</f>
        <v>4</v>
      </c>
      <c r="T42" s="170"/>
      <c r="U42" s="24">
        <v>0.1</v>
      </c>
      <c r="V42" s="24">
        <v>0.2</v>
      </c>
      <c r="W42" s="24">
        <v>0.7</v>
      </c>
      <c r="X42" s="168">
        <v>0.5</v>
      </c>
      <c r="Y42" s="169">
        <f>CEILING((IF(P42=AS_DEV_EFFORT, DEV_EFFORT*Q42%,
                           IF(P42=AS_DURATION_EFFORT, (MANUAL_DURATION*5)*Q42%,
                                    (IF(Q42&lt;=1,X42,
                                          IF(SUM(U42:W42)=0,(Q42*X42),
                                               (((Q42*U42)*(X42+(X42*EXTRA_FOR_H)))+
                                               ((Q42*V42)*X42)+
                                               ((Q42*W42)*(X42-(X42*LESS_FOR_L)))
                                    )*IF(R42=0,1,R42))))))+Z42), 0.25)</f>
        <v>4</v>
      </c>
      <c r="Z42" s="25"/>
      <c r="AA42" s="169">
        <f>Y42+Y42*VLOOKUP(I42,EXTRAS_ARRAY,2,FALSE)</f>
        <v>4</v>
      </c>
      <c r="AB42" s="23"/>
      <c r="AC42" s="37"/>
      <c r="AD42" s="26" t="str">
        <f>IF(J42&lt;&gt;"Yes",
IF(S42&lt;=0,"Error: Effort value is not defined or is invalid.",
IF(AND(SUM(U42:W42)&gt;0,SUM(U42:W42)&lt;&gt;1),"Error: Complexity % distribution should sum to 100%.",
IF(AND(P42=AS_DEV_EFFORT,X42&lt;&gt;0),"Error: PDs should not be defined when defining as dev effort %.",
IF(AND(P42=AS_DURATION_EFFORT,X42&lt;&gt;0),"Error: PDs should not be defined when defining as duration effort %.","")))))</f>
        <v/>
      </c>
    </row>
    <row r="43" spans="1:30" ht="29" hidden="1" outlineLevel="2" x14ac:dyDescent="0.35">
      <c r="A43" s="93" t="s">
        <v>0</v>
      </c>
      <c r="B43" s="21"/>
      <c r="C43" s="85"/>
      <c r="D43" s="85"/>
      <c r="E43" s="85"/>
      <c r="F43" s="86"/>
      <c r="G43" s="22" t="s">
        <v>23</v>
      </c>
      <c r="H43" s="22" t="s">
        <v>23</v>
      </c>
      <c r="I43" s="23" t="s">
        <v>23</v>
      </c>
      <c r="J43" s="22" t="s">
        <v>23</v>
      </c>
      <c r="K43" s="38"/>
      <c r="L43" s="22"/>
      <c r="M43" s="286">
        <f ca="1">IFERROR(OFFSET(M43,-1,,1,1)+0.1,OFFSET(M43,-1,-1,1,1)&amp;".1")</f>
        <v>5.2999999999999989</v>
      </c>
      <c r="N43" s="23" t="s">
        <v>631</v>
      </c>
      <c r="O43" s="23"/>
      <c r="P43" s="23"/>
      <c r="Q43" s="144">
        <v>4</v>
      </c>
      <c r="R43" s="137">
        <v>3</v>
      </c>
      <c r="S43" s="169">
        <f>CEILING((IF(J43="Yes", 0, IF(H43="-",AA43,AA43+AA43*VLOOKUP(H43,BUFFERS_BY_TYPE,2,FALSE)))) +
   (IF(J43="Yes", 0, IF(H43="-",AA43,AA43+AA43*VLOOKUP(H43,BUFFERS_BY_TYPE,2,FALSE))))*VLOOKUP($S$5, SALES_CALL_SCALE_ARRAY, 2,FALSE),0.25)</f>
        <v>3</v>
      </c>
      <c r="T43" s="170"/>
      <c r="U43" s="24">
        <v>0</v>
      </c>
      <c r="V43" s="24">
        <v>1</v>
      </c>
      <c r="W43" s="24">
        <v>0</v>
      </c>
      <c r="X43" s="168">
        <v>0.25</v>
      </c>
      <c r="Y43" s="169">
        <f>CEILING((IF(P43=AS_DEV_EFFORT, DEV_EFFORT*Q43%,
                           IF(P43=AS_DURATION_EFFORT, (MANUAL_DURATION*5)*Q43%,
                                    (IF(Q43&lt;=1,X43,
                                          IF(SUM(U43:W43)=0,(Q43*X43),
                                               (((Q43*U43)*(X43+(X43*EXTRA_FOR_H)))+
                                               ((Q43*V43)*X43)+
                                               ((Q43*W43)*(X43-(X43*LESS_FOR_L)))
                                    )*IF(R43=0,1,R43))))))+Z43), 0.25)</f>
        <v>3</v>
      </c>
      <c r="Z43" s="25"/>
      <c r="AA43" s="169">
        <f>Y43+Y43*VLOOKUP(I43,EXTRAS_ARRAY,2,FALSE)</f>
        <v>3</v>
      </c>
      <c r="AB43" s="23"/>
      <c r="AC43" s="37"/>
      <c r="AD43" s="26" t="str">
        <f>IF(J43&lt;&gt;"Yes",
IF(S43&lt;=0,"Error: Effort value is not defined or is invalid.",
IF(AND(SUM(U43:W43)&gt;0,SUM(U43:W43)&lt;&gt;1),"Error: Complexity % distribution should sum to 100%.",
IF(AND(P43=AS_DEV_EFFORT,X43&lt;&gt;0),"Error: PDs should not be defined when defining as dev effort %.",
IF(AND(P43=AS_DURATION_EFFORT,X43&lt;&gt;0),"Error: PDs should not be defined when defining as duration effort %.","")))))</f>
        <v/>
      </c>
    </row>
    <row r="44" spans="1:30" s="11" customFormat="1" ht="7.5" hidden="1" customHeight="1" outlineLevel="2" x14ac:dyDescent="0.35">
      <c r="A44" s="93" t="s">
        <v>132</v>
      </c>
      <c r="B44" s="18"/>
      <c r="C44" s="78"/>
      <c r="D44" s="78"/>
      <c r="E44" s="78"/>
      <c r="F44" s="78"/>
      <c r="G44" s="10"/>
      <c r="H44" s="10"/>
      <c r="I44" s="10"/>
      <c r="J44" s="10"/>
      <c r="K44" s="10"/>
      <c r="L44" s="10"/>
      <c r="M44" s="287"/>
      <c r="N44" s="10"/>
      <c r="O44" s="10"/>
      <c r="P44" s="10"/>
      <c r="Q44" s="10"/>
      <c r="R44" s="10"/>
      <c r="S44" s="10"/>
      <c r="T44" s="18"/>
      <c r="U44" s="10"/>
      <c r="V44" s="10"/>
      <c r="W44" s="10"/>
      <c r="X44" s="18"/>
      <c r="Y44" s="10"/>
      <c r="Z44" s="10"/>
      <c r="AA44" s="10"/>
      <c r="AB44" s="60"/>
      <c r="AC44" s="60"/>
      <c r="AD44" s="12"/>
    </row>
    <row r="45" spans="1:30" s="17" customFormat="1" ht="15.5" hidden="1" outlineLevel="1" collapsed="1" x14ac:dyDescent="0.35">
      <c r="A45" s="93" t="s">
        <v>100</v>
      </c>
      <c r="B45" s="21"/>
      <c r="C45" s="84"/>
      <c r="D45" s="84"/>
      <c r="E45" s="84"/>
      <c r="F45" s="83"/>
      <c r="G45" s="32"/>
      <c r="H45" s="32"/>
      <c r="I45" s="32"/>
      <c r="J45" s="32"/>
      <c r="K45" s="32"/>
      <c r="L45" s="20">
        <f ca="1">LOOKUP(1000,INDIRECT("L1:"&amp;CELL("address",INDIRECT("R[-1]C",FALSE))))+1</f>
        <v>6</v>
      </c>
      <c r="M45" s="317" t="s">
        <v>520</v>
      </c>
      <c r="N45" s="317"/>
      <c r="O45" s="5"/>
      <c r="P45" s="33"/>
      <c r="Q45" s="33"/>
      <c r="R45" s="33"/>
      <c r="S45" s="33"/>
      <c r="T45" s="167">
        <f>IF($S$6="Exclude", SUMIFS(S46:S50, J46:J50, "&lt;&gt;Yes", G46:G50, "&lt;&gt;Yes"), SUMIFS(S46:S50, J46:J50, "&lt;&gt;Yes"))</f>
        <v>14.25</v>
      </c>
      <c r="U45" s="33"/>
      <c r="V45" s="33"/>
      <c r="W45" s="33"/>
      <c r="X45" s="34"/>
      <c r="Y45" s="35"/>
      <c r="Z45" s="35"/>
      <c r="AA45" s="35"/>
      <c r="AB45" s="240"/>
      <c r="AC45" s="36"/>
      <c r="AD45" s="26" t="str">
        <f>IF(M45="", "Error: Task name cannot be empty.", "")</f>
        <v/>
      </c>
    </row>
    <row r="46" spans="1:30" s="15" customFormat="1" ht="1.5" hidden="1" customHeight="1" outlineLevel="2" x14ac:dyDescent="0.35">
      <c r="A46" s="93" t="s">
        <v>101</v>
      </c>
      <c r="B46" s="21"/>
      <c r="C46" s="84"/>
      <c r="D46" s="84"/>
      <c r="E46" s="84"/>
      <c r="F46" s="83"/>
      <c r="G46" s="32"/>
      <c r="H46" s="32"/>
      <c r="I46" s="32"/>
      <c r="J46" s="32"/>
      <c r="K46" s="32"/>
      <c r="L46" s="175">
        <f ca="1">L45</f>
        <v>6</v>
      </c>
      <c r="M46" s="176" t="s">
        <v>105</v>
      </c>
      <c r="N46" s="173"/>
      <c r="O46" s="174"/>
      <c r="P46" s="33"/>
      <c r="Q46" s="33"/>
      <c r="R46" s="33"/>
      <c r="S46" s="33"/>
      <c r="T46" s="167"/>
      <c r="U46" s="33"/>
      <c r="V46" s="33"/>
      <c r="W46" s="33"/>
      <c r="X46" s="34"/>
      <c r="Y46" s="35"/>
      <c r="Z46" s="35"/>
      <c r="AA46" s="35"/>
      <c r="AB46" s="36"/>
      <c r="AC46" s="36"/>
      <c r="AD46" s="26"/>
    </row>
    <row r="47" spans="1:30" ht="15.5" hidden="1" outlineLevel="2" x14ac:dyDescent="0.35">
      <c r="A47" s="93" t="s">
        <v>0</v>
      </c>
      <c r="B47" s="21"/>
      <c r="C47" s="85"/>
      <c r="D47" s="85"/>
      <c r="E47" s="85"/>
      <c r="F47" s="86"/>
      <c r="G47" s="22" t="s">
        <v>6</v>
      </c>
      <c r="H47" s="22" t="s">
        <v>23</v>
      </c>
      <c r="I47" s="23" t="s">
        <v>23</v>
      </c>
      <c r="J47" s="22" t="s">
        <v>23</v>
      </c>
      <c r="K47" s="38"/>
      <c r="L47" s="22"/>
      <c r="M47" s="286" t="str">
        <f t="shared" ref="M47:M49" ca="1" si="0">IFERROR(OFFSET(M47,-1,,1,1)+0.1,OFFSET(M47,-1,-1,1,1)&amp;".1")</f>
        <v>6.1</v>
      </c>
      <c r="N47" s="23" t="s">
        <v>528</v>
      </c>
      <c r="O47" s="23"/>
      <c r="P47" s="23"/>
      <c r="Q47" s="144"/>
      <c r="R47" s="137"/>
      <c r="S47" s="169">
        <f t="shared" ref="S47:S49" si="1">CEILING((IF(J47="Yes", 0, IF(H47="-",AA47,AA47+AA47*VLOOKUP(H47,BUFFERS_BY_TYPE,2,FALSE)))) +
   (IF(J47="Yes", 0, IF(H47="-",AA47,AA47+AA47*VLOOKUP(H47,BUFFERS_BY_TYPE,2,FALSE))))*VLOOKUP($S$5, SALES_CALL_SCALE_ARRAY, 2,FALSE),0.25)</f>
        <v>1</v>
      </c>
      <c r="T47" s="170"/>
      <c r="U47" s="24">
        <v>0</v>
      </c>
      <c r="V47" s="24">
        <v>1</v>
      </c>
      <c r="W47" s="24">
        <v>0</v>
      </c>
      <c r="X47" s="168">
        <v>1</v>
      </c>
      <c r="Y47" s="169">
        <f t="shared" ref="Y47:Y49" si="2">CEILING((IF(P47=AS_DEV_EFFORT, DEV_EFFORT*Q47%,
                           IF(P47=AS_DURATION_EFFORT, (MANUAL_DURATION*5)*Q47%,
                                    (IF(Q47&lt;=1,X47,
                                          IF(SUM(U47:W47)=0,(Q47*X47),
                                               (((Q47*U47)*(X47+(X47*EXTRA_FOR_H)))+
                                               ((Q47*V47)*X47)+
                                               ((Q47*W47)*(X47-(X47*LESS_FOR_L)))
                                    )*IF(R47=0,1,R47))))))+Z47), 0.25)</f>
        <v>1</v>
      </c>
      <c r="Z47" s="25"/>
      <c r="AA47" s="169">
        <f t="shared" ref="AA47:AA49" si="3">Y47+Y47*VLOOKUP(I47,EXTRAS_ARRAY,2,FALSE)</f>
        <v>1</v>
      </c>
      <c r="AB47" s="23"/>
      <c r="AC47" s="37"/>
      <c r="AD47" s="26" t="str">
        <f t="shared" ref="AD47:AD49" si="4">IF(J47&lt;&gt;"Yes",
IF(S47&lt;=0,"Error: Effort value is not defined or is invalid.",
IF(AND(SUM(U47:W47)&gt;0,SUM(U47:W47)&lt;&gt;1),"Error: Complexity % distribution should sum to 100%.",
IF(AND(P47=AS_DEV_EFFORT,X47&lt;&gt;0),"Error: PDs should not be defined when defining as dev effort %.",
IF(AND(P47=AS_DURATION_EFFORT,X47&lt;&gt;0),"Error: PDs should not be defined when defining as duration effort %.","")))))</f>
        <v/>
      </c>
    </row>
    <row r="48" spans="1:30" ht="29" hidden="1" outlineLevel="2" x14ac:dyDescent="0.35">
      <c r="A48" s="93" t="s">
        <v>0</v>
      </c>
      <c r="B48" s="21"/>
      <c r="C48" s="85"/>
      <c r="D48" s="85"/>
      <c r="E48" s="85"/>
      <c r="F48" s="86"/>
      <c r="G48" s="22" t="s">
        <v>6</v>
      </c>
      <c r="H48" s="22" t="s">
        <v>23</v>
      </c>
      <c r="I48" s="23" t="s">
        <v>23</v>
      </c>
      <c r="J48" s="22" t="s">
        <v>23</v>
      </c>
      <c r="K48" s="38"/>
      <c r="L48" s="22"/>
      <c r="M48" s="286">
        <f t="shared" ca="1" si="0"/>
        <v>6.1999999999999993</v>
      </c>
      <c r="N48" s="23" t="s">
        <v>529</v>
      </c>
      <c r="O48" s="23"/>
      <c r="P48" s="23" t="s">
        <v>620</v>
      </c>
      <c r="Q48" s="144">
        <v>2</v>
      </c>
      <c r="R48" s="137">
        <v>2</v>
      </c>
      <c r="S48" s="169">
        <f t="shared" si="1"/>
        <v>10</v>
      </c>
      <c r="T48" s="170"/>
      <c r="U48" s="24">
        <v>0</v>
      </c>
      <c r="V48" s="24">
        <v>1</v>
      </c>
      <c r="W48" s="24">
        <v>0</v>
      </c>
      <c r="X48" s="168">
        <v>2.5</v>
      </c>
      <c r="Y48" s="169">
        <f t="shared" si="2"/>
        <v>10</v>
      </c>
      <c r="Z48" s="25"/>
      <c r="AA48" s="169">
        <f t="shared" si="3"/>
        <v>10</v>
      </c>
      <c r="AB48" s="23"/>
      <c r="AC48" s="37"/>
      <c r="AD48" s="26" t="str">
        <f t="shared" si="4"/>
        <v/>
      </c>
    </row>
    <row r="49" spans="1:30" ht="43.5" hidden="1" outlineLevel="2" x14ac:dyDescent="0.35">
      <c r="A49" s="93" t="s">
        <v>0</v>
      </c>
      <c r="B49" s="21"/>
      <c r="C49" s="85"/>
      <c r="D49" s="85"/>
      <c r="E49" s="85"/>
      <c r="F49" s="86"/>
      <c r="G49" s="22" t="s">
        <v>6</v>
      </c>
      <c r="H49" s="22" t="s">
        <v>23</v>
      </c>
      <c r="I49" s="23" t="s">
        <v>23</v>
      </c>
      <c r="J49" s="22" t="s">
        <v>23</v>
      </c>
      <c r="K49" s="38"/>
      <c r="L49" s="22"/>
      <c r="M49" s="286">
        <f t="shared" ca="1" si="0"/>
        <v>6.2999999999999989</v>
      </c>
      <c r="N49" s="23" t="s">
        <v>530</v>
      </c>
      <c r="O49" s="23"/>
      <c r="P49" s="23"/>
      <c r="Q49" s="144">
        <v>2</v>
      </c>
      <c r="R49" s="137">
        <v>2</v>
      </c>
      <c r="S49" s="169">
        <f t="shared" si="1"/>
        <v>3.25</v>
      </c>
      <c r="T49" s="170"/>
      <c r="U49" s="24">
        <v>0</v>
      </c>
      <c r="V49" s="24">
        <v>1</v>
      </c>
      <c r="W49" s="24">
        <v>0</v>
      </c>
      <c r="X49" s="168">
        <v>0.8</v>
      </c>
      <c r="Y49" s="169">
        <f t="shared" si="2"/>
        <v>3.25</v>
      </c>
      <c r="Z49" s="25"/>
      <c r="AA49" s="169">
        <f t="shared" si="3"/>
        <v>3.25</v>
      </c>
      <c r="AB49" s="23"/>
      <c r="AC49" s="37"/>
      <c r="AD49" s="26" t="str">
        <f t="shared" si="4"/>
        <v/>
      </c>
    </row>
    <row r="50" spans="1:30" s="11" customFormat="1" ht="7.5" hidden="1" customHeight="1" outlineLevel="2" x14ac:dyDescent="0.35">
      <c r="A50" s="93" t="s">
        <v>132</v>
      </c>
      <c r="B50" s="18"/>
      <c r="C50" s="78"/>
      <c r="D50" s="78"/>
      <c r="E50" s="78"/>
      <c r="F50" s="78"/>
      <c r="G50" s="10"/>
      <c r="H50" s="10"/>
      <c r="I50" s="10"/>
      <c r="J50" s="10"/>
      <c r="K50" s="10"/>
      <c r="L50" s="10"/>
      <c r="M50" s="287"/>
      <c r="N50" s="10"/>
      <c r="O50" s="10"/>
      <c r="P50" s="10"/>
      <c r="Q50" s="10"/>
      <c r="R50" s="10"/>
      <c r="S50" s="10"/>
      <c r="T50" s="18"/>
      <c r="U50" s="10"/>
      <c r="V50" s="10"/>
      <c r="W50" s="10"/>
      <c r="X50" s="18"/>
      <c r="Y50" s="10"/>
      <c r="Z50" s="10"/>
      <c r="AA50" s="10"/>
      <c r="AB50" s="60"/>
      <c r="AC50" s="60"/>
      <c r="AD50" s="12"/>
    </row>
    <row r="51" spans="1:30" s="17" customFormat="1" ht="15.5" hidden="1" outlineLevel="1" collapsed="1" x14ac:dyDescent="0.35">
      <c r="A51" s="93" t="s">
        <v>100</v>
      </c>
      <c r="B51" s="21"/>
      <c r="C51" s="84"/>
      <c r="D51" s="84"/>
      <c r="E51" s="84"/>
      <c r="F51" s="83"/>
      <c r="G51" s="32"/>
      <c r="H51" s="32"/>
      <c r="I51" s="32"/>
      <c r="J51" s="32"/>
      <c r="K51" s="32"/>
      <c r="L51" s="20">
        <f ca="1">LOOKUP(1000,INDIRECT("L1:"&amp;CELL("address",INDIRECT("R[-1]C",FALSE))))+1</f>
        <v>7</v>
      </c>
      <c r="M51" s="317" t="s">
        <v>521</v>
      </c>
      <c r="N51" s="317"/>
      <c r="O51" s="5"/>
      <c r="P51" s="33"/>
      <c r="Q51" s="33"/>
      <c r="R51" s="33"/>
      <c r="S51" s="33"/>
      <c r="T51" s="167">
        <f>IF($S$6="Exclude", SUMIFS(S52:S57, J52:J57, "&lt;&gt;Yes", G52:G57, "&lt;&gt;Yes"), SUMIFS(S52:S57, J52:J57, "&lt;&gt;Yes"))</f>
        <v>22.5</v>
      </c>
      <c r="U51" s="33"/>
      <c r="V51" s="33"/>
      <c r="W51" s="33"/>
      <c r="X51" s="34"/>
      <c r="Y51" s="35"/>
      <c r="Z51" s="35"/>
      <c r="AA51" s="35"/>
      <c r="AB51" s="240"/>
      <c r="AC51" s="36"/>
      <c r="AD51" s="26" t="str">
        <f>IF(M51="", "Error: Task name cannot be empty.", "")</f>
        <v/>
      </c>
    </row>
    <row r="52" spans="1:30" s="15" customFormat="1" ht="1.5" hidden="1" customHeight="1" outlineLevel="2" x14ac:dyDescent="0.35">
      <c r="A52" s="93" t="s">
        <v>101</v>
      </c>
      <c r="B52" s="21"/>
      <c r="C52" s="84"/>
      <c r="D52" s="84"/>
      <c r="E52" s="84"/>
      <c r="F52" s="83"/>
      <c r="G52" s="32"/>
      <c r="H52" s="32"/>
      <c r="I52" s="32"/>
      <c r="J52" s="32"/>
      <c r="K52" s="32"/>
      <c r="L52" s="175">
        <f ca="1">L51</f>
        <v>7</v>
      </c>
      <c r="M52" s="176" t="s">
        <v>105</v>
      </c>
      <c r="N52" s="173"/>
      <c r="O52" s="174"/>
      <c r="P52" s="33"/>
      <c r="Q52" s="33"/>
      <c r="R52" s="33"/>
      <c r="S52" s="33"/>
      <c r="T52" s="167"/>
      <c r="U52" s="33"/>
      <c r="V52" s="33"/>
      <c r="W52" s="33"/>
      <c r="X52" s="34"/>
      <c r="Y52" s="35"/>
      <c r="Z52" s="35"/>
      <c r="AA52" s="35"/>
      <c r="AB52" s="36"/>
      <c r="AC52" s="36"/>
      <c r="AD52" s="26"/>
    </row>
    <row r="53" spans="1:30" ht="29" hidden="1" outlineLevel="2" x14ac:dyDescent="0.35">
      <c r="A53" s="93" t="s">
        <v>0</v>
      </c>
      <c r="B53" s="21"/>
      <c r="C53" s="85"/>
      <c r="D53" s="85"/>
      <c r="E53" s="85"/>
      <c r="F53" s="86"/>
      <c r="G53" s="22" t="s">
        <v>23</v>
      </c>
      <c r="H53" s="22" t="s">
        <v>23</v>
      </c>
      <c r="I53" s="23" t="s">
        <v>23</v>
      </c>
      <c r="J53" s="22" t="s">
        <v>23</v>
      </c>
      <c r="K53" s="38"/>
      <c r="L53" s="22"/>
      <c r="M53" s="286" t="str">
        <f ca="1">IFERROR(OFFSET(M53,-1,,1,1)+0.1,OFFSET(M53,-1,-1,1,1)&amp;".1")</f>
        <v>7.1</v>
      </c>
      <c r="N53" s="23" t="s">
        <v>531</v>
      </c>
      <c r="O53" s="23" t="s">
        <v>125</v>
      </c>
      <c r="P53" s="23"/>
      <c r="Q53" s="144">
        <v>1</v>
      </c>
      <c r="R53" s="137">
        <v>2</v>
      </c>
      <c r="S53" s="169">
        <f>CEILING((IF(J53="Yes", 0, IF(H53="-",AA53,AA53+AA53*VLOOKUP(H53,BUFFERS_BY_TYPE,2,FALSE)))) +
   (IF(J53="Yes", 0, IF(H53="-",AA53,AA53+AA53*VLOOKUP(H53,BUFFERS_BY_TYPE,2,FALSE))))*VLOOKUP($S$5, SALES_CALL_SCALE_ARRAY, 2,FALSE),0.25)</f>
        <v>3</v>
      </c>
      <c r="T53" s="170"/>
      <c r="U53" s="24">
        <v>0</v>
      </c>
      <c r="V53" s="24">
        <v>1</v>
      </c>
      <c r="W53" s="24">
        <v>0</v>
      </c>
      <c r="X53" s="168">
        <v>3</v>
      </c>
      <c r="Y53" s="169">
        <f>CEILING((IF(P53=AS_DEV_EFFORT, DEV_EFFORT*Q53%,
                           IF(P53=AS_DURATION_EFFORT, (MANUAL_DURATION*5)*Q53%,
                                    (IF(Q53&lt;=1,X53,
                                          IF(SUM(U53:W53)=0,(Q53*X53),
                                               (((Q53*U53)*(X53+(X53*EXTRA_FOR_H)))+
                                               ((Q53*V53)*X53)+
                                               ((Q53*W53)*(X53-(X53*LESS_FOR_L)))
                                    )*IF(R53=0,1,R53))))))+Z53), 0.25)</f>
        <v>3</v>
      </c>
      <c r="Z53" s="25"/>
      <c r="AA53" s="169">
        <f>Y53+Y53*VLOOKUP(I53,EXTRAS_ARRAY,2,FALSE)</f>
        <v>3</v>
      </c>
      <c r="AB53" s="23" t="s">
        <v>632</v>
      </c>
      <c r="AC53" s="37"/>
      <c r="AD53" s="26" t="str">
        <f>IF(J53&lt;&gt;"Yes",
IF(S53&lt;=0,"Error: Effort value is not defined or is invalid.",
IF(AND(SUM(U53:W53)&gt;0,SUM(U53:W53)&lt;&gt;1),"Error: Complexity % distribution should sum to 100%.",
IF(AND(P53=AS_DEV_EFFORT,X53&lt;&gt;0),"Error: PDs should not be defined when defining as dev effort %.",
IF(AND(P53=AS_DURATION_EFFORT,X53&lt;&gt;0),"Error: PDs should not be defined when defining as duration effort %.","")))))</f>
        <v/>
      </c>
    </row>
    <row r="54" spans="1:30" ht="43.5" hidden="1" outlineLevel="2" x14ac:dyDescent="0.35">
      <c r="A54" s="93" t="s">
        <v>0</v>
      </c>
      <c r="B54" s="21"/>
      <c r="C54" s="85"/>
      <c r="D54" s="85"/>
      <c r="E54" s="85"/>
      <c r="F54" s="86"/>
      <c r="G54" s="22" t="s">
        <v>23</v>
      </c>
      <c r="H54" s="22" t="s">
        <v>23</v>
      </c>
      <c r="I54" s="23" t="s">
        <v>23</v>
      </c>
      <c r="J54" s="22" t="s">
        <v>23</v>
      </c>
      <c r="K54" s="38"/>
      <c r="L54" s="22"/>
      <c r="M54" s="286">
        <f ca="1">IFERROR(OFFSET(M54,-1,,1,1)+0.1,OFFSET(M54,-1,-1,1,1)&amp;".1")</f>
        <v>7.1999999999999993</v>
      </c>
      <c r="N54" s="23" t="s">
        <v>532</v>
      </c>
      <c r="O54" s="23" t="s">
        <v>125</v>
      </c>
      <c r="P54" s="23"/>
      <c r="Q54" s="144">
        <v>2</v>
      </c>
      <c r="R54" s="137">
        <v>3</v>
      </c>
      <c r="S54" s="169">
        <f>CEILING((IF(J54="Yes", 0, IF(H54="-",AA54,AA54+AA54*VLOOKUP(H54,BUFFERS_BY_TYPE,2,FALSE)))) +
   (IF(J54="Yes", 0, IF(H54="-",AA54,AA54+AA54*VLOOKUP(H54,BUFFERS_BY_TYPE,2,FALSE))))*VLOOKUP($S$5, SALES_CALL_SCALE_ARRAY, 2,FALSE),0.25)</f>
        <v>15</v>
      </c>
      <c r="T54" s="170"/>
      <c r="U54" s="24">
        <v>0</v>
      </c>
      <c r="V54" s="24">
        <v>1</v>
      </c>
      <c r="W54" s="24">
        <v>0</v>
      </c>
      <c r="X54" s="168">
        <v>2.5</v>
      </c>
      <c r="Y54" s="169">
        <f>CEILING((IF(P54=AS_DEV_EFFORT, DEV_EFFORT*Q54%,
                           IF(P54=AS_DURATION_EFFORT, (MANUAL_DURATION*5)*Q54%,
                                    (IF(Q54&lt;=1,X54,
                                          IF(SUM(U54:W54)=0,(Q54*X54),
                                               (((Q54*U54)*(X54+(X54*EXTRA_FOR_H)))+
                                               ((Q54*V54)*X54)+
                                               ((Q54*W54)*(X54-(X54*LESS_FOR_L)))
                                    )*IF(R54=0,1,R54))))))+Z54), 0.25)</f>
        <v>15</v>
      </c>
      <c r="Z54" s="25"/>
      <c r="AA54" s="169">
        <f>Y54+Y54*VLOOKUP(I54,EXTRAS_ARRAY,2,FALSE)</f>
        <v>15</v>
      </c>
      <c r="AB54" s="23" t="s">
        <v>633</v>
      </c>
      <c r="AC54" s="37"/>
      <c r="AD54" s="26" t="str">
        <f>IF(J54&lt;&gt;"Yes",
IF(S54&lt;=0,"Error: Effort value is not defined or is invalid.",
IF(AND(SUM(U54:W54)&gt;0,SUM(U54:W54)&lt;&gt;1),"Error: Complexity % distribution should sum to 100%.",
IF(AND(P54=AS_DEV_EFFORT,X54&lt;&gt;0),"Error: PDs should not be defined when defining as dev effort %.",
IF(AND(P54=AS_DURATION_EFFORT,X54&lt;&gt;0),"Error: PDs should not be defined when defining as duration effort %.","")))))</f>
        <v/>
      </c>
    </row>
    <row r="55" spans="1:30" ht="29" hidden="1" outlineLevel="2" x14ac:dyDescent="0.35">
      <c r="A55" s="93" t="s">
        <v>0</v>
      </c>
      <c r="B55" s="21"/>
      <c r="C55" s="85"/>
      <c r="D55" s="85"/>
      <c r="E55" s="85"/>
      <c r="F55" s="86"/>
      <c r="G55" s="22" t="s">
        <v>6</v>
      </c>
      <c r="H55" s="22" t="s">
        <v>23</v>
      </c>
      <c r="I55" s="23" t="s">
        <v>23</v>
      </c>
      <c r="J55" s="22" t="s">
        <v>23</v>
      </c>
      <c r="K55" s="38"/>
      <c r="L55" s="22"/>
      <c r="M55" s="286">
        <f ca="1">IFERROR(OFFSET(M55,-1,,1,1)+0.1,OFFSET(M55,-1,-1,1,1)&amp;".1")</f>
        <v>7.2999999999999989</v>
      </c>
      <c r="N55" s="23" t="s">
        <v>544</v>
      </c>
      <c r="O55" s="23" t="s">
        <v>545</v>
      </c>
      <c r="P55" s="274">
        <v>0.02</v>
      </c>
      <c r="Q55" s="144">
        <v>2</v>
      </c>
      <c r="R55" s="137">
        <v>2</v>
      </c>
      <c r="S55" s="169">
        <f>CEILING((IF(J55="Yes", 0, IF(H55="-",AA55,AA55+AA55*VLOOKUP(H55,BUFFERS_BY_TYPE,2,FALSE)))) +
   (IF(J55="Yes", 0, IF(H55="-",AA55,AA55+AA55*VLOOKUP(H55,BUFFERS_BY_TYPE,2,FALSE))))*VLOOKUP($S$5, SALES_CALL_SCALE_ARRAY, 2,FALSE),0.25)</f>
        <v>2.5</v>
      </c>
      <c r="T55" s="170"/>
      <c r="U55" s="24">
        <v>0</v>
      </c>
      <c r="V55" s="24">
        <v>1</v>
      </c>
      <c r="W55" s="24">
        <v>0</v>
      </c>
      <c r="X55" s="168">
        <v>0.6</v>
      </c>
      <c r="Y55" s="169">
        <f>CEILING((IF(P55=AS_DEV_EFFORT, DEV_EFFORT*Q55%,
                           IF(P55=AS_DURATION_EFFORT, (MANUAL_DURATION*5)*Q55%,
                                    (IF(Q55&lt;=1,X55,
                                          IF(SUM(U55:W55)=0,(Q55*X55),
                                               (((Q55*U55)*(X55+(X55*EXTRA_FOR_H)))+
                                               ((Q55*V55)*X55)+
                                               ((Q55*W55)*(X55-(X55*LESS_FOR_L)))
                                    )*IF(R55=0,1,R55))))))+Z55), 0.25)</f>
        <v>2.5</v>
      </c>
      <c r="Z55" s="25"/>
      <c r="AA55" s="169">
        <f>Y55+Y55*VLOOKUP(I55,EXTRAS_ARRAY,2,FALSE)</f>
        <v>2.5</v>
      </c>
      <c r="AB55" s="23" t="s">
        <v>546</v>
      </c>
      <c r="AC55" s="37"/>
      <c r="AD55" s="26" t="str">
        <f>IF(J55&lt;&gt;"Yes",
IF(S55&lt;=0,"Error: Effort value is not defined or is invalid.",
IF(AND(SUM(U55:W55)&gt;0,SUM(U55:W55)&lt;&gt;1),"Error: Complexity % distribution should sum to 100%.",
IF(AND(P55=AS_DEV_EFFORT,X55&lt;&gt;0),"Error: PDs should not be defined when defining as dev effort %.",
IF(AND(P55=AS_DURATION_EFFORT,X55&lt;&gt;0),"Error: PDs should not be defined when defining as duration effort %.","")))))</f>
        <v/>
      </c>
    </row>
    <row r="56" spans="1:30" ht="43.5" hidden="1" outlineLevel="2" x14ac:dyDescent="0.35">
      <c r="A56" s="93" t="s">
        <v>0</v>
      </c>
      <c r="B56" s="21"/>
      <c r="C56" s="85"/>
      <c r="D56" s="85"/>
      <c r="E56" s="85"/>
      <c r="F56" s="86"/>
      <c r="G56" s="22" t="s">
        <v>23</v>
      </c>
      <c r="H56" s="22" t="s">
        <v>23</v>
      </c>
      <c r="I56" s="23" t="s">
        <v>23</v>
      </c>
      <c r="J56" s="22" t="s">
        <v>23</v>
      </c>
      <c r="K56" s="38"/>
      <c r="L56" s="22"/>
      <c r="M56" s="286">
        <f ca="1">IFERROR(OFFSET(M56,-1,,1,1)+0.1,OFFSET(M56,-1,-1,1,1)&amp;".1")</f>
        <v>7.3999999999999986</v>
      </c>
      <c r="N56" s="23" t="s">
        <v>533</v>
      </c>
      <c r="O56" s="23" t="s">
        <v>510</v>
      </c>
      <c r="P56" s="23"/>
      <c r="Q56" s="144"/>
      <c r="R56" s="137"/>
      <c r="S56" s="169">
        <f>CEILING((IF(J56="Yes", 0, IF(H56="-",AA56,AA56+AA56*VLOOKUP(H56,BUFFERS_BY_TYPE,2,FALSE)))) +
   (IF(J56="Yes", 0, IF(H56="-",AA56,AA56+AA56*VLOOKUP(H56,BUFFERS_BY_TYPE,2,FALSE))))*VLOOKUP($S$5, SALES_CALL_SCALE_ARRAY, 2,FALSE),0.25)</f>
        <v>2</v>
      </c>
      <c r="T56" s="170"/>
      <c r="U56" s="24">
        <v>0</v>
      </c>
      <c r="V56" s="24">
        <v>1</v>
      </c>
      <c r="W56" s="24">
        <v>0</v>
      </c>
      <c r="X56" s="168">
        <v>2</v>
      </c>
      <c r="Y56" s="169">
        <f>CEILING((IF(P56=AS_DEV_EFFORT, DEV_EFFORT*Q56%,
                           IF(P56=AS_DURATION_EFFORT, (MANUAL_DURATION*5)*Q56%,
                                    (IF(Q56&lt;=1,X56,
                                          IF(SUM(U56:W56)=0,(Q56*X56),
                                               (((Q56*U56)*(X56+(X56*EXTRA_FOR_H)))+
                                               ((Q56*V56)*X56)+
                                               ((Q56*W56)*(X56-(X56*LESS_FOR_L)))
                                    )*IF(R56=0,1,R56))))))+Z56), 0.25)</f>
        <v>2</v>
      </c>
      <c r="Z56" s="25"/>
      <c r="AA56" s="169">
        <f>Y56+Y56*VLOOKUP(I56,EXTRAS_ARRAY,2,FALSE)</f>
        <v>2</v>
      </c>
      <c r="AB56" s="23"/>
      <c r="AC56" s="37"/>
      <c r="AD56" s="26" t="str">
        <f>IF(J56&lt;&gt;"Yes",
IF(S56&lt;=0,"Error: Effort value is not defined or is invalid.",
IF(AND(SUM(U56:W56)&gt;0,SUM(U56:W56)&lt;&gt;1),"Error: Complexity % distribution should sum to 100%.",
IF(AND(P56=AS_DEV_EFFORT,X56&lt;&gt;0),"Error: PDs should not be defined when defining as dev effort %.",
IF(AND(P56=AS_DURATION_EFFORT,X56&lt;&gt;0),"Error: PDs should not be defined when defining as duration effort %.","")))))</f>
        <v/>
      </c>
    </row>
    <row r="57" spans="1:30" s="11" customFormat="1" ht="7.5" hidden="1" customHeight="1" outlineLevel="2" x14ac:dyDescent="0.35">
      <c r="A57" s="93" t="s">
        <v>132</v>
      </c>
      <c r="B57" s="18"/>
      <c r="C57" s="78"/>
      <c r="D57" s="78"/>
      <c r="E57" s="78"/>
      <c r="F57" s="78"/>
      <c r="G57" s="10"/>
      <c r="H57" s="10"/>
      <c r="I57" s="10"/>
      <c r="J57" s="10"/>
      <c r="K57" s="10"/>
      <c r="L57" s="10"/>
      <c r="M57" s="287"/>
      <c r="N57" s="10"/>
      <c r="O57" s="10"/>
      <c r="P57" s="10"/>
      <c r="Q57" s="10"/>
      <c r="R57" s="10"/>
      <c r="S57" s="10"/>
      <c r="T57" s="18"/>
      <c r="U57" s="10"/>
      <c r="V57" s="10"/>
      <c r="W57" s="10"/>
      <c r="X57" s="18"/>
      <c r="Y57" s="10"/>
      <c r="Z57" s="10"/>
      <c r="AA57" s="10"/>
      <c r="AB57" s="60"/>
      <c r="AC57" s="60"/>
      <c r="AD57" s="12"/>
    </row>
    <row r="58" spans="1:30" s="11" customFormat="1" ht="3" hidden="1" customHeight="1" outlineLevel="1" x14ac:dyDescent="0.35">
      <c r="A58" s="93" t="s">
        <v>102</v>
      </c>
      <c r="B58" s="10"/>
      <c r="C58" s="78"/>
      <c r="D58" s="78"/>
      <c r="E58" s="78"/>
      <c r="F58" s="78"/>
      <c r="G58" s="59"/>
      <c r="H58" s="59"/>
      <c r="I58" s="59"/>
      <c r="J58" s="59"/>
      <c r="K58" s="59"/>
      <c r="L58" s="61"/>
      <c r="M58" s="288"/>
      <c r="N58" s="62"/>
      <c r="O58" s="62"/>
      <c r="P58" s="61"/>
      <c r="Q58" s="61"/>
      <c r="R58" s="61"/>
      <c r="S58" s="61"/>
      <c r="T58" s="61"/>
      <c r="U58" s="61"/>
      <c r="V58" s="61"/>
      <c r="W58" s="61"/>
      <c r="X58" s="61"/>
      <c r="Y58" s="61"/>
      <c r="Z58" s="61"/>
      <c r="AA58" s="61"/>
      <c r="AB58" s="62"/>
      <c r="AC58" s="62"/>
      <c r="AD58" s="12"/>
    </row>
    <row r="59" spans="1:30" s="17" customFormat="1" ht="18.5" collapsed="1" x14ac:dyDescent="0.35">
      <c r="A59" s="93" t="s">
        <v>98</v>
      </c>
      <c r="B59" s="14"/>
      <c r="C59" s="79"/>
      <c r="D59" s="79"/>
      <c r="E59" s="79"/>
      <c r="F59" s="78"/>
      <c r="G59" s="55"/>
      <c r="H59" s="55"/>
      <c r="I59" s="55"/>
      <c r="J59" s="55"/>
      <c r="K59" s="55"/>
      <c r="L59" s="55" t="s">
        <v>68</v>
      </c>
      <c r="M59" s="284" t="s">
        <v>72</v>
      </c>
      <c r="N59" s="56"/>
      <c r="O59" s="57"/>
      <c r="P59" s="58"/>
      <c r="Q59" s="58"/>
      <c r="R59" s="58"/>
      <c r="S59" s="339">
        <f>CEILING(SUMIF(J60:J125, "&lt;&gt;Yes", T60:T125),1)</f>
        <v>245</v>
      </c>
      <c r="T59" s="339"/>
      <c r="U59" s="58"/>
      <c r="V59" s="58"/>
      <c r="W59" s="58"/>
      <c r="X59" s="58"/>
      <c r="Y59" s="58"/>
      <c r="Z59" s="58"/>
      <c r="AA59" s="58"/>
      <c r="AB59" s="58"/>
      <c r="AC59" s="58"/>
      <c r="AD59" s="16"/>
    </row>
    <row r="60" spans="1:30" s="11" customFormat="1" ht="3" hidden="1" customHeight="1" outlineLevel="1" x14ac:dyDescent="0.35">
      <c r="A60" s="93" t="s">
        <v>99</v>
      </c>
      <c r="B60" s="18"/>
      <c r="C60" s="78"/>
      <c r="D60" s="78"/>
      <c r="E60" s="78"/>
      <c r="F60" s="78"/>
      <c r="G60" s="28"/>
      <c r="H60" s="28"/>
      <c r="I60" s="28"/>
      <c r="J60" s="28"/>
      <c r="K60" s="28"/>
      <c r="L60" s="29">
        <v>0</v>
      </c>
      <c r="M60" s="285"/>
      <c r="N60" s="28"/>
      <c r="O60" s="28"/>
      <c r="P60" s="28"/>
      <c r="Q60" s="28"/>
      <c r="R60" s="28"/>
      <c r="S60" s="28"/>
      <c r="T60" s="30"/>
      <c r="U60" s="28"/>
      <c r="V60" s="28"/>
      <c r="W60" s="28"/>
      <c r="X60" s="30"/>
      <c r="Y60" s="28"/>
      <c r="Z60" s="28"/>
      <c r="AA60" s="28"/>
      <c r="AB60" s="31"/>
      <c r="AC60" s="31"/>
      <c r="AD60" s="12"/>
    </row>
    <row r="61" spans="1:30" s="17" customFormat="1" ht="15.5" hidden="1" outlineLevel="1" collapsed="1" x14ac:dyDescent="0.35">
      <c r="A61" s="93" t="s">
        <v>100</v>
      </c>
      <c r="B61" s="21"/>
      <c r="C61" s="84"/>
      <c r="D61" s="84"/>
      <c r="E61" s="84"/>
      <c r="F61" s="83"/>
      <c r="G61" s="32"/>
      <c r="H61" s="32"/>
      <c r="I61" s="32"/>
      <c r="J61" s="32"/>
      <c r="K61" s="32"/>
      <c r="L61" s="20">
        <f ca="1">LOOKUP(1000,INDIRECT("L1:"&amp;CELL("address",INDIRECT("R[-1]C",FALSE))))+1</f>
        <v>1</v>
      </c>
      <c r="M61" s="317" t="s">
        <v>454</v>
      </c>
      <c r="N61" s="317"/>
      <c r="O61" s="5"/>
      <c r="P61" s="33"/>
      <c r="Q61" s="33"/>
      <c r="R61" s="33"/>
      <c r="S61" s="33"/>
      <c r="T61" s="167">
        <f>IF($S$6="Exclude", SUMIFS(S62:S65, J62:J65, "&lt;&gt;Yes", G62:G65, "&lt;&gt;Yes"), SUMIFS(S62:S65, J62:J65, "&lt;&gt;Yes"))</f>
        <v>12.5</v>
      </c>
      <c r="U61" s="33"/>
      <c r="V61" s="33"/>
      <c r="W61" s="33"/>
      <c r="X61" s="34"/>
      <c r="Y61" s="35"/>
      <c r="Z61" s="35"/>
      <c r="AA61" s="35"/>
      <c r="AB61" s="240"/>
      <c r="AC61" s="36"/>
      <c r="AD61" s="26" t="str">
        <f>IF(M61="", "Error: Task name cannot be empty.", "")</f>
        <v/>
      </c>
    </row>
    <row r="62" spans="1:30" s="15" customFormat="1" ht="1.5" hidden="1" customHeight="1" outlineLevel="2" x14ac:dyDescent="0.35">
      <c r="A62" s="93" t="s">
        <v>101</v>
      </c>
      <c r="B62" s="21"/>
      <c r="C62" s="84"/>
      <c r="D62" s="84"/>
      <c r="E62" s="84"/>
      <c r="F62" s="83"/>
      <c r="G62" s="32"/>
      <c r="H62" s="32"/>
      <c r="I62" s="32"/>
      <c r="J62" s="32"/>
      <c r="K62" s="32"/>
      <c r="L62" s="175">
        <f ca="1">L61</f>
        <v>1</v>
      </c>
      <c r="M62" s="176" t="s">
        <v>105</v>
      </c>
      <c r="N62" s="173"/>
      <c r="O62" s="174"/>
      <c r="P62" s="33"/>
      <c r="Q62" s="33"/>
      <c r="R62" s="33"/>
      <c r="S62" s="33"/>
      <c r="T62" s="167"/>
      <c r="U62" s="33"/>
      <c r="V62" s="33"/>
      <c r="W62" s="33"/>
      <c r="X62" s="34"/>
      <c r="Y62" s="35"/>
      <c r="Z62" s="35"/>
      <c r="AA62" s="35"/>
      <c r="AB62" s="36"/>
      <c r="AC62" s="36"/>
      <c r="AD62" s="26"/>
    </row>
    <row r="63" spans="1:30" ht="15.5" hidden="1" outlineLevel="2" x14ac:dyDescent="0.35">
      <c r="A63" s="93" t="s">
        <v>0</v>
      </c>
      <c r="B63" s="21"/>
      <c r="C63" s="85"/>
      <c r="D63" s="85"/>
      <c r="E63" s="85"/>
      <c r="F63" s="86"/>
      <c r="G63" s="22" t="s">
        <v>23</v>
      </c>
      <c r="H63" s="22" t="s">
        <v>23</v>
      </c>
      <c r="I63" s="23" t="s">
        <v>23</v>
      </c>
      <c r="J63" s="22" t="s">
        <v>23</v>
      </c>
      <c r="K63" s="38"/>
      <c r="L63" s="22"/>
      <c r="M63" s="286" t="str">
        <f ca="1">IFERROR(OFFSET(M63,-1,,1,1)+0.1,OFFSET(M63,-1,-1,1,1)&amp;".1")</f>
        <v>1.1</v>
      </c>
      <c r="N63" s="23" t="s">
        <v>462</v>
      </c>
      <c r="O63" s="23"/>
      <c r="P63" s="23" t="s">
        <v>621</v>
      </c>
      <c r="Q63" s="144">
        <v>2</v>
      </c>
      <c r="R63" s="137">
        <v>2</v>
      </c>
      <c r="S63" s="169">
        <f>CEILING((IF(J63="Yes", 0, IF(H63="-",AA63,AA63+AA63*VLOOKUP(H63,BUFFERS_BY_TYPE,2,FALSE)))) +
   (IF(J63="Yes", 0, IF(H63="-",AA63,AA63+AA63*VLOOKUP(H63,BUFFERS_BY_TYPE,2,FALSE))))*VLOOKUP($S$5, SALES_CALL_SCALE_ARRAY, 2,FALSE),0.25)</f>
        <v>8.25</v>
      </c>
      <c r="T63" s="170"/>
      <c r="U63" s="24">
        <v>0.2</v>
      </c>
      <c r="V63" s="24">
        <v>0.5</v>
      </c>
      <c r="W63" s="24">
        <v>0.3</v>
      </c>
      <c r="X63" s="168">
        <v>2</v>
      </c>
      <c r="Y63" s="169">
        <f>CEILING((IF(P63=AS_DEV_EFFORT, DEV_EFFORT*Q63%,
                           IF(P63=AS_DURATION_EFFORT, (MANUAL_DURATION*5)*Q63%,
                                    (IF(Q63&lt;=1,X63,
                                          IF(SUM(U63:W63)=0,(Q63*X63),
                                               (((Q63*U63)*(X63+(X63*EXTRA_FOR_H)))+
                                               ((Q63*V63)*X63)+
                                               ((Q63*W63)*(X63-(X63*LESS_FOR_L)))
                                    )*IF(R63=0,1,R63))))))+Z63), 0.25)</f>
        <v>8.25</v>
      </c>
      <c r="Z63" s="25"/>
      <c r="AA63" s="169">
        <f>Y63+Y63*VLOOKUP(I63,EXTRAS_ARRAY,2,FALSE)</f>
        <v>8.25</v>
      </c>
      <c r="AB63" s="23"/>
      <c r="AC63" s="37"/>
      <c r="AD63" s="26" t="str">
        <f>IF(J63&lt;&gt;"Yes",
IF(S63&lt;=0,"Error: Effort value is not defined or is invalid.",
IF(AND(SUM(U63:W63)&gt;0,SUM(U63:W63)&lt;&gt;1),"Error: Complexity % distribution should sum to 100%.",
IF(AND(P63=AS_DEV_EFFORT,X63&lt;&gt;0),"Error: PDs should not be defined when defining as dev effort %.",
IF(AND(P63=AS_DURATION_EFFORT,X63&lt;&gt;0),"Error: PDs should not be defined when defining as duration effort %.","")))))</f>
        <v/>
      </c>
    </row>
    <row r="64" spans="1:30" ht="15.5" hidden="1" outlineLevel="2" x14ac:dyDescent="0.35">
      <c r="A64" s="93" t="s">
        <v>0</v>
      </c>
      <c r="B64" s="21"/>
      <c r="C64" s="85"/>
      <c r="D64" s="85"/>
      <c r="E64" s="85"/>
      <c r="F64" s="86"/>
      <c r="G64" s="22" t="s">
        <v>23</v>
      </c>
      <c r="H64" s="22" t="s">
        <v>23</v>
      </c>
      <c r="I64" s="23" t="s">
        <v>23</v>
      </c>
      <c r="J64" s="22" t="s">
        <v>23</v>
      </c>
      <c r="K64" s="38"/>
      <c r="L64" s="22"/>
      <c r="M64" s="286">
        <f ca="1">IFERROR(OFFSET(M64,-1,,1,1)+0.1,OFFSET(M64,-1,-1,1,1)&amp;".1")</f>
        <v>1.2000000000000002</v>
      </c>
      <c r="N64" s="23" t="s">
        <v>463</v>
      </c>
      <c r="O64" s="23"/>
      <c r="P64" s="23" t="s">
        <v>621</v>
      </c>
      <c r="Q64" s="144">
        <v>2</v>
      </c>
      <c r="R64" s="137">
        <v>2</v>
      </c>
      <c r="S64" s="169">
        <f>CEILING((IF(J64="Yes", 0, IF(H64="-",AA64,AA64+AA64*VLOOKUP(H64,BUFFERS_BY_TYPE,2,FALSE)))) +
   (IF(J64="Yes", 0, IF(H64="-",AA64,AA64+AA64*VLOOKUP(H64,BUFFERS_BY_TYPE,2,FALSE))))*VLOOKUP($S$5, SALES_CALL_SCALE_ARRAY, 2,FALSE),0.25)</f>
        <v>4.25</v>
      </c>
      <c r="T64" s="170"/>
      <c r="U64" s="24">
        <v>0.2</v>
      </c>
      <c r="V64" s="24">
        <v>0.5</v>
      </c>
      <c r="W64" s="24">
        <v>0.3</v>
      </c>
      <c r="X64" s="168">
        <v>1</v>
      </c>
      <c r="Y64" s="169">
        <f>CEILING((IF(P64=AS_DEV_EFFORT, DEV_EFFORT*Q64%,
                           IF(P64=AS_DURATION_EFFORT, (MANUAL_DURATION*5)*Q64%,
                                    (IF(Q64&lt;=1,X64,
                                          IF(SUM(U64:W64)=0,(Q64*X64),
                                               (((Q64*U64)*(X64+(X64*EXTRA_FOR_H)))+
                                               ((Q64*V64)*X64)+
                                               ((Q64*W64)*(X64-(X64*LESS_FOR_L)))
                                    )*IF(R64=0,1,R64))))))+Z64), 0.25)</f>
        <v>4.25</v>
      </c>
      <c r="Z64" s="25"/>
      <c r="AA64" s="169">
        <f>Y64+Y64*VLOOKUP(I64,EXTRAS_ARRAY,2,FALSE)</f>
        <v>4.25</v>
      </c>
      <c r="AB64" s="23"/>
      <c r="AC64" s="37"/>
      <c r="AD64" s="26" t="str">
        <f>IF(J64&lt;&gt;"Yes",
IF(S64&lt;=0,"Error: Effort value is not defined or is invalid.",
IF(AND(SUM(U64:W64)&gt;0,SUM(U64:W64)&lt;&gt;1),"Error: Complexity % distribution should sum to 100%.",
IF(AND(P64=AS_DEV_EFFORT,X64&lt;&gt;0),"Error: PDs should not be defined when defining as dev effort %.",
IF(AND(P64=AS_DURATION_EFFORT,X64&lt;&gt;0),"Error: PDs should not be defined when defining as duration effort %.","")))))</f>
        <v/>
      </c>
    </row>
    <row r="65" spans="1:30" s="11" customFormat="1" ht="7.5" hidden="1" customHeight="1" outlineLevel="2" x14ac:dyDescent="0.35">
      <c r="A65" s="93" t="s">
        <v>132</v>
      </c>
      <c r="B65" s="18"/>
      <c r="C65" s="78"/>
      <c r="D65" s="78"/>
      <c r="E65" s="78"/>
      <c r="F65" s="78"/>
      <c r="G65" s="10"/>
      <c r="H65" s="10"/>
      <c r="I65" s="10"/>
      <c r="J65" s="10"/>
      <c r="K65" s="10"/>
      <c r="L65" s="10"/>
      <c r="M65" s="287"/>
      <c r="N65" s="10"/>
      <c r="O65" s="10"/>
      <c r="P65" s="10"/>
      <c r="Q65" s="10"/>
      <c r="R65" s="10"/>
      <c r="S65" s="10"/>
      <c r="T65" s="18"/>
      <c r="U65" s="10"/>
      <c r="V65" s="10"/>
      <c r="W65" s="10"/>
      <c r="X65" s="18"/>
      <c r="Y65" s="10"/>
      <c r="Z65" s="10"/>
      <c r="AA65" s="10"/>
      <c r="AB65" s="60"/>
      <c r="AC65" s="60"/>
      <c r="AD65" s="12"/>
    </row>
    <row r="66" spans="1:30" s="17" customFormat="1" ht="15.5" hidden="1" outlineLevel="1" collapsed="1" x14ac:dyDescent="0.35">
      <c r="A66" s="93" t="s">
        <v>100</v>
      </c>
      <c r="B66" s="21"/>
      <c r="C66" s="84"/>
      <c r="D66" s="84"/>
      <c r="E66" s="84"/>
      <c r="F66" s="83"/>
      <c r="G66" s="32"/>
      <c r="H66" s="32"/>
      <c r="I66" s="32"/>
      <c r="J66" s="32"/>
      <c r="K66" s="32"/>
      <c r="L66" s="20">
        <f ca="1">LOOKUP(1000,INDIRECT("L1:"&amp;CELL("address",INDIRECT("R[-1]C",FALSE))))+1</f>
        <v>2</v>
      </c>
      <c r="M66" s="317" t="s">
        <v>460</v>
      </c>
      <c r="N66" s="317"/>
      <c r="O66" s="5"/>
      <c r="P66" s="33"/>
      <c r="Q66" s="33"/>
      <c r="R66" s="33"/>
      <c r="S66" s="33"/>
      <c r="T66" s="167">
        <f>IF($S$6="Exclude", SUMIFS(S67:S75, J67:J75, "&lt;&gt;Yes", G67:G75, "&lt;&gt;Yes"), SUMIFS(S67:S75, J67:J75, "&lt;&gt;Yes"))</f>
        <v>47</v>
      </c>
      <c r="U66" s="33"/>
      <c r="V66" s="33"/>
      <c r="W66" s="33"/>
      <c r="X66" s="34"/>
      <c r="Y66" s="35"/>
      <c r="Z66" s="35"/>
      <c r="AA66" s="35"/>
      <c r="AB66" s="240"/>
      <c r="AC66" s="36"/>
      <c r="AD66" s="26" t="str">
        <f>IF(M66="", "Error: Task name cannot be empty.", "")</f>
        <v/>
      </c>
    </row>
    <row r="67" spans="1:30" s="15" customFormat="1" ht="1.5" hidden="1" customHeight="1" outlineLevel="2" x14ac:dyDescent="0.35">
      <c r="A67" s="93" t="s">
        <v>101</v>
      </c>
      <c r="B67" s="21"/>
      <c r="C67" s="84"/>
      <c r="D67" s="84"/>
      <c r="E67" s="84"/>
      <c r="F67" s="83"/>
      <c r="G67" s="32"/>
      <c r="H67" s="32"/>
      <c r="I67" s="32"/>
      <c r="J67" s="32"/>
      <c r="K67" s="32"/>
      <c r="L67" s="175">
        <f ca="1">L66</f>
        <v>2</v>
      </c>
      <c r="M67" s="176" t="s">
        <v>105</v>
      </c>
      <c r="N67" s="173"/>
      <c r="O67" s="174"/>
      <c r="P67" s="33"/>
      <c r="Q67" s="33"/>
      <c r="R67" s="33"/>
      <c r="S67" s="33"/>
      <c r="T67" s="167"/>
      <c r="U67" s="33"/>
      <c r="V67" s="33"/>
      <c r="W67" s="33"/>
      <c r="X67" s="34"/>
      <c r="Y67" s="35"/>
      <c r="Z67" s="35"/>
      <c r="AA67" s="35"/>
      <c r="AB67" s="36"/>
      <c r="AC67" s="36"/>
      <c r="AD67" s="26"/>
    </row>
    <row r="68" spans="1:30" ht="15.5" hidden="1" outlineLevel="2" x14ac:dyDescent="0.35">
      <c r="A68" s="93" t="s">
        <v>0</v>
      </c>
      <c r="B68" s="21"/>
      <c r="C68" s="85"/>
      <c r="D68" s="85"/>
      <c r="E68" s="85"/>
      <c r="F68" s="86"/>
      <c r="G68" s="22" t="s">
        <v>23</v>
      </c>
      <c r="H68" s="22" t="s">
        <v>23</v>
      </c>
      <c r="I68" s="23" t="s">
        <v>23</v>
      </c>
      <c r="J68" s="22" t="s">
        <v>23</v>
      </c>
      <c r="K68" s="38"/>
      <c r="L68" s="22"/>
      <c r="M68" s="286" t="str">
        <f t="shared" ref="M68:M74" ca="1" si="5">IFERROR(OFFSET(M68,-1,,1,1)+0.1,OFFSET(M68,-1,-1,1,1)&amp;".1")</f>
        <v>2.1</v>
      </c>
      <c r="N68" s="23" t="s">
        <v>680</v>
      </c>
      <c r="O68" s="23"/>
      <c r="P68" s="23"/>
      <c r="Q68" s="144">
        <v>1</v>
      </c>
      <c r="R68" s="137">
        <v>2</v>
      </c>
      <c r="S68" s="169">
        <f t="shared" ref="S68:S74" si="6">CEILING((IF(J68="Yes", 0, IF(H68="-",AA68,AA68+AA68*VLOOKUP(H68,BUFFERS_BY_TYPE,2,FALSE)))) +
   (IF(J68="Yes", 0, IF(H68="-",AA68,AA68+AA68*VLOOKUP(H68,BUFFERS_BY_TYPE,2,FALSE))))*VLOOKUP($S$5, SALES_CALL_SCALE_ARRAY, 2,FALSE),0.25)</f>
        <v>3</v>
      </c>
      <c r="T68" s="170"/>
      <c r="U68" s="24">
        <v>0</v>
      </c>
      <c r="V68" s="24">
        <v>1</v>
      </c>
      <c r="W68" s="24">
        <v>0</v>
      </c>
      <c r="X68" s="168">
        <v>3</v>
      </c>
      <c r="Y68" s="169">
        <f t="shared" ref="Y68:Y74" si="7">CEILING((IF(P68=AS_DEV_EFFORT, DEV_EFFORT*Q68%,
                           IF(P68=AS_DURATION_EFFORT, (MANUAL_DURATION*5)*Q68%,
                                    (IF(Q68&lt;=1,X68,
                                          IF(SUM(U68:W68)=0,(Q68*X68),
                                               (((Q68*U68)*(X68+(X68*EXTRA_FOR_H)))+
                                               ((Q68*V68)*X68)+
                                               ((Q68*W68)*(X68-(X68*LESS_FOR_L)))
                                    )*IF(R68=0,1,R68))))))+Z68), 0.25)</f>
        <v>3</v>
      </c>
      <c r="Z68" s="25"/>
      <c r="AA68" s="169">
        <f t="shared" ref="AA68:AA74" si="8">Y68+Y68*VLOOKUP(I68,EXTRAS_ARRAY,2,FALSE)</f>
        <v>3</v>
      </c>
      <c r="AB68" s="23"/>
      <c r="AC68" s="37"/>
      <c r="AD68" s="26" t="str">
        <f t="shared" ref="AD68:AD74" si="9">IF(J68&lt;&gt;"Yes",
IF(S68&lt;=0,"Error: Effort value is not defined or is invalid.",
IF(AND(SUM(U68:W68)&gt;0,SUM(U68:W68)&lt;&gt;1),"Error: Complexity % distribution should sum to 100%.",
IF(AND(P68=AS_DEV_EFFORT,X68&lt;&gt;0),"Error: PDs should not be defined when defining as dev effort %.",
IF(AND(P68=AS_DURATION_EFFORT,X68&lt;&gt;0),"Error: PDs should not be defined when defining as duration effort %.","")))))</f>
        <v/>
      </c>
    </row>
    <row r="69" spans="1:30" ht="15.5" hidden="1" outlineLevel="2" x14ac:dyDescent="0.35">
      <c r="A69" s="93" t="s">
        <v>0</v>
      </c>
      <c r="B69" s="21"/>
      <c r="C69" s="85"/>
      <c r="D69" s="85"/>
      <c r="E69" s="85"/>
      <c r="F69" s="86"/>
      <c r="G69" s="22" t="s">
        <v>23</v>
      </c>
      <c r="H69" s="22" t="s">
        <v>23</v>
      </c>
      <c r="I69" s="23" t="s">
        <v>23</v>
      </c>
      <c r="J69" s="22" t="s">
        <v>23</v>
      </c>
      <c r="K69" s="38"/>
      <c r="L69" s="22"/>
      <c r="M69" s="286">
        <f t="shared" ca="1" si="5"/>
        <v>2.2000000000000002</v>
      </c>
      <c r="N69" s="23" t="s">
        <v>686</v>
      </c>
      <c r="O69" s="23"/>
      <c r="P69" s="23"/>
      <c r="Q69" s="144">
        <v>2</v>
      </c>
      <c r="R69" s="137">
        <v>2</v>
      </c>
      <c r="S69" s="169">
        <f t="shared" si="6"/>
        <v>4</v>
      </c>
      <c r="T69" s="170"/>
      <c r="U69" s="24">
        <v>0</v>
      </c>
      <c r="V69" s="24">
        <v>1</v>
      </c>
      <c r="W69" s="24">
        <v>0</v>
      </c>
      <c r="X69" s="168">
        <v>1</v>
      </c>
      <c r="Y69" s="169">
        <f t="shared" si="7"/>
        <v>4</v>
      </c>
      <c r="Z69" s="25"/>
      <c r="AA69" s="169">
        <f t="shared" si="8"/>
        <v>4</v>
      </c>
      <c r="AB69" s="23"/>
      <c r="AC69" s="37"/>
      <c r="AD69" s="26" t="str">
        <f t="shared" si="9"/>
        <v/>
      </c>
    </row>
    <row r="70" spans="1:30" ht="29" hidden="1" outlineLevel="2" x14ac:dyDescent="0.35">
      <c r="A70" s="93" t="s">
        <v>0</v>
      </c>
      <c r="B70" s="21"/>
      <c r="C70" s="85"/>
      <c r="D70" s="85"/>
      <c r="E70" s="85"/>
      <c r="F70" s="86"/>
      <c r="G70" s="22" t="s">
        <v>23</v>
      </c>
      <c r="H70" s="22" t="s">
        <v>23</v>
      </c>
      <c r="I70" s="23" t="s">
        <v>23</v>
      </c>
      <c r="J70" s="22" t="s">
        <v>23</v>
      </c>
      <c r="K70" s="38"/>
      <c r="L70" s="22"/>
      <c r="M70" s="286">
        <f t="shared" ca="1" si="5"/>
        <v>2.3000000000000003</v>
      </c>
      <c r="N70" s="23" t="s">
        <v>681</v>
      </c>
      <c r="O70" s="23"/>
      <c r="P70" s="23"/>
      <c r="Q70" s="144">
        <v>1</v>
      </c>
      <c r="R70" s="137">
        <v>1</v>
      </c>
      <c r="S70" s="169">
        <f t="shared" si="6"/>
        <v>6</v>
      </c>
      <c r="T70" s="170"/>
      <c r="U70" s="24">
        <v>0</v>
      </c>
      <c r="V70" s="24">
        <v>1</v>
      </c>
      <c r="W70" s="24">
        <v>0</v>
      </c>
      <c r="X70" s="168">
        <v>6</v>
      </c>
      <c r="Y70" s="169">
        <f t="shared" si="7"/>
        <v>6</v>
      </c>
      <c r="Z70" s="25"/>
      <c r="AA70" s="169">
        <f t="shared" si="8"/>
        <v>6</v>
      </c>
      <c r="AB70" s="23"/>
      <c r="AC70" s="37"/>
      <c r="AD70" s="26" t="str">
        <f t="shared" si="9"/>
        <v/>
      </c>
    </row>
    <row r="71" spans="1:30" ht="29" hidden="1" outlineLevel="2" x14ac:dyDescent="0.35">
      <c r="A71" s="93" t="s">
        <v>0</v>
      </c>
      <c r="B71" s="21"/>
      <c r="C71" s="85"/>
      <c r="D71" s="85"/>
      <c r="E71" s="85"/>
      <c r="F71" s="86"/>
      <c r="G71" s="22" t="s">
        <v>23</v>
      </c>
      <c r="H71" s="22" t="s">
        <v>23</v>
      </c>
      <c r="I71" s="23" t="s">
        <v>23</v>
      </c>
      <c r="J71" s="22" t="s">
        <v>23</v>
      </c>
      <c r="K71" s="38"/>
      <c r="L71" s="22"/>
      <c r="M71" s="286">
        <f t="shared" ca="1" si="5"/>
        <v>2.4000000000000004</v>
      </c>
      <c r="N71" s="23" t="s">
        <v>682</v>
      </c>
      <c r="O71" s="23"/>
      <c r="P71" s="23"/>
      <c r="Q71" s="144">
        <v>2</v>
      </c>
      <c r="R71" s="137">
        <v>1</v>
      </c>
      <c r="S71" s="169">
        <f t="shared" si="6"/>
        <v>8</v>
      </c>
      <c r="T71" s="170"/>
      <c r="U71" s="24">
        <v>0</v>
      </c>
      <c r="V71" s="24">
        <v>1</v>
      </c>
      <c r="W71" s="24">
        <v>0</v>
      </c>
      <c r="X71" s="168">
        <v>4</v>
      </c>
      <c r="Y71" s="169">
        <f t="shared" si="7"/>
        <v>8</v>
      </c>
      <c r="Z71" s="25"/>
      <c r="AA71" s="169">
        <f t="shared" si="8"/>
        <v>8</v>
      </c>
      <c r="AB71" s="23"/>
      <c r="AC71" s="37"/>
      <c r="AD71" s="26" t="str">
        <f t="shared" si="9"/>
        <v/>
      </c>
    </row>
    <row r="72" spans="1:30" ht="58" hidden="1" outlineLevel="2" x14ac:dyDescent="0.35">
      <c r="A72" s="93" t="s">
        <v>0</v>
      </c>
      <c r="B72" s="21"/>
      <c r="C72" s="85"/>
      <c r="D72" s="85"/>
      <c r="E72" s="85"/>
      <c r="F72" s="86"/>
      <c r="G72" s="22" t="s">
        <v>23</v>
      </c>
      <c r="H72" s="22" t="s">
        <v>23</v>
      </c>
      <c r="I72" s="23" t="s">
        <v>23</v>
      </c>
      <c r="J72" s="22" t="s">
        <v>23</v>
      </c>
      <c r="K72" s="38"/>
      <c r="L72" s="22"/>
      <c r="M72" s="286">
        <f t="shared" ca="1" si="5"/>
        <v>2.5000000000000004</v>
      </c>
      <c r="N72" s="23" t="s">
        <v>683</v>
      </c>
      <c r="O72" s="23"/>
      <c r="P72" s="23"/>
      <c r="Q72" s="144">
        <v>1</v>
      </c>
      <c r="R72" s="137">
        <v>1</v>
      </c>
      <c r="S72" s="169">
        <f t="shared" si="6"/>
        <v>6</v>
      </c>
      <c r="T72" s="170"/>
      <c r="U72" s="24">
        <v>0</v>
      </c>
      <c r="V72" s="24">
        <v>1</v>
      </c>
      <c r="W72" s="24">
        <v>0</v>
      </c>
      <c r="X72" s="168">
        <v>6</v>
      </c>
      <c r="Y72" s="169">
        <f t="shared" si="7"/>
        <v>6</v>
      </c>
      <c r="Z72" s="25"/>
      <c r="AA72" s="169">
        <f t="shared" si="8"/>
        <v>6</v>
      </c>
      <c r="AB72" s="23"/>
      <c r="AC72" s="37"/>
      <c r="AD72" s="26" t="str">
        <f t="shared" si="9"/>
        <v/>
      </c>
    </row>
    <row r="73" spans="1:30" ht="43.5" hidden="1" outlineLevel="2" x14ac:dyDescent="0.35">
      <c r="A73" s="93" t="s">
        <v>0</v>
      </c>
      <c r="B73" s="21"/>
      <c r="C73" s="85"/>
      <c r="D73" s="85"/>
      <c r="E73" s="85"/>
      <c r="F73" s="86"/>
      <c r="G73" s="22" t="s">
        <v>23</v>
      </c>
      <c r="H73" s="22" t="s">
        <v>23</v>
      </c>
      <c r="I73" s="23" t="s">
        <v>23</v>
      </c>
      <c r="J73" s="22" t="s">
        <v>23</v>
      </c>
      <c r="K73" s="38"/>
      <c r="L73" s="22"/>
      <c r="M73" s="286">
        <f t="shared" ca="1" si="5"/>
        <v>2.6000000000000005</v>
      </c>
      <c r="N73" s="23" t="s">
        <v>684</v>
      </c>
      <c r="O73" s="23"/>
      <c r="P73" s="23"/>
      <c r="Q73" s="144">
        <v>1</v>
      </c>
      <c r="R73" s="137">
        <v>2</v>
      </c>
      <c r="S73" s="169">
        <f t="shared" si="6"/>
        <v>5</v>
      </c>
      <c r="T73" s="170"/>
      <c r="U73" s="24">
        <v>0.5</v>
      </c>
      <c r="V73" s="24">
        <v>0.3</v>
      </c>
      <c r="W73" s="24">
        <v>0.2</v>
      </c>
      <c r="X73" s="168">
        <v>5</v>
      </c>
      <c r="Y73" s="169">
        <f t="shared" si="7"/>
        <v>5</v>
      </c>
      <c r="Z73" s="25"/>
      <c r="AA73" s="169">
        <f t="shared" si="8"/>
        <v>5</v>
      </c>
      <c r="AB73" s="23"/>
      <c r="AC73" s="37"/>
      <c r="AD73" s="26" t="str">
        <f t="shared" si="9"/>
        <v/>
      </c>
    </row>
    <row r="74" spans="1:30" ht="43.5" hidden="1" outlineLevel="2" x14ac:dyDescent="0.35">
      <c r="A74" s="93" t="s">
        <v>0</v>
      </c>
      <c r="B74" s="21"/>
      <c r="C74" s="85"/>
      <c r="D74" s="85"/>
      <c r="E74" s="85"/>
      <c r="F74" s="86"/>
      <c r="G74" s="22" t="s">
        <v>23</v>
      </c>
      <c r="H74" s="22" t="s">
        <v>23</v>
      </c>
      <c r="I74" s="23" t="s">
        <v>23</v>
      </c>
      <c r="J74" s="22" t="s">
        <v>23</v>
      </c>
      <c r="K74" s="38"/>
      <c r="L74" s="22"/>
      <c r="M74" s="286">
        <f t="shared" ca="1" si="5"/>
        <v>2.7000000000000006</v>
      </c>
      <c r="N74" s="23" t="s">
        <v>685</v>
      </c>
      <c r="O74" s="23"/>
      <c r="P74" s="23"/>
      <c r="Q74" s="144">
        <v>1</v>
      </c>
      <c r="R74" s="137">
        <v>1</v>
      </c>
      <c r="S74" s="169">
        <f t="shared" si="6"/>
        <v>15</v>
      </c>
      <c r="T74" s="170"/>
      <c r="U74" s="24">
        <v>0</v>
      </c>
      <c r="V74" s="24">
        <v>1</v>
      </c>
      <c r="W74" s="24">
        <v>0</v>
      </c>
      <c r="X74" s="168">
        <v>15</v>
      </c>
      <c r="Y74" s="169">
        <f t="shared" si="7"/>
        <v>15</v>
      </c>
      <c r="Z74" s="25"/>
      <c r="AA74" s="169">
        <f t="shared" si="8"/>
        <v>15</v>
      </c>
      <c r="AB74" s="23"/>
      <c r="AC74" s="37"/>
      <c r="AD74" s="26" t="str">
        <f t="shared" si="9"/>
        <v/>
      </c>
    </row>
    <row r="75" spans="1:30" s="11" customFormat="1" ht="7.5" hidden="1" customHeight="1" outlineLevel="2" x14ac:dyDescent="0.35">
      <c r="A75" s="93" t="s">
        <v>132</v>
      </c>
      <c r="B75" s="18"/>
      <c r="C75" s="78"/>
      <c r="D75" s="78"/>
      <c r="E75" s="78"/>
      <c r="F75" s="78"/>
      <c r="G75" s="10"/>
      <c r="H75" s="10"/>
      <c r="I75" s="10"/>
      <c r="J75" s="10"/>
      <c r="K75" s="10"/>
      <c r="L75" s="10"/>
      <c r="M75" s="287"/>
      <c r="N75" s="10"/>
      <c r="O75" s="10"/>
      <c r="P75" s="10"/>
      <c r="Q75" s="10"/>
      <c r="R75" s="10"/>
      <c r="S75" s="10"/>
      <c r="T75" s="18"/>
      <c r="U75" s="10"/>
      <c r="V75" s="10"/>
      <c r="W75" s="10"/>
      <c r="X75" s="18"/>
      <c r="Y75" s="10"/>
      <c r="Z75" s="10"/>
      <c r="AA75" s="10"/>
      <c r="AB75" s="60"/>
      <c r="AC75" s="60"/>
      <c r="AD75" s="12"/>
    </row>
    <row r="76" spans="1:30" s="17" customFormat="1" ht="15.5" hidden="1" outlineLevel="1" collapsed="1" x14ac:dyDescent="0.35">
      <c r="A76" s="93" t="s">
        <v>100</v>
      </c>
      <c r="B76" s="21"/>
      <c r="C76" s="84"/>
      <c r="D76" s="84"/>
      <c r="E76" s="84"/>
      <c r="F76" s="83"/>
      <c r="G76" s="32"/>
      <c r="H76" s="32"/>
      <c r="I76" s="32"/>
      <c r="J76" s="32"/>
      <c r="K76" s="32"/>
      <c r="L76" s="20">
        <f ca="1">LOOKUP(1000,INDIRECT("L1:"&amp;CELL("address",INDIRECT("R[-1]C",FALSE))))+1</f>
        <v>3</v>
      </c>
      <c r="M76" s="317" t="s">
        <v>687</v>
      </c>
      <c r="N76" s="317"/>
      <c r="O76" s="5"/>
      <c r="P76" s="33"/>
      <c r="Q76" s="33"/>
      <c r="R76" s="33"/>
      <c r="S76" s="33"/>
      <c r="T76" s="167">
        <f>IF($S$6="Exclude", SUMIFS(S77:S83, J77:J83, "&lt;&gt;Yes", G77:G83, "&lt;&gt;Yes"), SUMIFS(S77:S83, J77:J83, "&lt;&gt;Yes"))</f>
        <v>13.5</v>
      </c>
      <c r="U76" s="33"/>
      <c r="V76" s="33"/>
      <c r="W76" s="33"/>
      <c r="X76" s="34"/>
      <c r="Y76" s="35"/>
      <c r="Z76" s="35"/>
      <c r="AA76" s="35"/>
      <c r="AB76" s="240" t="s">
        <v>443</v>
      </c>
      <c r="AC76" s="36"/>
      <c r="AD76" s="26" t="str">
        <f>IF(M76="", "Error: Task name cannot be empty.", "")</f>
        <v/>
      </c>
    </row>
    <row r="77" spans="1:30" s="15" customFormat="1" ht="1.5" hidden="1" customHeight="1" outlineLevel="2" x14ac:dyDescent="0.35">
      <c r="A77" s="93" t="s">
        <v>101</v>
      </c>
      <c r="B77" s="21"/>
      <c r="C77" s="84"/>
      <c r="D77" s="84"/>
      <c r="E77" s="84"/>
      <c r="F77" s="83"/>
      <c r="G77" s="32"/>
      <c r="H77" s="32"/>
      <c r="I77" s="32"/>
      <c r="J77" s="32"/>
      <c r="K77" s="32"/>
      <c r="L77" s="175">
        <f ca="1">L76</f>
        <v>3</v>
      </c>
      <c r="M77" s="176" t="s">
        <v>105</v>
      </c>
      <c r="N77" s="173"/>
      <c r="O77" s="174"/>
      <c r="P77" s="33"/>
      <c r="Q77" s="33"/>
      <c r="R77" s="33"/>
      <c r="S77" s="33"/>
      <c r="T77" s="167"/>
      <c r="U77" s="33"/>
      <c r="V77" s="33"/>
      <c r="W77" s="33"/>
      <c r="X77" s="34"/>
      <c r="Y77" s="35"/>
      <c r="Z77" s="35"/>
      <c r="AA77" s="35"/>
      <c r="AB77" s="36"/>
      <c r="AC77" s="36"/>
      <c r="AD77" s="26"/>
    </row>
    <row r="78" spans="1:30" ht="58" hidden="1" outlineLevel="2" x14ac:dyDescent="0.35">
      <c r="A78" s="93" t="s">
        <v>0</v>
      </c>
      <c r="B78" s="21"/>
      <c r="C78" s="85"/>
      <c r="D78" s="85"/>
      <c r="E78" s="85"/>
      <c r="F78" s="86"/>
      <c r="G78" s="22" t="s">
        <v>23</v>
      </c>
      <c r="H78" s="22" t="s">
        <v>23</v>
      </c>
      <c r="I78" s="23" t="s">
        <v>23</v>
      </c>
      <c r="J78" s="22" t="s">
        <v>23</v>
      </c>
      <c r="K78" s="38"/>
      <c r="L78" s="22"/>
      <c r="M78" s="286" t="str">
        <f t="shared" ref="M78:M82" ca="1" si="10">IFERROR(OFFSET(M78,-1,,1,1)+0.1,OFFSET(M78,-1,-1,1,1)&amp;".1")</f>
        <v>3.1</v>
      </c>
      <c r="N78" s="23" t="s">
        <v>679</v>
      </c>
      <c r="O78" s="23"/>
      <c r="P78" s="23"/>
      <c r="Q78" s="144">
        <v>2</v>
      </c>
      <c r="R78" s="137">
        <v>2</v>
      </c>
      <c r="S78" s="169">
        <f t="shared" ref="S78:S82" si="11">CEILING((IF(J78="Yes", 0, IF(H78="-",AA78,AA78+AA78*VLOOKUP(H78,BUFFERS_BY_TYPE,2,FALSE)))) +
   (IF(J78="Yes", 0, IF(H78="-",AA78,AA78+AA78*VLOOKUP(H78,BUFFERS_BY_TYPE,2,FALSE))))*VLOOKUP($S$5, SALES_CALL_SCALE_ARRAY, 2,FALSE),0.25)</f>
        <v>4.25</v>
      </c>
      <c r="T78" s="170"/>
      <c r="U78" s="24">
        <v>0.25</v>
      </c>
      <c r="V78" s="24">
        <v>0.5</v>
      </c>
      <c r="W78" s="24">
        <v>0.25</v>
      </c>
      <c r="X78" s="168">
        <v>1</v>
      </c>
      <c r="Y78" s="169">
        <f t="shared" ref="Y78:Y82" si="12">CEILING((IF(P78=AS_DEV_EFFORT, DEV_EFFORT*Q78%,
                           IF(P78=AS_DURATION_EFFORT, (MANUAL_DURATION*5)*Q78%,
                                    (IF(Q78&lt;=1,X78,
                                          IF(SUM(U78:W78)=0,(Q78*X78),
                                               (((Q78*U78)*(X78+(X78*EXTRA_FOR_H)))+
                                               ((Q78*V78)*X78)+
                                               ((Q78*W78)*(X78-(X78*LESS_FOR_L)))
                                    )*IF(R78=0,1,R78))))))+Z78), 0.25)</f>
        <v>4.25</v>
      </c>
      <c r="Z78" s="25"/>
      <c r="AA78" s="169">
        <f t="shared" ref="AA78:AA82" si="13">Y78+Y78*VLOOKUP(I78,EXTRAS_ARRAY,2,FALSE)</f>
        <v>4.25</v>
      </c>
      <c r="AB78" s="23"/>
      <c r="AC78" s="37"/>
      <c r="AD78" s="26" t="str">
        <f t="shared" ref="AD78:AD82" si="14">IF(J78&lt;&gt;"Yes",
IF(S78&lt;=0,"Error: Effort value is not defined or is invalid.",
IF(AND(SUM(U78:W78)&gt;0,SUM(U78:W78)&lt;&gt;1),"Error: Complexity % distribution should sum to 100%.",
IF(AND(P78=AS_DEV_EFFORT,X78&lt;&gt;0),"Error: PDs should not be defined when defining as dev effort %.",
IF(AND(P78=AS_DURATION_EFFORT,X78&lt;&gt;0),"Error: PDs should not be defined when defining as duration effort %.","")))))</f>
        <v/>
      </c>
    </row>
    <row r="79" spans="1:30" ht="43.5" hidden="1" outlineLevel="2" x14ac:dyDescent="0.35">
      <c r="A79" s="93" t="s">
        <v>0</v>
      </c>
      <c r="B79" s="21"/>
      <c r="C79" s="85"/>
      <c r="D79" s="85"/>
      <c r="E79" s="85"/>
      <c r="F79" s="86"/>
      <c r="G79" s="22" t="s">
        <v>23</v>
      </c>
      <c r="H79" s="22" t="s">
        <v>23</v>
      </c>
      <c r="I79" s="23" t="s">
        <v>23</v>
      </c>
      <c r="J79" s="22" t="s">
        <v>23</v>
      </c>
      <c r="K79" s="38"/>
      <c r="L79" s="22"/>
      <c r="M79" s="286">
        <f t="shared" ca="1" si="10"/>
        <v>3.2</v>
      </c>
      <c r="N79" s="23" t="s">
        <v>696</v>
      </c>
      <c r="O79" s="23"/>
      <c r="P79" s="23"/>
      <c r="Q79" s="144">
        <v>1</v>
      </c>
      <c r="R79" s="137">
        <v>1</v>
      </c>
      <c r="S79" s="169">
        <f t="shared" si="11"/>
        <v>2</v>
      </c>
      <c r="T79" s="170"/>
      <c r="U79" s="24">
        <v>0.25</v>
      </c>
      <c r="V79" s="24">
        <v>0.65</v>
      </c>
      <c r="W79" s="24">
        <v>0.15</v>
      </c>
      <c r="X79" s="168">
        <v>2</v>
      </c>
      <c r="Y79" s="169">
        <f t="shared" si="12"/>
        <v>2</v>
      </c>
      <c r="Z79" s="25"/>
      <c r="AA79" s="169">
        <f t="shared" si="13"/>
        <v>2</v>
      </c>
      <c r="AB79" s="23"/>
      <c r="AC79" s="37"/>
      <c r="AD79" s="26" t="str">
        <f t="shared" si="14"/>
        <v>Error: Complexity % distribution should sum to 100%.</v>
      </c>
    </row>
    <row r="80" spans="1:30" ht="43.5" hidden="1" outlineLevel="2" x14ac:dyDescent="0.35">
      <c r="A80" s="93" t="s">
        <v>0</v>
      </c>
      <c r="B80" s="21"/>
      <c r="C80" s="85"/>
      <c r="D80" s="85"/>
      <c r="E80" s="85"/>
      <c r="F80" s="86"/>
      <c r="G80" s="22" t="s">
        <v>23</v>
      </c>
      <c r="H80" s="22" t="s">
        <v>23</v>
      </c>
      <c r="I80" s="23" t="s">
        <v>23</v>
      </c>
      <c r="J80" s="22" t="s">
        <v>23</v>
      </c>
      <c r="K80" s="38"/>
      <c r="L80" s="22"/>
      <c r="M80" s="286">
        <f t="shared" ca="1" si="10"/>
        <v>3.3000000000000003</v>
      </c>
      <c r="N80" s="23" t="s">
        <v>689</v>
      </c>
      <c r="O80" s="23"/>
      <c r="P80" s="23"/>
      <c r="Q80" s="144">
        <v>1</v>
      </c>
      <c r="R80" s="137">
        <v>1</v>
      </c>
      <c r="S80" s="169">
        <f t="shared" si="11"/>
        <v>2</v>
      </c>
      <c r="T80" s="170"/>
      <c r="U80" s="24">
        <v>0</v>
      </c>
      <c r="V80" s="24">
        <v>1</v>
      </c>
      <c r="W80" s="24">
        <v>0</v>
      </c>
      <c r="X80" s="168">
        <v>2</v>
      </c>
      <c r="Y80" s="169">
        <f t="shared" si="12"/>
        <v>2</v>
      </c>
      <c r="Z80" s="25"/>
      <c r="AA80" s="169">
        <f t="shared" si="13"/>
        <v>2</v>
      </c>
      <c r="AB80" s="23"/>
      <c r="AC80" s="37"/>
      <c r="AD80" s="26" t="str">
        <f t="shared" si="14"/>
        <v/>
      </c>
    </row>
    <row r="81" spans="1:30" ht="72.5" hidden="1" outlineLevel="2" x14ac:dyDescent="0.35">
      <c r="A81" s="93" t="s">
        <v>0</v>
      </c>
      <c r="B81" s="21"/>
      <c r="C81" s="85"/>
      <c r="D81" s="85"/>
      <c r="E81" s="85"/>
      <c r="F81" s="86"/>
      <c r="G81" s="22" t="s">
        <v>23</v>
      </c>
      <c r="H81" s="22" t="s">
        <v>23</v>
      </c>
      <c r="I81" s="23" t="s">
        <v>23</v>
      </c>
      <c r="J81" s="22" t="s">
        <v>23</v>
      </c>
      <c r="K81" s="38"/>
      <c r="L81" s="22"/>
      <c r="M81" s="286">
        <f t="shared" ca="1" si="10"/>
        <v>3.4000000000000004</v>
      </c>
      <c r="N81" s="23" t="s">
        <v>688</v>
      </c>
      <c r="O81" s="23"/>
      <c r="P81" s="23"/>
      <c r="Q81" s="144">
        <v>2</v>
      </c>
      <c r="R81" s="137">
        <v>2</v>
      </c>
      <c r="S81" s="169">
        <f t="shared" si="11"/>
        <v>4.25</v>
      </c>
      <c r="T81" s="170"/>
      <c r="U81" s="24">
        <v>0.25</v>
      </c>
      <c r="V81" s="24">
        <v>0.5</v>
      </c>
      <c r="W81" s="24">
        <v>0.25</v>
      </c>
      <c r="X81" s="168">
        <v>1</v>
      </c>
      <c r="Y81" s="169">
        <f t="shared" si="12"/>
        <v>4.25</v>
      </c>
      <c r="Z81" s="25"/>
      <c r="AA81" s="169">
        <f t="shared" si="13"/>
        <v>4.25</v>
      </c>
      <c r="AB81" s="23"/>
      <c r="AC81" s="37"/>
      <c r="AD81" s="26" t="str">
        <f t="shared" si="14"/>
        <v/>
      </c>
    </row>
    <row r="82" spans="1:30" ht="43.5" hidden="1" outlineLevel="2" x14ac:dyDescent="0.35">
      <c r="A82" s="93" t="s">
        <v>0</v>
      </c>
      <c r="B82" s="21"/>
      <c r="C82" s="85"/>
      <c r="D82" s="85"/>
      <c r="E82" s="85"/>
      <c r="F82" s="86"/>
      <c r="G82" s="22" t="s">
        <v>23</v>
      </c>
      <c r="H82" s="22" t="s">
        <v>23</v>
      </c>
      <c r="I82" s="23" t="s">
        <v>23</v>
      </c>
      <c r="J82" s="22" t="s">
        <v>23</v>
      </c>
      <c r="K82" s="38"/>
      <c r="L82" s="22"/>
      <c r="M82" s="286">
        <f t="shared" ca="1" si="10"/>
        <v>3.5000000000000004</v>
      </c>
      <c r="N82" s="23" t="s">
        <v>690</v>
      </c>
      <c r="O82" s="23"/>
      <c r="P82" s="23"/>
      <c r="Q82" s="144">
        <v>1</v>
      </c>
      <c r="R82" s="137">
        <v>1</v>
      </c>
      <c r="S82" s="169">
        <f t="shared" si="11"/>
        <v>1</v>
      </c>
      <c r="T82" s="170"/>
      <c r="U82" s="24">
        <v>0</v>
      </c>
      <c r="V82" s="24">
        <v>1</v>
      </c>
      <c r="W82" s="24">
        <v>0</v>
      </c>
      <c r="X82" s="168">
        <v>1</v>
      </c>
      <c r="Y82" s="169">
        <f t="shared" si="12"/>
        <v>1</v>
      </c>
      <c r="Z82" s="25"/>
      <c r="AA82" s="169">
        <f t="shared" si="13"/>
        <v>1</v>
      </c>
      <c r="AB82" s="23"/>
      <c r="AC82" s="37"/>
      <c r="AD82" s="26" t="str">
        <f t="shared" si="14"/>
        <v/>
      </c>
    </row>
    <row r="83" spans="1:30" s="11" customFormat="1" ht="7.5" hidden="1" customHeight="1" outlineLevel="2" x14ac:dyDescent="0.35">
      <c r="A83" s="93" t="s">
        <v>132</v>
      </c>
      <c r="B83" s="18"/>
      <c r="C83" s="78"/>
      <c r="D83" s="78"/>
      <c r="E83" s="78"/>
      <c r="F83" s="78"/>
      <c r="G83" s="10"/>
      <c r="H83" s="10"/>
      <c r="I83" s="10"/>
      <c r="J83" s="10"/>
      <c r="K83" s="10"/>
      <c r="L83" s="10"/>
      <c r="M83" s="287"/>
      <c r="N83" s="10"/>
      <c r="O83" s="10"/>
      <c r="P83" s="10"/>
      <c r="Q83" s="10"/>
      <c r="R83" s="10"/>
      <c r="S83" s="10"/>
      <c r="T83" s="18"/>
      <c r="U83" s="10"/>
      <c r="V83" s="10"/>
      <c r="W83" s="10"/>
      <c r="X83" s="18"/>
      <c r="Y83" s="10"/>
      <c r="Z83" s="10"/>
      <c r="AA83" s="10"/>
      <c r="AB83" s="60"/>
      <c r="AC83" s="60"/>
      <c r="AD83" s="12"/>
    </row>
    <row r="84" spans="1:30" s="17" customFormat="1" ht="15.5" hidden="1" outlineLevel="1" collapsed="1" x14ac:dyDescent="0.35">
      <c r="A84" s="93" t="s">
        <v>100</v>
      </c>
      <c r="B84" s="21"/>
      <c r="C84" s="84"/>
      <c r="D84" s="84"/>
      <c r="E84" s="84"/>
      <c r="F84" s="83"/>
      <c r="G84" s="32"/>
      <c r="H84" s="32"/>
      <c r="I84" s="32"/>
      <c r="J84" s="32"/>
      <c r="K84" s="32"/>
      <c r="L84" s="20">
        <f ca="1">LOOKUP(1000,INDIRECT("L1:"&amp;CELL("address",INDIRECT("R[-1]C",FALSE))))+1</f>
        <v>4</v>
      </c>
      <c r="M84" s="317" t="s">
        <v>467</v>
      </c>
      <c r="N84" s="317"/>
      <c r="O84" s="5"/>
      <c r="P84" s="33"/>
      <c r="Q84" s="33"/>
      <c r="R84" s="33"/>
      <c r="S84" s="33"/>
      <c r="T84" s="167">
        <f>IF($S$6="Exclude", SUMIFS(S85:S91, J85:J91, "&lt;&gt;Yes", G85:G91, "&lt;&gt;Yes"), SUMIFS(S85:S91, J85:J91, "&lt;&gt;Yes"))</f>
        <v>57.25</v>
      </c>
      <c r="U84" s="33"/>
      <c r="V84" s="33"/>
      <c r="W84" s="33"/>
      <c r="X84" s="34"/>
      <c r="Y84" s="35"/>
      <c r="Z84" s="35"/>
      <c r="AA84" s="35"/>
      <c r="AB84" s="240"/>
      <c r="AC84" s="36"/>
      <c r="AD84" s="26" t="str">
        <f>IF(M84="", "Error: Task name cannot be empty.", "")</f>
        <v/>
      </c>
    </row>
    <row r="85" spans="1:30" s="15" customFormat="1" ht="1.5" hidden="1" customHeight="1" outlineLevel="2" x14ac:dyDescent="0.35">
      <c r="A85" s="93" t="s">
        <v>101</v>
      </c>
      <c r="B85" s="21"/>
      <c r="C85" s="84"/>
      <c r="D85" s="84"/>
      <c r="E85" s="84"/>
      <c r="F85" s="83"/>
      <c r="G85" s="32"/>
      <c r="H85" s="32"/>
      <c r="I85" s="32"/>
      <c r="J85" s="32"/>
      <c r="K85" s="32"/>
      <c r="L85" s="175">
        <f ca="1">L84</f>
        <v>4</v>
      </c>
      <c r="M85" s="176" t="s">
        <v>105</v>
      </c>
      <c r="N85" s="173"/>
      <c r="O85" s="174"/>
      <c r="P85" s="33"/>
      <c r="Q85" s="33"/>
      <c r="R85" s="33"/>
      <c r="S85" s="33"/>
      <c r="T85" s="167"/>
      <c r="U85" s="33"/>
      <c r="V85" s="33"/>
      <c r="W85" s="33"/>
      <c r="X85" s="34"/>
      <c r="Y85" s="35"/>
      <c r="Z85" s="35"/>
      <c r="AA85" s="35"/>
      <c r="AB85" s="36"/>
      <c r="AC85" s="36"/>
      <c r="AD85" s="26"/>
    </row>
    <row r="86" spans="1:30" ht="43.5" hidden="1" outlineLevel="2" x14ac:dyDescent="0.35">
      <c r="A86" s="93" t="s">
        <v>0</v>
      </c>
      <c r="B86" s="21"/>
      <c r="C86" s="85"/>
      <c r="D86" s="85"/>
      <c r="E86" s="85"/>
      <c r="F86" s="86"/>
      <c r="G86" s="22" t="s">
        <v>23</v>
      </c>
      <c r="H86" s="22" t="s">
        <v>23</v>
      </c>
      <c r="I86" s="23" t="s">
        <v>23</v>
      </c>
      <c r="J86" s="22" t="s">
        <v>23</v>
      </c>
      <c r="K86" s="38"/>
      <c r="L86" s="22"/>
      <c r="M86" s="286" t="str">
        <f ca="1">IFERROR(OFFSET(M86,-1,,1,1)+0.1,OFFSET(M86,-1,-1,1,1)&amp;".1")</f>
        <v>4.1</v>
      </c>
      <c r="N86" s="23" t="s">
        <v>464</v>
      </c>
      <c r="O86" s="23"/>
      <c r="P86" s="23" t="s">
        <v>558</v>
      </c>
      <c r="Q86" s="144">
        <v>2</v>
      </c>
      <c r="R86" s="137">
        <v>2</v>
      </c>
      <c r="S86" s="169">
        <f>CEILING((IF(J86="Yes", 0, IF(H86="-",AA86,AA86+AA86*VLOOKUP(H86,BUFFERS_BY_TYPE,2,FALSE)))) +
   (IF(J86="Yes", 0, IF(H86="-",AA86,AA86+AA86*VLOOKUP(H86,BUFFERS_BY_TYPE,2,FALSE))))*VLOOKUP($S$5, SALES_CALL_SCALE_ARRAY, 2,FALSE),0.25)</f>
        <v>8.5</v>
      </c>
      <c r="T86" s="170"/>
      <c r="U86" s="24">
        <v>0.1</v>
      </c>
      <c r="V86" s="24">
        <v>0.9</v>
      </c>
      <c r="W86" s="24">
        <v>0</v>
      </c>
      <c r="X86" s="168">
        <v>2</v>
      </c>
      <c r="Y86" s="169">
        <f>CEILING((IF(P86=AS_DEV_EFFORT, DEV_EFFORT*Q86%,
                           IF(P86=AS_DURATION_EFFORT, (MANUAL_DURATION*5)*Q86%,
                                    (IF(Q86&lt;=1,X86,
                                          IF(SUM(U86:W86)=0,(Q86*X86),
                                               (((Q86*U86)*(X86+(X86*EXTRA_FOR_H)))+
                                               ((Q86*V86)*X86)+
                                               ((Q86*W86)*(X86-(X86*LESS_FOR_L)))
                                    )*IF(R86=0,1,R86))))))+Z86), 0.25)</f>
        <v>8.5</v>
      </c>
      <c r="Z86" s="25"/>
      <c r="AA86" s="169">
        <f>Y86+Y86*VLOOKUP(I86,EXTRAS_ARRAY,2,FALSE)</f>
        <v>8.5</v>
      </c>
      <c r="AB86" s="23"/>
      <c r="AC86" s="37"/>
      <c r="AD86" s="26" t="str">
        <f>IF(J86&lt;&gt;"Yes",
IF(S86&lt;=0,"Error: Effort value is not defined or is invalid.",
IF(AND(SUM(U86:W86)&gt;0,SUM(U86:W86)&lt;&gt;1),"Error: Complexity % distribution should sum to 100%.",
IF(AND(P86=AS_DEV_EFFORT,X86&lt;&gt;0),"Error: PDs should not be defined when defining as dev effort %.",
IF(AND(P86=AS_DURATION_EFFORT,X86&lt;&gt;0),"Error: PDs should not be defined when defining as duration effort %.","")))))</f>
        <v/>
      </c>
    </row>
    <row r="87" spans="1:30" ht="43.5" hidden="1" outlineLevel="2" x14ac:dyDescent="0.35">
      <c r="A87" s="93" t="s">
        <v>0</v>
      </c>
      <c r="B87" s="21"/>
      <c r="C87" s="85"/>
      <c r="D87" s="85"/>
      <c r="E87" s="85"/>
      <c r="F87" s="86"/>
      <c r="G87" s="22" t="s">
        <v>23</v>
      </c>
      <c r="H87" s="22" t="s">
        <v>23</v>
      </c>
      <c r="I87" s="23" t="s">
        <v>23</v>
      </c>
      <c r="J87" s="22" t="s">
        <v>23</v>
      </c>
      <c r="K87" s="38"/>
      <c r="L87" s="22"/>
      <c r="M87" s="286">
        <f ca="1">IFERROR(OFFSET(M87,-1,,1,1)+0.1,OFFSET(M87,-1,-1,1,1)&amp;".1")</f>
        <v>4.1999999999999993</v>
      </c>
      <c r="N87" s="23" t="s">
        <v>465</v>
      </c>
      <c r="O87" s="23"/>
      <c r="P87" s="23" t="s">
        <v>558</v>
      </c>
      <c r="Q87" s="144">
        <v>3</v>
      </c>
      <c r="R87" s="137">
        <v>2</v>
      </c>
      <c r="S87" s="169">
        <f>CEILING((IF(J87="Yes", 0, IF(H87="-",AA87,AA87+AA87*VLOOKUP(H87,BUFFERS_BY_TYPE,2,FALSE)))) +
   (IF(J87="Yes", 0, IF(H87="-",AA87,AA87+AA87*VLOOKUP(H87,BUFFERS_BY_TYPE,2,FALSE))))*VLOOKUP($S$5, SALES_CALL_SCALE_ARRAY, 2,FALSE),0.25)</f>
        <v>19</v>
      </c>
      <c r="T87" s="170"/>
      <c r="U87" s="24">
        <v>0.2</v>
      </c>
      <c r="V87" s="24">
        <v>0.6</v>
      </c>
      <c r="W87" s="24">
        <v>0.2</v>
      </c>
      <c r="X87" s="168">
        <v>3</v>
      </c>
      <c r="Y87" s="169">
        <f>CEILING((IF(P87=AS_DEV_EFFORT, DEV_EFFORT*Q87%,
                           IF(P87=AS_DURATION_EFFORT, (MANUAL_DURATION*5)*Q87%,
                                    (IF(Q87&lt;=1,X87,
                                          IF(SUM(U87:W87)=0,(Q87*X87),
                                               (((Q87*U87)*(X87+(X87*EXTRA_FOR_H)))+
                                               ((Q87*V87)*X87)+
                                               ((Q87*W87)*(X87-(X87*LESS_FOR_L)))
                                    )*IF(R87=0,1,R87))))))+Z87), 0.25)</f>
        <v>19</v>
      </c>
      <c r="Z87" s="25"/>
      <c r="AA87" s="169">
        <f>Y87+Y87*VLOOKUP(I87,EXTRAS_ARRAY,2,FALSE)</f>
        <v>19</v>
      </c>
      <c r="AB87" s="23"/>
      <c r="AC87" s="37"/>
      <c r="AD87" s="26" t="str">
        <f>IF(J87&lt;&gt;"Yes",
IF(S87&lt;=0,"Error: Effort value is not defined or is invalid.",
IF(AND(SUM(U87:W87)&gt;0,SUM(U87:W87)&lt;&gt;1),"Error: Complexity % distribution should sum to 100%.",
IF(AND(P87=AS_DEV_EFFORT,X87&lt;&gt;0),"Error: PDs should not be defined when defining as dev effort %.",
IF(AND(P87=AS_DURATION_EFFORT,X87&lt;&gt;0),"Error: PDs should not be defined when defining as duration effort %.","")))))</f>
        <v/>
      </c>
    </row>
    <row r="88" spans="1:30" ht="87" hidden="1" outlineLevel="2" x14ac:dyDescent="0.35">
      <c r="A88" s="93" t="s">
        <v>0</v>
      </c>
      <c r="B88" s="21"/>
      <c r="C88" s="85"/>
      <c r="D88" s="85"/>
      <c r="E88" s="85"/>
      <c r="F88" s="86"/>
      <c r="G88" s="22" t="s">
        <v>23</v>
      </c>
      <c r="H88" s="22" t="s">
        <v>23</v>
      </c>
      <c r="I88" s="23" t="s">
        <v>23</v>
      </c>
      <c r="J88" s="22" t="s">
        <v>23</v>
      </c>
      <c r="K88" s="38"/>
      <c r="L88" s="22"/>
      <c r="M88" s="286">
        <f ca="1">IFERROR(OFFSET(M88,-1,,1,1)+0.1,OFFSET(M88,-1,-1,1,1)&amp;".1")</f>
        <v>4.2999999999999989</v>
      </c>
      <c r="N88" s="23" t="s">
        <v>634</v>
      </c>
      <c r="O88" s="23"/>
      <c r="P88" s="23" t="s">
        <v>558</v>
      </c>
      <c r="Q88" s="144">
        <v>2</v>
      </c>
      <c r="R88" s="137">
        <v>2</v>
      </c>
      <c r="S88" s="169">
        <f>CEILING((IF(J88="Yes", 0, IF(H88="-",AA88,AA88+AA88*VLOOKUP(H88,BUFFERS_BY_TYPE,2,FALSE)))) +
   (IF(J88="Yes", 0, IF(H88="-",AA88,AA88+AA88*VLOOKUP(H88,BUFFERS_BY_TYPE,2,FALSE))))*VLOOKUP($S$5, SALES_CALL_SCALE_ARRAY, 2,FALSE),0.25)</f>
        <v>14.75</v>
      </c>
      <c r="T88" s="170"/>
      <c r="U88" s="24">
        <v>0.2</v>
      </c>
      <c r="V88" s="24">
        <v>0.6</v>
      </c>
      <c r="W88" s="24">
        <v>0.2</v>
      </c>
      <c r="X88" s="168">
        <v>3.5</v>
      </c>
      <c r="Y88" s="169">
        <f>CEILING((IF(P88=AS_DEV_EFFORT, DEV_EFFORT*Q88%,
                           IF(P88=AS_DURATION_EFFORT, (MANUAL_DURATION*5)*Q88%,
                                    (IF(Q88&lt;=1,X88,
                                          IF(SUM(U88:W88)=0,(Q88*X88),
                                               (((Q88*U88)*(X88+(X88*EXTRA_FOR_H)))+
                                               ((Q88*V88)*X88)+
                                               ((Q88*W88)*(X88-(X88*LESS_FOR_L)))
                                    )*IF(R88=0,1,R88))))))+Z88), 0.25)</f>
        <v>14.75</v>
      </c>
      <c r="Z88" s="25"/>
      <c r="AA88" s="169">
        <f>Y88+Y88*VLOOKUP(I88,EXTRAS_ARRAY,2,FALSE)</f>
        <v>14.75</v>
      </c>
      <c r="AB88" s="23"/>
      <c r="AC88" s="37"/>
      <c r="AD88" s="26" t="str">
        <f>IF(J88&lt;&gt;"Yes",
IF(S88&lt;=0,"Error: Effort value is not defined or is invalid.",
IF(AND(SUM(U88:W88)&gt;0,SUM(U88:W88)&lt;&gt;1),"Error: Complexity % distribution should sum to 100%.",
IF(AND(P88=AS_DEV_EFFORT,X88&lt;&gt;0),"Error: PDs should not be defined when defining as dev effort %.",
IF(AND(P88=AS_DURATION_EFFORT,X88&lt;&gt;0),"Error: PDs should not be defined when defining as duration effort %.","")))))</f>
        <v/>
      </c>
    </row>
    <row r="89" spans="1:30" ht="29" hidden="1" outlineLevel="2" x14ac:dyDescent="0.35">
      <c r="A89" s="93" t="s">
        <v>0</v>
      </c>
      <c r="B89" s="21"/>
      <c r="C89" s="85"/>
      <c r="D89" s="85"/>
      <c r="E89" s="85"/>
      <c r="F89" s="86"/>
      <c r="G89" s="22" t="s">
        <v>23</v>
      </c>
      <c r="H89" s="22" t="s">
        <v>23</v>
      </c>
      <c r="I89" s="23" t="s">
        <v>23</v>
      </c>
      <c r="J89" s="22" t="s">
        <v>23</v>
      </c>
      <c r="K89" s="38"/>
      <c r="L89" s="22"/>
      <c r="M89" s="286">
        <f ca="1">IFERROR(OFFSET(M89,-1,,1,1)+0.1,OFFSET(M89,-1,-1,1,1)&amp;".1")</f>
        <v>4.3999999999999986</v>
      </c>
      <c r="N89" s="23" t="s">
        <v>556</v>
      </c>
      <c r="O89" s="23"/>
      <c r="P89" s="23" t="s">
        <v>558</v>
      </c>
      <c r="Q89" s="144">
        <v>2</v>
      </c>
      <c r="R89" s="137">
        <v>2</v>
      </c>
      <c r="S89" s="169">
        <f>CEILING((IF(J89="Yes", 0, IF(H89="-",AA89,AA89+AA89*VLOOKUP(H89,BUFFERS_BY_TYPE,2,FALSE)))) +
   (IF(J89="Yes", 0, IF(H89="-",AA89,AA89+AA89*VLOOKUP(H89,BUFFERS_BY_TYPE,2,FALSE))))*VLOOKUP($S$5, SALES_CALL_SCALE_ARRAY, 2,FALSE),0.25)</f>
        <v>10</v>
      </c>
      <c r="T89" s="170"/>
      <c r="U89" s="24">
        <v>0</v>
      </c>
      <c r="V89" s="24">
        <v>1</v>
      </c>
      <c r="W89" s="24">
        <v>0</v>
      </c>
      <c r="X89" s="168">
        <v>2.5</v>
      </c>
      <c r="Y89" s="169">
        <f>CEILING((IF(P89=AS_DEV_EFFORT, DEV_EFFORT*Q89%,
                           IF(P89=AS_DURATION_EFFORT, (MANUAL_DURATION*5)*Q89%,
                                    (IF(Q89&lt;=1,X89,
                                          IF(SUM(U89:W89)=0,(Q89*X89),
                                               (((Q89*U89)*(X89+(X89*EXTRA_FOR_H)))+
                                               ((Q89*V89)*X89)+
                                               ((Q89*W89)*(X89-(X89*LESS_FOR_L)))
                                    )*IF(R89=0,1,R89))))))+Z89), 0.25)</f>
        <v>10</v>
      </c>
      <c r="Z89" s="25"/>
      <c r="AA89" s="169">
        <f>Y89+Y89*VLOOKUP(I89,EXTRAS_ARRAY,2,FALSE)</f>
        <v>10</v>
      </c>
      <c r="AB89" s="23" t="s">
        <v>675</v>
      </c>
      <c r="AC89" s="37"/>
      <c r="AD89" s="26" t="str">
        <f>IF(J89&lt;&gt;"Yes",
IF(S89&lt;=0,"Error: Effort value is not defined or is invalid.",
IF(AND(SUM(U89:W89)&gt;0,SUM(U89:W89)&lt;&gt;1),"Error: Complexity % distribution should sum to 100%.",
IF(AND(P89=AS_DEV_EFFORT,X89&lt;&gt;0),"Error: PDs should not be defined when defining as dev effort %.",
IF(AND(P89=AS_DURATION_EFFORT,X89&lt;&gt;0),"Error: PDs should not be defined when defining as duration effort %.","")))))</f>
        <v/>
      </c>
    </row>
    <row r="90" spans="1:30" ht="43.5" hidden="1" outlineLevel="2" x14ac:dyDescent="0.35">
      <c r="A90" s="93" t="s">
        <v>0</v>
      </c>
      <c r="B90" s="21"/>
      <c r="C90" s="85"/>
      <c r="D90" s="85"/>
      <c r="E90" s="85"/>
      <c r="F90" s="86"/>
      <c r="G90" s="22" t="s">
        <v>23</v>
      </c>
      <c r="H90" s="22" t="s">
        <v>23</v>
      </c>
      <c r="I90" s="23" t="s">
        <v>23</v>
      </c>
      <c r="J90" s="22" t="s">
        <v>23</v>
      </c>
      <c r="K90" s="38"/>
      <c r="L90" s="22"/>
      <c r="M90" s="286">
        <f ca="1">IFERROR(OFFSET(M90,-1,,1,1)+0.1,OFFSET(M90,-1,-1,1,1)&amp;".1")</f>
        <v>4.4999999999999982</v>
      </c>
      <c r="N90" s="23" t="s">
        <v>466</v>
      </c>
      <c r="O90" s="23"/>
      <c r="P90" s="23"/>
      <c r="Q90" s="144">
        <v>2</v>
      </c>
      <c r="R90" s="137">
        <v>2</v>
      </c>
      <c r="S90" s="169">
        <f>CEILING((IF(J90="Yes", 0, IF(H90="-",AA90,AA90+AA90*VLOOKUP(H90,BUFFERS_BY_TYPE,2,FALSE)))) +
   (IF(J90="Yes", 0, IF(H90="-",AA90,AA90+AA90*VLOOKUP(H90,BUFFERS_BY_TYPE,2,FALSE))))*VLOOKUP($S$5, SALES_CALL_SCALE_ARRAY, 2,FALSE),0.25)</f>
        <v>5</v>
      </c>
      <c r="T90" s="170"/>
      <c r="U90" s="24">
        <v>0</v>
      </c>
      <c r="V90" s="24">
        <v>1</v>
      </c>
      <c r="W90" s="24">
        <v>0</v>
      </c>
      <c r="X90" s="168">
        <v>1.2</v>
      </c>
      <c r="Y90" s="169">
        <f>CEILING((IF(P90=AS_DEV_EFFORT, DEV_EFFORT*Q90%,
                           IF(P90=AS_DURATION_EFFORT, (MANUAL_DURATION*5)*Q90%,
                                    (IF(Q90&lt;=1,X90,
                                          IF(SUM(U90:W90)=0,(Q90*X90),
                                               (((Q90*U90)*(X90+(X90*EXTRA_FOR_H)))+
                                               ((Q90*V90)*X90)+
                                               ((Q90*W90)*(X90-(X90*LESS_FOR_L)))
                                    )*IF(R90=0,1,R90))))))+Z90), 0.25)</f>
        <v>5</v>
      </c>
      <c r="Z90" s="25"/>
      <c r="AA90" s="169">
        <f>Y90+Y90*VLOOKUP(I90,EXTRAS_ARRAY,2,FALSE)</f>
        <v>5</v>
      </c>
      <c r="AB90" s="23"/>
      <c r="AC90" s="37"/>
      <c r="AD90" s="26" t="str">
        <f>IF(J90&lt;&gt;"Yes",
IF(S90&lt;=0,"Error: Effort value is not defined or is invalid.",
IF(AND(SUM(U90:W90)&gt;0,SUM(U90:W90)&lt;&gt;1),"Error: Complexity % distribution should sum to 100%.",
IF(AND(P90=AS_DEV_EFFORT,X90&lt;&gt;0),"Error: PDs should not be defined when defining as dev effort %.",
IF(AND(P90=AS_DURATION_EFFORT,X90&lt;&gt;0),"Error: PDs should not be defined when defining as duration effort %.","")))))</f>
        <v/>
      </c>
    </row>
    <row r="91" spans="1:30" s="11" customFormat="1" ht="7.5" hidden="1" customHeight="1" outlineLevel="2" x14ac:dyDescent="0.35">
      <c r="A91" s="93" t="s">
        <v>132</v>
      </c>
      <c r="B91" s="18"/>
      <c r="C91" s="78"/>
      <c r="D91" s="78"/>
      <c r="E91" s="78"/>
      <c r="F91" s="78"/>
      <c r="G91" s="10"/>
      <c r="H91" s="10"/>
      <c r="I91" s="10"/>
      <c r="J91" s="10"/>
      <c r="K91" s="10"/>
      <c r="L91" s="10"/>
      <c r="M91" s="287"/>
      <c r="N91" s="10"/>
      <c r="O91" s="10"/>
      <c r="P91" s="10"/>
      <c r="Q91" s="10"/>
      <c r="R91" s="10"/>
      <c r="S91" s="10"/>
      <c r="T91" s="18"/>
      <c r="U91" s="10"/>
      <c r="V91" s="10"/>
      <c r="W91" s="10"/>
      <c r="X91" s="18"/>
      <c r="Y91" s="10"/>
      <c r="Z91" s="10"/>
      <c r="AA91" s="10"/>
      <c r="AB91" s="60"/>
      <c r="AC91" s="60"/>
      <c r="AD91" s="12"/>
    </row>
    <row r="92" spans="1:30" s="17" customFormat="1" ht="15.5" hidden="1" outlineLevel="1" collapsed="1" x14ac:dyDescent="0.35">
      <c r="A92" s="93" t="s">
        <v>100</v>
      </c>
      <c r="B92" s="21"/>
      <c r="C92" s="84"/>
      <c r="D92" s="84"/>
      <c r="E92" s="84"/>
      <c r="F92" s="83"/>
      <c r="G92" s="32"/>
      <c r="H92" s="32"/>
      <c r="I92" s="32"/>
      <c r="J92" s="32"/>
      <c r="K92" s="32"/>
      <c r="L92" s="20">
        <f ca="1">LOOKUP(1000,INDIRECT("L1:"&amp;CELL("address",INDIRECT("R[-1]C",FALSE))))+1</f>
        <v>5</v>
      </c>
      <c r="M92" s="317" t="s">
        <v>691</v>
      </c>
      <c r="N92" s="317"/>
      <c r="O92" s="5"/>
      <c r="P92" s="33"/>
      <c r="Q92" s="33"/>
      <c r="R92" s="33"/>
      <c r="S92" s="33"/>
      <c r="T92" s="167">
        <f>IF($S$6="Exclude", SUMIFS(S93:S100, J93:J100, "&lt;&gt;Yes", G93:G100, "&lt;&gt;Yes"), SUMIFS(S93:S100, J93:J100, "&lt;&gt;Yes"))</f>
        <v>30</v>
      </c>
      <c r="U92" s="33"/>
      <c r="V92" s="33"/>
      <c r="W92" s="33"/>
      <c r="X92" s="34"/>
      <c r="Y92" s="35"/>
      <c r="Z92" s="35"/>
      <c r="AA92" s="35"/>
      <c r="AB92" s="240"/>
      <c r="AC92" s="36"/>
      <c r="AD92" s="26" t="str">
        <f>IF(M92="", "Error: Task name cannot be empty.", "")</f>
        <v/>
      </c>
    </row>
    <row r="93" spans="1:30" s="15" customFormat="1" ht="1.5" hidden="1" customHeight="1" outlineLevel="2" x14ac:dyDescent="0.35">
      <c r="A93" s="93" t="s">
        <v>101</v>
      </c>
      <c r="B93" s="21"/>
      <c r="C93" s="84"/>
      <c r="D93" s="84"/>
      <c r="E93" s="84"/>
      <c r="F93" s="83"/>
      <c r="G93" s="32"/>
      <c r="H93" s="32"/>
      <c r="I93" s="32"/>
      <c r="J93" s="32"/>
      <c r="K93" s="32"/>
      <c r="L93" s="175">
        <f ca="1">L92</f>
        <v>5</v>
      </c>
      <c r="M93" s="176" t="s">
        <v>105</v>
      </c>
      <c r="N93" s="173"/>
      <c r="O93" s="174"/>
      <c r="P93" s="33"/>
      <c r="Q93" s="33"/>
      <c r="R93" s="33"/>
      <c r="S93" s="33"/>
      <c r="T93" s="167"/>
      <c r="U93" s="33"/>
      <c r="V93" s="33"/>
      <c r="W93" s="33"/>
      <c r="X93" s="34"/>
      <c r="Y93" s="35"/>
      <c r="Z93" s="35"/>
      <c r="AA93" s="35"/>
      <c r="AB93" s="36"/>
      <c r="AC93" s="36"/>
      <c r="AD93" s="26"/>
    </row>
    <row r="94" spans="1:30" ht="174" hidden="1" outlineLevel="2" x14ac:dyDescent="0.35">
      <c r="A94" s="93" t="s">
        <v>0</v>
      </c>
      <c r="B94" s="21"/>
      <c r="C94" s="85"/>
      <c r="D94" s="85"/>
      <c r="E94" s="85"/>
      <c r="F94" s="86"/>
      <c r="G94" s="22" t="s">
        <v>23</v>
      </c>
      <c r="H94" s="22" t="s">
        <v>23</v>
      </c>
      <c r="I94" s="23" t="s">
        <v>23</v>
      </c>
      <c r="J94" s="22" t="s">
        <v>23</v>
      </c>
      <c r="K94" s="38"/>
      <c r="L94" s="22"/>
      <c r="M94" s="286" t="str">
        <f t="shared" ref="M94" ca="1" si="15">IFERROR(OFFSET(M94,-1,,1,1)+0.1,OFFSET(M94,-1,-1,1,1)&amp;".1")</f>
        <v>5.1</v>
      </c>
      <c r="N94" s="23" t="s">
        <v>635</v>
      </c>
      <c r="O94" s="23"/>
      <c r="P94" s="23" t="s">
        <v>621</v>
      </c>
      <c r="Q94" s="144">
        <v>1</v>
      </c>
      <c r="R94" s="137">
        <v>2</v>
      </c>
      <c r="S94" s="169">
        <f t="shared" ref="S94" si="16">CEILING((IF(J94="Yes", 0, IF(H94="-",AA94,AA94+AA94*VLOOKUP(H94,BUFFERS_BY_TYPE,2,FALSE)))) +
   (IF(J94="Yes", 0, IF(H94="-",AA94,AA94+AA94*VLOOKUP(H94,BUFFERS_BY_TYPE,2,FALSE))))*VLOOKUP($S$5, SALES_CALL_SCALE_ARRAY, 2,FALSE),0.25)</f>
        <v>2.5</v>
      </c>
      <c r="T94" s="170"/>
      <c r="U94" s="24">
        <v>0.1</v>
      </c>
      <c r="V94" s="24">
        <v>0.2</v>
      </c>
      <c r="W94" s="24">
        <v>0.7</v>
      </c>
      <c r="X94" s="168">
        <v>2.5</v>
      </c>
      <c r="Y94" s="169">
        <f t="shared" ref="Y94" si="17">CEILING((IF(P94=AS_DEV_EFFORT, DEV_EFFORT*Q94%,
                           IF(P94=AS_DURATION_EFFORT, (MANUAL_DURATION*5)*Q94%,
                                    (IF(Q94&lt;=1,X94,
                                          IF(SUM(U94:W94)=0,(Q94*X94),
                                               (((Q94*U94)*(X94+(X94*EXTRA_FOR_H)))+
                                               ((Q94*V94)*X94)+
                                               ((Q94*W94)*(X94-(X94*LESS_FOR_L)))
                                    )*IF(R94=0,1,R94))))))+Z94), 0.25)</f>
        <v>2.5</v>
      </c>
      <c r="Z94" s="25"/>
      <c r="AA94" s="169">
        <f t="shared" ref="AA94" si="18">Y94+Y94*VLOOKUP(I94,EXTRAS_ARRAY,2,FALSE)</f>
        <v>2.5</v>
      </c>
      <c r="AB94" s="23"/>
      <c r="AC94" s="37"/>
      <c r="AD94" s="26" t="str">
        <f t="shared" ref="AD94" si="19">IF(J94&lt;&gt;"Yes",
IF(S94&lt;=0,"Error: Effort value is not defined or is invalid.",
IF(AND(SUM(U94:W94)&gt;0,SUM(U94:W94)&lt;&gt;1),"Error: Complexity % distribution should sum to 100%.",
IF(AND(P94=AS_DEV_EFFORT,X94&lt;&gt;0),"Error: PDs should not be defined when defining as dev effort %.",
IF(AND(P94=AS_DURATION_EFFORT,X94&lt;&gt;0),"Error: PDs should not be defined when defining as duration effort %.","")))))</f>
        <v/>
      </c>
    </row>
    <row r="95" spans="1:30" ht="174" hidden="1" outlineLevel="2" x14ac:dyDescent="0.35">
      <c r="A95" s="93" t="s">
        <v>0</v>
      </c>
      <c r="B95" s="21"/>
      <c r="C95" s="85"/>
      <c r="D95" s="85"/>
      <c r="E95" s="85"/>
      <c r="F95" s="86"/>
      <c r="G95" s="22" t="s">
        <v>23</v>
      </c>
      <c r="H95" s="22" t="s">
        <v>23</v>
      </c>
      <c r="I95" s="23" t="s">
        <v>23</v>
      </c>
      <c r="J95" s="22" t="s">
        <v>23</v>
      </c>
      <c r="K95" s="38"/>
      <c r="L95" s="22"/>
      <c r="M95" s="286">
        <f ca="1">IFERROR(OFFSET(M95,-1,,1,1)+0.1,OFFSET(M95,-1,-1,1,1)&amp;".1")</f>
        <v>5.1999999999999993</v>
      </c>
      <c r="N95" s="23" t="s">
        <v>636</v>
      </c>
      <c r="O95" s="23"/>
      <c r="P95" s="23" t="s">
        <v>637</v>
      </c>
      <c r="Q95" s="144">
        <v>1</v>
      </c>
      <c r="R95" s="137">
        <v>2</v>
      </c>
      <c r="S95" s="169">
        <f>CEILING((IF(J95="Yes", 0, IF(H95="-",AA95,AA95+AA95*VLOOKUP(H95,BUFFERS_BY_TYPE,2,FALSE)))) +
   (IF(J95="Yes", 0, IF(H95="-",AA95,AA95+AA95*VLOOKUP(H95,BUFFERS_BY_TYPE,2,FALSE))))*VLOOKUP($S$5, SALES_CALL_SCALE_ARRAY, 2,FALSE),0.25)</f>
        <v>2.5</v>
      </c>
      <c r="T95" s="170"/>
      <c r="U95" s="24">
        <v>0.1</v>
      </c>
      <c r="V95" s="24">
        <v>0.2</v>
      </c>
      <c r="W95" s="24">
        <v>0.7</v>
      </c>
      <c r="X95" s="168">
        <v>2.5</v>
      </c>
      <c r="Y95" s="169">
        <f>CEILING((IF(P95=AS_DEV_EFFORT, DEV_EFFORT*Q95%,
                           IF(P95=AS_DURATION_EFFORT, (MANUAL_DURATION*5)*Q95%,
                                    (IF(Q95&lt;=1,X95,
                                          IF(SUM(U95:W95)=0,(Q95*X95),
                                               (((Q95*U95)*(X95+(X95*EXTRA_FOR_H)))+
                                               ((Q95*V95)*X95)+
                                               ((Q95*W95)*(X95-(X95*LESS_FOR_L)))
                                    )*IF(R95=0,1,R95))))))+Z95), 0.25)</f>
        <v>2.5</v>
      </c>
      <c r="Z95" s="25"/>
      <c r="AA95" s="169">
        <f>Y95+Y95*VLOOKUP(I95,EXTRAS_ARRAY,2,FALSE)</f>
        <v>2.5</v>
      </c>
      <c r="AB95" s="23"/>
      <c r="AC95" s="37"/>
      <c r="AD95" s="26" t="str">
        <f>IF(J95&lt;&gt;"Yes",
IF(S95&lt;=0,"Error: Effort value is not defined or is invalid.",
IF(AND(SUM(U95:W95)&gt;0,SUM(U95:W95)&lt;&gt;1),"Error: Complexity % distribution should sum to 100%.",
IF(AND(P95=AS_DEV_EFFORT,X95&lt;&gt;0),"Error: PDs should not be defined when defining as dev effort %.",
IF(AND(P95=AS_DURATION_EFFORT,X95&lt;&gt;0),"Error: PDs should not be defined when defining as duration effort %.","")))))</f>
        <v/>
      </c>
    </row>
    <row r="96" spans="1:30" ht="174" hidden="1" outlineLevel="2" x14ac:dyDescent="0.35">
      <c r="A96" s="93" t="s">
        <v>0</v>
      </c>
      <c r="B96" s="21"/>
      <c r="C96" s="85"/>
      <c r="D96" s="85"/>
      <c r="E96" s="85"/>
      <c r="F96" s="86"/>
      <c r="G96" s="22" t="s">
        <v>23</v>
      </c>
      <c r="H96" s="22" t="s">
        <v>23</v>
      </c>
      <c r="I96" s="23" t="s">
        <v>23</v>
      </c>
      <c r="J96" s="22" t="s">
        <v>23</v>
      </c>
      <c r="K96" s="38"/>
      <c r="L96" s="22"/>
      <c r="M96" s="286">
        <f ca="1">IFERROR(OFFSET(M96,-1,,1,1)+0.1,OFFSET(M96,-1,-1,1,1)&amp;".1")</f>
        <v>5.2999999999999989</v>
      </c>
      <c r="N96" s="23" t="s">
        <v>638</v>
      </c>
      <c r="O96" s="23"/>
      <c r="P96" s="23" t="s">
        <v>637</v>
      </c>
      <c r="Q96" s="144">
        <v>1</v>
      </c>
      <c r="R96" s="137">
        <v>2</v>
      </c>
      <c r="S96" s="169">
        <f>CEILING((IF(J96="Yes", 0, IF(H96="-",AA96,AA96+AA96*VLOOKUP(H96,BUFFERS_BY_TYPE,2,FALSE)))) +
   (IF(J96="Yes", 0, IF(H96="-",AA96,AA96+AA96*VLOOKUP(H96,BUFFERS_BY_TYPE,2,FALSE))))*VLOOKUP($S$5, SALES_CALL_SCALE_ARRAY, 2,FALSE),0.25)</f>
        <v>2.5</v>
      </c>
      <c r="T96" s="170"/>
      <c r="U96" s="24">
        <v>0.1</v>
      </c>
      <c r="V96" s="24">
        <v>0.2</v>
      </c>
      <c r="W96" s="24">
        <v>0.7</v>
      </c>
      <c r="X96" s="168">
        <v>2.5</v>
      </c>
      <c r="Y96" s="169">
        <f>CEILING((IF(P96=AS_DEV_EFFORT, DEV_EFFORT*Q96%,
                           IF(P96=AS_DURATION_EFFORT, (MANUAL_DURATION*5)*Q96%,
                                    (IF(Q96&lt;=1,X96,
                                          IF(SUM(U96:W96)=0,(Q96*X96),
                                               (((Q96*U96)*(X96+(X96*EXTRA_FOR_H)))+
                                               ((Q96*V96)*X96)+
                                               ((Q96*W96)*(X96-(X96*LESS_FOR_L)))
                                    )*IF(R96=0,1,R96))))))+Z96), 0.25)</f>
        <v>2.5</v>
      </c>
      <c r="Z96" s="25"/>
      <c r="AA96" s="169">
        <f>Y96+Y96*VLOOKUP(I96,EXTRAS_ARRAY,2,FALSE)</f>
        <v>2.5</v>
      </c>
      <c r="AB96" s="23"/>
      <c r="AC96" s="37"/>
      <c r="AD96" s="26" t="str">
        <f>IF(J96&lt;&gt;"Yes",
IF(S96&lt;=0,"Error: Effort value is not defined or is invalid.",
IF(AND(SUM(U96:W96)&gt;0,SUM(U96:W96)&lt;&gt;1),"Error: Complexity % distribution should sum to 100%.",
IF(AND(P96=AS_DEV_EFFORT,X96&lt;&gt;0),"Error: PDs should not be defined when defining as dev effort %.",
IF(AND(P96=AS_DURATION_EFFORT,X96&lt;&gt;0),"Error: PDs should not be defined when defining as duration effort %.","")))))</f>
        <v/>
      </c>
    </row>
    <row r="97" spans="1:30" ht="87" hidden="1" outlineLevel="2" x14ac:dyDescent="0.35">
      <c r="A97" s="93" t="s">
        <v>0</v>
      </c>
      <c r="B97" s="21"/>
      <c r="C97" s="85"/>
      <c r="D97" s="85"/>
      <c r="E97" s="85"/>
      <c r="F97" s="86"/>
      <c r="G97" s="22" t="s">
        <v>23</v>
      </c>
      <c r="H97" s="22" t="s">
        <v>23</v>
      </c>
      <c r="I97" s="23" t="s">
        <v>23</v>
      </c>
      <c r="J97" s="22" t="s">
        <v>23</v>
      </c>
      <c r="K97" s="38"/>
      <c r="L97" s="22"/>
      <c r="M97" s="286">
        <f ca="1">IFERROR(OFFSET(M97,-1,,1,1)+0.1,OFFSET(M97,-1,-1,1,1)&amp;".1")</f>
        <v>5.3999999999999986</v>
      </c>
      <c r="N97" s="23" t="s">
        <v>639</v>
      </c>
      <c r="O97" s="23"/>
      <c r="P97" s="23" t="s">
        <v>637</v>
      </c>
      <c r="Q97" s="144">
        <v>1</v>
      </c>
      <c r="R97" s="137">
        <v>2</v>
      </c>
      <c r="S97" s="169">
        <f>CEILING((IF(J97="Yes", 0, IF(H97="-",AA97,AA97+AA97*VLOOKUP(H97,BUFFERS_BY_TYPE,2,FALSE)))) +
   (IF(J97="Yes", 0, IF(H97="-",AA97,AA97+AA97*VLOOKUP(H97,BUFFERS_BY_TYPE,2,FALSE))))*VLOOKUP($S$5, SALES_CALL_SCALE_ARRAY, 2,FALSE),0.25)</f>
        <v>2.5</v>
      </c>
      <c r="T97" s="170"/>
      <c r="U97" s="24">
        <v>0.1</v>
      </c>
      <c r="V97" s="24">
        <v>0.2</v>
      </c>
      <c r="W97" s="24">
        <v>0.7</v>
      </c>
      <c r="X97" s="168">
        <v>2.5</v>
      </c>
      <c r="Y97" s="169">
        <f>CEILING((IF(P97=AS_DEV_EFFORT, DEV_EFFORT*Q97%,
                           IF(P97=AS_DURATION_EFFORT, (MANUAL_DURATION*5)*Q97%,
                                    (IF(Q97&lt;=1,X97,
                                          IF(SUM(U97:W97)=0,(Q97*X97),
                                               (((Q97*U97)*(X97+(X97*EXTRA_FOR_H)))+
                                               ((Q97*V97)*X97)+
                                               ((Q97*W97)*(X97-(X97*LESS_FOR_L)))
                                    )*IF(R97=0,1,R97))))))+Z97), 0.25)</f>
        <v>2.5</v>
      </c>
      <c r="Z97" s="25"/>
      <c r="AA97" s="169">
        <f>Y97+Y97*VLOOKUP(I97,EXTRAS_ARRAY,2,FALSE)</f>
        <v>2.5</v>
      </c>
      <c r="AB97" s="23"/>
      <c r="AC97" s="37"/>
      <c r="AD97" s="26" t="str">
        <f>IF(J97&lt;&gt;"Yes",
IF(S97&lt;=0,"Error: Effort value is not defined or is invalid.",
IF(AND(SUM(U97:W97)&gt;0,SUM(U97:W97)&lt;&gt;1),"Error: Complexity % distribution should sum to 100%.",
IF(AND(P97=AS_DEV_EFFORT,X97&lt;&gt;0),"Error: PDs should not be defined when defining as dev effort %.",
IF(AND(P97=AS_DURATION_EFFORT,X97&lt;&gt;0),"Error: PDs should not be defined when defining as duration effort %.","")))))</f>
        <v/>
      </c>
    </row>
    <row r="98" spans="1:30" ht="246.5" hidden="1" outlineLevel="2" x14ac:dyDescent="0.35">
      <c r="A98" s="93" t="s">
        <v>0</v>
      </c>
      <c r="B98" s="21"/>
      <c r="C98" s="85"/>
      <c r="D98" s="85"/>
      <c r="E98" s="85"/>
      <c r="F98" s="86"/>
      <c r="G98" s="22" t="s">
        <v>23</v>
      </c>
      <c r="H98" s="22" t="s">
        <v>23</v>
      </c>
      <c r="I98" s="23" t="s">
        <v>23</v>
      </c>
      <c r="J98" s="22" t="s">
        <v>23</v>
      </c>
      <c r="K98" s="38"/>
      <c r="L98" s="22"/>
      <c r="M98" s="286">
        <f ca="1">IFERROR(OFFSET(M98,-1,,1,1)+0.1,OFFSET(M98,-1,-1,1,1)&amp;".1")</f>
        <v>5.4999999999999982</v>
      </c>
      <c r="N98" s="23" t="s">
        <v>677</v>
      </c>
      <c r="O98" s="23"/>
      <c r="P98" s="23"/>
      <c r="Q98" s="144">
        <v>2</v>
      </c>
      <c r="R98" s="137">
        <v>2</v>
      </c>
      <c r="S98" s="169">
        <f>CEILING((IF(J98="Yes", 0, IF(H98="-",AA98,AA98+AA98*VLOOKUP(H98,BUFFERS_BY_TYPE,2,FALSE)))) +
   (IF(J98="Yes", 0, IF(H98="-",AA98,AA98+AA98*VLOOKUP(H98,BUFFERS_BY_TYPE,2,FALSE))))*VLOOKUP($S$5, SALES_CALL_SCALE_ARRAY, 2,FALSE),0.25)</f>
        <v>10</v>
      </c>
      <c r="T98" s="170"/>
      <c r="U98" s="24">
        <v>0</v>
      </c>
      <c r="V98" s="24">
        <v>1</v>
      </c>
      <c r="W98" s="24">
        <v>0</v>
      </c>
      <c r="X98" s="168">
        <v>2.5</v>
      </c>
      <c r="Y98" s="169">
        <f>CEILING((IF(P98=AS_DEV_EFFORT, DEV_EFFORT*Q98%,
                           IF(P98=AS_DURATION_EFFORT, (MANUAL_DURATION*5)*Q98%,
                                    (IF(Q98&lt;=1,X98,
                                          IF(SUM(U98:W98)=0,(Q98*X98),
                                               (((Q98*U98)*(X98+(X98*EXTRA_FOR_H)))+
                                               ((Q98*V98)*X98)+
                                               ((Q98*W98)*(X98-(X98*LESS_FOR_L)))
                                    )*IF(R98=0,1,R98))))))+Z98), 0.25)</f>
        <v>10</v>
      </c>
      <c r="Z98" s="25"/>
      <c r="AA98" s="169">
        <f>Y98+Y98*VLOOKUP(I98,EXTRAS_ARRAY,2,FALSE)</f>
        <v>10</v>
      </c>
      <c r="AB98" s="23"/>
      <c r="AC98" s="37"/>
      <c r="AD98" s="26" t="str">
        <f>IF(J98&lt;&gt;"Yes",
IF(S98&lt;=0,"Error: Effort value is not defined or is invalid.",
IF(AND(SUM(U98:W98)&gt;0,SUM(U98:W98)&lt;&gt;1),"Error: Complexity % distribution should sum to 100%.",
IF(AND(P98=AS_DEV_EFFORT,X98&lt;&gt;0),"Error: PDs should not be defined when defining as dev effort %.",
IF(AND(P98=AS_DURATION_EFFORT,X98&lt;&gt;0),"Error: PDs should not be defined when defining as duration effort %.","")))))</f>
        <v/>
      </c>
    </row>
    <row r="99" spans="1:30" ht="87" hidden="1" outlineLevel="2" x14ac:dyDescent="0.35">
      <c r="A99" s="93" t="s">
        <v>0</v>
      </c>
      <c r="B99" s="21"/>
      <c r="C99" s="85"/>
      <c r="D99" s="85"/>
      <c r="E99" s="85"/>
      <c r="F99" s="86"/>
      <c r="G99" s="22" t="s">
        <v>23</v>
      </c>
      <c r="H99" s="22" t="s">
        <v>23</v>
      </c>
      <c r="I99" s="23" t="s">
        <v>23</v>
      </c>
      <c r="J99" s="22" t="s">
        <v>23</v>
      </c>
      <c r="K99" s="38"/>
      <c r="L99" s="22"/>
      <c r="M99" s="286">
        <f t="shared" ref="M99" ca="1" si="20">IFERROR(OFFSET(M99,-1,,1,1)+0.1,OFFSET(M99,-1,-1,1,1)&amp;".1")</f>
        <v>5.5999999999999979</v>
      </c>
      <c r="N99" s="23" t="s">
        <v>652</v>
      </c>
      <c r="O99" s="23"/>
      <c r="P99" s="23" t="s">
        <v>558</v>
      </c>
      <c r="Q99" s="144">
        <v>1</v>
      </c>
      <c r="R99" s="137">
        <v>2</v>
      </c>
      <c r="S99" s="169">
        <f t="shared" ref="S99" si="21">CEILING((IF(J99="Yes", 0, IF(H99="-",AA99,AA99+AA99*VLOOKUP(H99,BUFFERS_BY_TYPE,2,FALSE)))) +
   (IF(J99="Yes", 0, IF(H99="-",AA99,AA99+AA99*VLOOKUP(H99,BUFFERS_BY_TYPE,2,FALSE))))*VLOOKUP($S$5, SALES_CALL_SCALE_ARRAY, 2,FALSE),0.25)</f>
        <v>10</v>
      </c>
      <c r="T99" s="170"/>
      <c r="U99" s="24">
        <v>0.1</v>
      </c>
      <c r="V99" s="24">
        <v>0.5</v>
      </c>
      <c r="W99" s="24">
        <v>0.4</v>
      </c>
      <c r="X99" s="168">
        <v>10</v>
      </c>
      <c r="Y99" s="169">
        <f t="shared" ref="Y99" si="22">CEILING((IF(P99=AS_DEV_EFFORT, DEV_EFFORT*Q99%,
                           IF(P99=AS_DURATION_EFFORT, (MANUAL_DURATION*5)*Q99%,
                                    (IF(Q99&lt;=1,X99,
                                          IF(SUM(U99:W99)=0,(Q99*X99),
                                               (((Q99*U99)*(X99+(X99*EXTRA_FOR_H)))+
                                               ((Q99*V99)*X99)+
                                               ((Q99*W99)*(X99-(X99*LESS_FOR_L)))
                                    )*IF(R99=0,1,R99))))))+Z99), 0.25)</f>
        <v>10</v>
      </c>
      <c r="Z99" s="25"/>
      <c r="AA99" s="169">
        <f t="shared" ref="AA99" si="23">Y99+Y99*VLOOKUP(I99,EXTRAS_ARRAY,2,FALSE)</f>
        <v>10</v>
      </c>
      <c r="AB99" s="23"/>
      <c r="AC99" s="37"/>
      <c r="AD99" s="26" t="str">
        <f t="shared" ref="AD99" si="24">IF(J99&lt;&gt;"Yes",
IF(S99&lt;=0,"Error: Effort value is not defined or is invalid.",
IF(AND(SUM(U99:W99)&gt;0,SUM(U99:W99)&lt;&gt;1),"Error: Complexity % distribution should sum to 100%.",
IF(AND(P99=AS_DEV_EFFORT,X99&lt;&gt;0),"Error: PDs should not be defined when defining as dev effort %.",
IF(AND(P99=AS_DURATION_EFFORT,X99&lt;&gt;0),"Error: PDs should not be defined when defining as duration effort %.","")))))</f>
        <v/>
      </c>
    </row>
    <row r="100" spans="1:30" s="11" customFormat="1" ht="7.5" hidden="1" customHeight="1" outlineLevel="2" x14ac:dyDescent="0.35">
      <c r="A100" s="93" t="s">
        <v>132</v>
      </c>
      <c r="B100" s="18"/>
      <c r="C100" s="78"/>
      <c r="D100" s="78"/>
      <c r="E100" s="78"/>
      <c r="F100" s="78"/>
      <c r="G100" s="10"/>
      <c r="H100" s="10"/>
      <c r="I100" s="10"/>
      <c r="J100" s="10"/>
      <c r="K100" s="10"/>
      <c r="L100" s="10"/>
      <c r="M100" s="287"/>
      <c r="N100" s="10"/>
      <c r="O100" s="10"/>
      <c r="P100" s="10"/>
      <c r="Q100" s="10"/>
      <c r="R100" s="10"/>
      <c r="S100" s="10"/>
      <c r="T100" s="18"/>
      <c r="U100" s="10"/>
      <c r="V100" s="10"/>
      <c r="W100" s="10"/>
      <c r="X100" s="18"/>
      <c r="Y100" s="10"/>
      <c r="Z100" s="10"/>
      <c r="AA100" s="10"/>
      <c r="AB100" s="60"/>
      <c r="AC100" s="60"/>
      <c r="AD100" s="12"/>
    </row>
    <row r="101" spans="1:30" s="17" customFormat="1" ht="15.5" hidden="1" outlineLevel="1" collapsed="1" x14ac:dyDescent="0.35">
      <c r="A101" s="93" t="s">
        <v>100</v>
      </c>
      <c r="B101" s="21"/>
      <c r="C101" s="84"/>
      <c r="D101" s="84"/>
      <c r="E101" s="84"/>
      <c r="F101" s="83"/>
      <c r="G101" s="32"/>
      <c r="H101" s="32"/>
      <c r="I101" s="32"/>
      <c r="J101" s="32"/>
      <c r="K101" s="32"/>
      <c r="L101" s="20">
        <f ca="1">LOOKUP(1000,INDIRECT("L1:"&amp;CELL("address",INDIRECT("R[-1]C",FALSE))))+1</f>
        <v>6</v>
      </c>
      <c r="M101" s="317" t="s">
        <v>693</v>
      </c>
      <c r="N101" s="317"/>
      <c r="O101" s="5"/>
      <c r="P101" s="33"/>
      <c r="Q101" s="33"/>
      <c r="R101" s="33"/>
      <c r="S101" s="33"/>
      <c r="T101" s="167">
        <f>IF($S$6="Exclude", SUMIFS(S102:S104, J102:J104, "&lt;&gt;Yes", G102:G104, "&lt;&gt;Yes"), SUMIFS(S102:S104, J102:J104, "&lt;&gt;Yes"))</f>
        <v>9</v>
      </c>
      <c r="U101" s="33"/>
      <c r="V101" s="33"/>
      <c r="W101" s="33"/>
      <c r="X101" s="34"/>
      <c r="Y101" s="35"/>
      <c r="Z101" s="35"/>
      <c r="AA101" s="35"/>
      <c r="AB101" s="240" t="s">
        <v>443</v>
      </c>
      <c r="AC101" s="36"/>
      <c r="AD101" s="26" t="str">
        <f>IF(M101="", "Error: Task name cannot be empty.", "")</f>
        <v/>
      </c>
    </row>
    <row r="102" spans="1:30" s="15" customFormat="1" ht="1.5" hidden="1" customHeight="1" outlineLevel="2" x14ac:dyDescent="0.35">
      <c r="A102" s="93" t="s">
        <v>101</v>
      </c>
      <c r="B102" s="21"/>
      <c r="C102" s="84"/>
      <c r="D102" s="84"/>
      <c r="E102" s="84"/>
      <c r="F102" s="83"/>
      <c r="G102" s="32"/>
      <c r="H102" s="32"/>
      <c r="I102" s="32"/>
      <c r="J102" s="32"/>
      <c r="K102" s="32"/>
      <c r="L102" s="175">
        <f ca="1">L101</f>
        <v>6</v>
      </c>
      <c r="M102" s="176" t="s">
        <v>105</v>
      </c>
      <c r="N102" s="173"/>
      <c r="O102" s="174"/>
      <c r="P102" s="33"/>
      <c r="Q102" s="33"/>
      <c r="R102" s="33"/>
      <c r="S102" s="33"/>
      <c r="T102" s="167"/>
      <c r="U102" s="33"/>
      <c r="V102" s="33"/>
      <c r="W102" s="33"/>
      <c r="X102" s="34"/>
      <c r="Y102" s="35"/>
      <c r="Z102" s="35"/>
      <c r="AA102" s="35"/>
      <c r="AB102" s="36"/>
      <c r="AC102" s="36"/>
      <c r="AD102" s="26"/>
    </row>
    <row r="103" spans="1:30" ht="246.5" hidden="1" outlineLevel="2" x14ac:dyDescent="0.35">
      <c r="A103" s="93" t="s">
        <v>0</v>
      </c>
      <c r="B103" s="21"/>
      <c r="C103" s="85"/>
      <c r="D103" s="85"/>
      <c r="E103" s="85"/>
      <c r="F103" s="86"/>
      <c r="G103" s="22" t="s">
        <v>23</v>
      </c>
      <c r="H103" s="22" t="s">
        <v>23</v>
      </c>
      <c r="I103" s="23" t="s">
        <v>23</v>
      </c>
      <c r="J103" s="22" t="s">
        <v>23</v>
      </c>
      <c r="K103" s="38"/>
      <c r="L103" s="22"/>
      <c r="M103" s="286" t="str">
        <f ca="1">IFERROR(OFFSET(M103,-1,,1,1)+0.1,OFFSET(M103,-1,-1,1,1)&amp;".1")</f>
        <v>6.1</v>
      </c>
      <c r="N103" s="23" t="s">
        <v>640</v>
      </c>
      <c r="O103" s="23"/>
      <c r="P103" s="23"/>
      <c r="Q103" s="144">
        <v>2</v>
      </c>
      <c r="R103" s="137">
        <v>2</v>
      </c>
      <c r="S103" s="169">
        <f>CEILING((IF(J103="Yes", 0, IF(H103="-",AA103,AA103+AA103*VLOOKUP(H103,BUFFERS_BY_TYPE,2,FALSE)))) +
   (IF(J103="Yes", 0, IF(H103="-",AA103,AA103+AA103*VLOOKUP(H103,BUFFERS_BY_TYPE,2,FALSE))))*VLOOKUP($S$5, SALES_CALL_SCALE_ARRAY, 2,FALSE),0.25)</f>
        <v>9</v>
      </c>
      <c r="T103" s="170"/>
      <c r="U103" s="24">
        <v>0.3</v>
      </c>
      <c r="V103" s="24">
        <v>0.5</v>
      </c>
      <c r="W103" s="24">
        <v>0.2</v>
      </c>
      <c r="X103" s="168">
        <v>2</v>
      </c>
      <c r="Y103" s="169">
        <f>CEILING((IF(P103=AS_DEV_EFFORT, DEV_EFFORT*Q103%,
                           IF(P103=AS_DURATION_EFFORT, (MANUAL_DURATION*5)*Q103%,
                                    (IF(Q103&lt;=1,X103,
                                          IF(SUM(U103:W103)=0,(Q103*X103),
                                               (((Q103*U103)*(X103+(X103*EXTRA_FOR_H)))+
                                               ((Q103*V103)*X103)+
                                               ((Q103*W103)*(X103-(X103*LESS_FOR_L)))
                                    )*IF(R103=0,1,R103))))))+Z103), 0.25)</f>
        <v>9</v>
      </c>
      <c r="Z103" s="25"/>
      <c r="AA103" s="169">
        <f>Y103+Y103*VLOOKUP(I103,EXTRAS_ARRAY,2,FALSE)</f>
        <v>9</v>
      </c>
      <c r="AB103" s="23"/>
      <c r="AC103" s="37"/>
      <c r="AD103" s="26" t="str">
        <f>IF(J103&lt;&gt;"Yes",
IF(S103&lt;=0,"Error: Effort value is not defined or is invalid.",
IF(AND(SUM(U103:W103)&gt;0,SUM(U103:W103)&lt;&gt;1),"Error: Complexity % distribution should sum to 100%.",
IF(AND(P103=AS_DEV_EFFORT,X103&lt;&gt;0),"Error: PDs should not be defined when defining as dev effort %.",
IF(AND(P103=AS_DURATION_EFFORT,X103&lt;&gt;0),"Error: PDs should not be defined when defining as duration effort %.","")))))</f>
        <v/>
      </c>
    </row>
    <row r="104" spans="1:30" s="11" customFormat="1" ht="7.5" hidden="1" customHeight="1" outlineLevel="2" x14ac:dyDescent="0.35">
      <c r="A104" s="93" t="s">
        <v>132</v>
      </c>
      <c r="B104" s="18"/>
      <c r="C104" s="78"/>
      <c r="D104" s="78"/>
      <c r="E104" s="78"/>
      <c r="F104" s="78"/>
      <c r="G104" s="10"/>
      <c r="H104" s="10"/>
      <c r="I104" s="10"/>
      <c r="J104" s="10"/>
      <c r="K104" s="10"/>
      <c r="L104" s="10"/>
      <c r="M104" s="287"/>
      <c r="N104" s="10"/>
      <c r="O104" s="10"/>
      <c r="P104" s="10"/>
      <c r="Q104" s="10"/>
      <c r="R104" s="10"/>
      <c r="S104" s="10"/>
      <c r="T104" s="18"/>
      <c r="U104" s="10"/>
      <c r="V104" s="10"/>
      <c r="W104" s="10"/>
      <c r="X104" s="18"/>
      <c r="Y104" s="10"/>
      <c r="Z104" s="10"/>
      <c r="AA104" s="10"/>
      <c r="AB104" s="60"/>
      <c r="AC104" s="60"/>
      <c r="AD104" s="12"/>
    </row>
    <row r="105" spans="1:30" s="17" customFormat="1" ht="15.5" hidden="1" outlineLevel="1" collapsed="1" x14ac:dyDescent="0.35">
      <c r="A105" s="93" t="s">
        <v>100</v>
      </c>
      <c r="B105" s="21"/>
      <c r="C105" s="84"/>
      <c r="D105" s="84"/>
      <c r="E105" s="84"/>
      <c r="F105" s="83"/>
      <c r="G105" s="32"/>
      <c r="H105" s="32"/>
      <c r="I105" s="32"/>
      <c r="J105" s="32"/>
      <c r="K105" s="32"/>
      <c r="L105" s="20">
        <f ca="1">LOOKUP(1000,INDIRECT("L1:"&amp;CELL("address",INDIRECT("R[-1]C",FALSE))))+1</f>
        <v>7</v>
      </c>
      <c r="M105" s="317" t="s">
        <v>692</v>
      </c>
      <c r="N105" s="317"/>
      <c r="O105" s="5"/>
      <c r="P105" s="33"/>
      <c r="Q105" s="33"/>
      <c r="R105" s="33"/>
      <c r="S105" s="33"/>
      <c r="T105" s="167">
        <f>IF($S$6="Exclude", SUMIFS(S106:S112, J106:J112, "&lt;&gt;Yes", G106:G112, "&lt;&gt;Yes"), SUMIFS(S106:S112, J106:J112, "&lt;&gt;Yes"))</f>
        <v>16</v>
      </c>
      <c r="U105" s="33"/>
      <c r="V105" s="33"/>
      <c r="W105" s="33"/>
      <c r="X105" s="34"/>
      <c r="Y105" s="35"/>
      <c r="Z105" s="35"/>
      <c r="AA105" s="35"/>
      <c r="AB105" s="240" t="s">
        <v>443</v>
      </c>
      <c r="AC105" s="36"/>
      <c r="AD105" s="26" t="str">
        <f>IF(M105="", "Error: Task name cannot be empty.", "")</f>
        <v/>
      </c>
    </row>
    <row r="106" spans="1:30" s="15" customFormat="1" ht="1.5" hidden="1" customHeight="1" outlineLevel="2" x14ac:dyDescent="0.35">
      <c r="A106" s="93" t="s">
        <v>101</v>
      </c>
      <c r="B106" s="21"/>
      <c r="C106" s="84"/>
      <c r="D106" s="84"/>
      <c r="E106" s="84"/>
      <c r="F106" s="83"/>
      <c r="G106" s="32"/>
      <c r="H106" s="32"/>
      <c r="I106" s="32"/>
      <c r="J106" s="32"/>
      <c r="K106" s="32"/>
      <c r="L106" s="175">
        <f ca="1">L105</f>
        <v>7</v>
      </c>
      <c r="M106" s="176" t="s">
        <v>105</v>
      </c>
      <c r="N106" s="173"/>
      <c r="O106" s="174"/>
      <c r="P106" s="33"/>
      <c r="Q106" s="33"/>
      <c r="R106" s="33"/>
      <c r="S106" s="33"/>
      <c r="T106" s="167"/>
      <c r="U106" s="33"/>
      <c r="V106" s="33"/>
      <c r="W106" s="33"/>
      <c r="X106" s="34"/>
      <c r="Y106" s="35"/>
      <c r="Z106" s="35"/>
      <c r="AA106" s="35"/>
      <c r="AB106" s="36"/>
      <c r="AC106" s="36"/>
      <c r="AD106" s="26"/>
    </row>
    <row r="107" spans="1:30" ht="87" hidden="1" outlineLevel="2" x14ac:dyDescent="0.35">
      <c r="A107" s="93" t="s">
        <v>0</v>
      </c>
      <c r="B107" s="21"/>
      <c r="C107" s="85"/>
      <c r="D107" s="85"/>
      <c r="E107" s="85"/>
      <c r="F107" s="86"/>
      <c r="G107" s="22" t="s">
        <v>23</v>
      </c>
      <c r="H107" s="22" t="s">
        <v>23</v>
      </c>
      <c r="I107" s="23" t="s">
        <v>23</v>
      </c>
      <c r="J107" s="22" t="s">
        <v>23</v>
      </c>
      <c r="K107" s="38"/>
      <c r="L107" s="22"/>
      <c r="M107" s="286" t="str">
        <f ca="1">IFERROR(OFFSET(M107,-1,,1,1)+0.1,OFFSET(M107,-1,-1,1,1)&amp;".1")</f>
        <v>7.1</v>
      </c>
      <c r="N107" s="23" t="s">
        <v>641</v>
      </c>
      <c r="O107" s="23"/>
      <c r="P107" s="23"/>
      <c r="Q107" s="144">
        <v>1</v>
      </c>
      <c r="R107" s="137">
        <v>2</v>
      </c>
      <c r="S107" s="169">
        <f>CEILING((IF(J107="Yes", 0, IF(H107="-",AA107,AA107+AA107*VLOOKUP(H107,BUFFERS_BY_TYPE,2,FALSE)))) +
   (IF(J107="Yes", 0, IF(H107="-",AA107,AA107+AA107*VLOOKUP(H107,BUFFERS_BY_TYPE,2,FALSE))))*VLOOKUP($S$5, SALES_CALL_SCALE_ARRAY, 2,FALSE),0.25)</f>
        <v>3</v>
      </c>
      <c r="T107" s="170"/>
      <c r="U107" s="24">
        <v>0</v>
      </c>
      <c r="V107" s="24">
        <v>1</v>
      </c>
      <c r="W107" s="24">
        <v>0</v>
      </c>
      <c r="X107" s="168">
        <v>3</v>
      </c>
      <c r="Y107" s="169">
        <f>CEILING((IF(P107=AS_DEV_EFFORT, DEV_EFFORT*Q107%,
                           IF(P107=AS_DURATION_EFFORT, (MANUAL_DURATION*5)*Q107%,
                                    (IF(Q107&lt;=1,X107,
                                          IF(SUM(U107:W107)=0,(Q107*X107),
                                               (((Q107*U107)*(X107+(X107*EXTRA_FOR_H)))+
                                               ((Q107*V107)*X107)+
                                               ((Q107*W107)*(X107-(X107*LESS_FOR_L)))
                                    )*IF(R107=0,1,R107))))))+Z107), 0.25)</f>
        <v>3</v>
      </c>
      <c r="Z107" s="25"/>
      <c r="AA107" s="169">
        <f>Y107+Y107*VLOOKUP(I107,EXTRAS_ARRAY,2,FALSE)</f>
        <v>3</v>
      </c>
      <c r="AB107" s="23"/>
      <c r="AC107" s="37"/>
      <c r="AD107" s="26" t="str">
        <f>IF(J107&lt;&gt;"Yes",
IF(S107&lt;=0,"Error: Effort value is not defined or is invalid.",
IF(AND(SUM(U107:W107)&gt;0,SUM(U107:W107)&lt;&gt;1),"Error: Complexity % distribution should sum to 100%.",
IF(AND(P107=AS_DEV_EFFORT,X107&lt;&gt;0),"Error: PDs should not be defined when defining as dev effort %.",
IF(AND(P107=AS_DURATION_EFFORT,X107&lt;&gt;0),"Error: PDs should not be defined when defining as duration effort %.","")))))</f>
        <v/>
      </c>
    </row>
    <row r="108" spans="1:30" ht="116" hidden="1" outlineLevel="2" x14ac:dyDescent="0.35">
      <c r="A108" s="93" t="s">
        <v>0</v>
      </c>
      <c r="B108" s="21"/>
      <c r="C108" s="85"/>
      <c r="D108" s="85"/>
      <c r="E108" s="85"/>
      <c r="F108" s="86"/>
      <c r="G108" s="22" t="s">
        <v>23</v>
      </c>
      <c r="H108" s="22" t="s">
        <v>23</v>
      </c>
      <c r="I108" s="23" t="s">
        <v>23</v>
      </c>
      <c r="J108" s="22" t="s">
        <v>23</v>
      </c>
      <c r="K108" s="38"/>
      <c r="L108" s="22"/>
      <c r="M108" s="286">
        <f ca="1">IFERROR(OFFSET(M108,-1,,1,1)+0.1,OFFSET(M108,-1,-1,1,1)&amp;".1")</f>
        <v>7.1999999999999993</v>
      </c>
      <c r="N108" s="23" t="s">
        <v>642</v>
      </c>
      <c r="O108" s="23"/>
      <c r="P108" s="23"/>
      <c r="Q108" s="144">
        <v>1</v>
      </c>
      <c r="R108" s="137">
        <v>2</v>
      </c>
      <c r="S108" s="169">
        <f>CEILING((IF(J108="Yes", 0, IF(H108="-",AA108,AA108+AA108*VLOOKUP(H108,BUFFERS_BY_TYPE,2,FALSE)))) +
   (IF(J108="Yes", 0, IF(H108="-",AA108,AA108+AA108*VLOOKUP(H108,BUFFERS_BY_TYPE,2,FALSE))))*VLOOKUP($S$5, SALES_CALL_SCALE_ARRAY, 2,FALSE),0.25)</f>
        <v>4</v>
      </c>
      <c r="T108" s="170"/>
      <c r="U108" s="24">
        <v>0</v>
      </c>
      <c r="V108" s="24">
        <v>1</v>
      </c>
      <c r="W108" s="24">
        <v>0</v>
      </c>
      <c r="X108" s="168">
        <v>4</v>
      </c>
      <c r="Y108" s="169">
        <f>CEILING((IF(P108=AS_DEV_EFFORT, DEV_EFFORT*Q108%,
                           IF(P108=AS_DURATION_EFFORT, (MANUAL_DURATION*5)*Q108%,
                                    (IF(Q108&lt;=1,X108,
                                          IF(SUM(U108:W108)=0,(Q108*X108),
                                               (((Q108*U108)*(X108+(X108*EXTRA_FOR_H)))+
                                               ((Q108*V108)*X108)+
                                               ((Q108*W108)*(X108-(X108*LESS_FOR_L)))
                                    )*IF(R108=0,1,R108))))))+Z108), 0.25)</f>
        <v>4</v>
      </c>
      <c r="Z108" s="25"/>
      <c r="AA108" s="169">
        <f>Y108+Y108*VLOOKUP(I108,EXTRAS_ARRAY,2,FALSE)</f>
        <v>4</v>
      </c>
      <c r="AB108" s="23"/>
      <c r="AC108" s="37"/>
      <c r="AD108" s="26" t="str">
        <f>IF(J108&lt;&gt;"Yes",
IF(S108&lt;=0,"Error: Effort value is not defined or is invalid.",
IF(AND(SUM(U108:W108)&gt;0,SUM(U108:W108)&lt;&gt;1),"Error: Complexity % distribution should sum to 100%.",
IF(AND(P108=AS_DEV_EFFORT,X108&lt;&gt;0),"Error: PDs should not be defined when defining as dev effort %.",
IF(AND(P108=AS_DURATION_EFFORT,X108&lt;&gt;0),"Error: PDs should not be defined when defining as duration effort %.","")))))</f>
        <v/>
      </c>
    </row>
    <row r="109" spans="1:30" ht="87" hidden="1" outlineLevel="2" x14ac:dyDescent="0.35">
      <c r="A109" s="93" t="s">
        <v>0</v>
      </c>
      <c r="B109" s="21"/>
      <c r="C109" s="85"/>
      <c r="D109" s="85"/>
      <c r="E109" s="85"/>
      <c r="F109" s="86"/>
      <c r="G109" s="22" t="s">
        <v>23</v>
      </c>
      <c r="H109" s="22" t="s">
        <v>23</v>
      </c>
      <c r="I109" s="23" t="s">
        <v>23</v>
      </c>
      <c r="J109" s="22" t="s">
        <v>23</v>
      </c>
      <c r="K109" s="38"/>
      <c r="L109" s="22"/>
      <c r="M109" s="286">
        <f ca="1">IFERROR(OFFSET(M109,-1,,1,1)+0.1,OFFSET(M109,-1,-1,1,1)&amp;".1")</f>
        <v>7.2999999999999989</v>
      </c>
      <c r="N109" s="23" t="s">
        <v>643</v>
      </c>
      <c r="O109" s="23"/>
      <c r="P109" s="23"/>
      <c r="Q109" s="144">
        <v>1</v>
      </c>
      <c r="R109" s="137">
        <v>2</v>
      </c>
      <c r="S109" s="169">
        <f>CEILING((IF(J109="Yes", 0, IF(H109="-",AA109,AA109+AA109*VLOOKUP(H109,BUFFERS_BY_TYPE,2,FALSE)))) +
   (IF(J109="Yes", 0, IF(H109="-",AA109,AA109+AA109*VLOOKUP(H109,BUFFERS_BY_TYPE,2,FALSE))))*VLOOKUP($S$5, SALES_CALL_SCALE_ARRAY, 2,FALSE),0.25)</f>
        <v>3</v>
      </c>
      <c r="T109" s="170"/>
      <c r="U109" s="24">
        <v>0</v>
      </c>
      <c r="V109" s="24">
        <v>1</v>
      </c>
      <c r="W109" s="24">
        <v>0</v>
      </c>
      <c r="X109" s="168">
        <v>3</v>
      </c>
      <c r="Y109" s="169">
        <f>CEILING((IF(P109=AS_DEV_EFFORT, DEV_EFFORT*Q109%,
                           IF(P109=AS_DURATION_EFFORT, (MANUAL_DURATION*5)*Q109%,
                                    (IF(Q109&lt;=1,X109,
                                          IF(SUM(U109:W109)=0,(Q109*X109),
                                               (((Q109*U109)*(X109+(X109*EXTRA_FOR_H)))+
                                               ((Q109*V109)*X109)+
                                               ((Q109*W109)*(X109-(X109*LESS_FOR_L)))
                                    )*IF(R109=0,1,R109))))))+Z109), 0.25)</f>
        <v>3</v>
      </c>
      <c r="Z109" s="25"/>
      <c r="AA109" s="169">
        <f>Y109+Y109*VLOOKUP(I109,EXTRAS_ARRAY,2,FALSE)</f>
        <v>3</v>
      </c>
      <c r="AB109" s="23"/>
      <c r="AC109" s="37"/>
      <c r="AD109" s="26" t="str">
        <f>IF(J109&lt;&gt;"Yes",
IF(S109&lt;=0,"Error: Effort value is not defined or is invalid.",
IF(AND(SUM(U109:W109)&gt;0,SUM(U109:W109)&lt;&gt;1),"Error: Complexity % distribution should sum to 100%.",
IF(AND(P109=AS_DEV_EFFORT,X109&lt;&gt;0),"Error: PDs should not be defined when defining as dev effort %.",
IF(AND(P109=AS_DURATION_EFFORT,X109&lt;&gt;0),"Error: PDs should not be defined when defining as duration effort %.","")))))</f>
        <v/>
      </c>
    </row>
    <row r="110" spans="1:30" ht="101.5" hidden="1" outlineLevel="2" x14ac:dyDescent="0.35">
      <c r="A110" s="93" t="s">
        <v>0</v>
      </c>
      <c r="B110" s="21"/>
      <c r="C110" s="85"/>
      <c r="D110" s="85"/>
      <c r="E110" s="85"/>
      <c r="F110" s="86"/>
      <c r="G110" s="22" t="s">
        <v>23</v>
      </c>
      <c r="H110" s="22" t="s">
        <v>23</v>
      </c>
      <c r="I110" s="23" t="s">
        <v>23</v>
      </c>
      <c r="J110" s="22" t="s">
        <v>23</v>
      </c>
      <c r="K110" s="38"/>
      <c r="L110" s="22"/>
      <c r="M110" s="286">
        <f ca="1">IFERROR(OFFSET(M110,-1,,1,1)+0.1,OFFSET(M110,-1,-1,1,1)&amp;".1")</f>
        <v>7.3999999999999986</v>
      </c>
      <c r="N110" s="23" t="s">
        <v>644</v>
      </c>
      <c r="O110" s="23"/>
      <c r="P110" s="23"/>
      <c r="Q110" s="144">
        <v>1</v>
      </c>
      <c r="R110" s="137">
        <v>2</v>
      </c>
      <c r="S110" s="169">
        <f>CEILING((IF(J110="Yes", 0, IF(H110="-",AA110,AA110+AA110*VLOOKUP(H110,BUFFERS_BY_TYPE,2,FALSE)))) +
   (IF(J110="Yes", 0, IF(H110="-",AA110,AA110+AA110*VLOOKUP(H110,BUFFERS_BY_TYPE,2,FALSE))))*VLOOKUP($S$5, SALES_CALL_SCALE_ARRAY, 2,FALSE),0.25)</f>
        <v>4</v>
      </c>
      <c r="T110" s="170"/>
      <c r="U110" s="24">
        <v>0</v>
      </c>
      <c r="V110" s="24">
        <v>1</v>
      </c>
      <c r="W110" s="24">
        <v>0</v>
      </c>
      <c r="X110" s="168">
        <v>4</v>
      </c>
      <c r="Y110" s="169">
        <f>CEILING((IF(P110=AS_DEV_EFFORT, DEV_EFFORT*Q110%,
                           IF(P110=AS_DURATION_EFFORT, (MANUAL_DURATION*5)*Q110%,
                                    (IF(Q110&lt;=1,X110,
                                          IF(SUM(U110:W110)=0,(Q110*X110),
                                               (((Q110*U110)*(X110+(X110*EXTRA_FOR_H)))+
                                               ((Q110*V110)*X110)+
                                               ((Q110*W110)*(X110-(X110*LESS_FOR_L)))
                                    )*IF(R110=0,1,R110))))))+Z110), 0.25)</f>
        <v>4</v>
      </c>
      <c r="Z110" s="25"/>
      <c r="AA110" s="169">
        <f>Y110+Y110*VLOOKUP(I110,EXTRAS_ARRAY,2,FALSE)</f>
        <v>4</v>
      </c>
      <c r="AB110" s="23"/>
      <c r="AC110" s="37"/>
      <c r="AD110" s="26" t="str">
        <f>IF(J110&lt;&gt;"Yes",
IF(S110&lt;=0,"Error: Effort value is not defined or is invalid.",
IF(AND(SUM(U110:W110)&gt;0,SUM(U110:W110)&lt;&gt;1),"Error: Complexity % distribution should sum to 100%.",
IF(AND(P110=AS_DEV_EFFORT,X110&lt;&gt;0),"Error: PDs should not be defined when defining as dev effort %.",
IF(AND(P110=AS_DURATION_EFFORT,X110&lt;&gt;0),"Error: PDs should not be defined when defining as duration effort %.","")))))</f>
        <v/>
      </c>
    </row>
    <row r="111" spans="1:30" ht="58" hidden="1" outlineLevel="2" x14ac:dyDescent="0.35">
      <c r="A111" s="93" t="s">
        <v>0</v>
      </c>
      <c r="B111" s="21"/>
      <c r="C111" s="85"/>
      <c r="D111" s="85"/>
      <c r="E111" s="85"/>
      <c r="F111" s="86"/>
      <c r="G111" s="22" t="s">
        <v>23</v>
      </c>
      <c r="H111" s="22" t="s">
        <v>23</v>
      </c>
      <c r="I111" s="23" t="s">
        <v>23</v>
      </c>
      <c r="J111" s="22" t="s">
        <v>23</v>
      </c>
      <c r="K111" s="38"/>
      <c r="L111" s="22"/>
      <c r="M111" s="286">
        <f ca="1">IFERROR(OFFSET(M111,-1,,1,1)+0.1,OFFSET(M111,-1,-1,1,1)&amp;".1")</f>
        <v>7.4999999999999982</v>
      </c>
      <c r="N111" s="23" t="s">
        <v>645</v>
      </c>
      <c r="O111" s="23"/>
      <c r="P111" s="23"/>
      <c r="Q111" s="144">
        <v>1</v>
      </c>
      <c r="R111" s="137">
        <v>2</v>
      </c>
      <c r="S111" s="169">
        <f>CEILING((IF(J111="Yes", 0, IF(H111="-",AA111,AA111+AA111*VLOOKUP(H111,BUFFERS_BY_TYPE,2,FALSE)))) +
   (IF(J111="Yes", 0, IF(H111="-",AA111,AA111+AA111*VLOOKUP(H111,BUFFERS_BY_TYPE,2,FALSE))))*VLOOKUP($S$5, SALES_CALL_SCALE_ARRAY, 2,FALSE),0.25)</f>
        <v>2</v>
      </c>
      <c r="T111" s="170"/>
      <c r="U111" s="24">
        <v>0</v>
      </c>
      <c r="V111" s="24">
        <v>1</v>
      </c>
      <c r="W111" s="24">
        <v>0</v>
      </c>
      <c r="X111" s="168">
        <v>2</v>
      </c>
      <c r="Y111" s="169">
        <f>CEILING((IF(P111=AS_DEV_EFFORT, DEV_EFFORT*Q111%,
                           IF(P111=AS_DURATION_EFFORT, (MANUAL_DURATION*5)*Q111%,
                                    (IF(Q111&lt;=1,X111,
                                          IF(SUM(U111:W111)=0,(Q111*X111),
                                               (((Q111*U111)*(X111+(X111*EXTRA_FOR_H)))+
                                               ((Q111*V111)*X111)+
                                               ((Q111*W111)*(X111-(X111*LESS_FOR_L)))
                                    )*IF(R111=0,1,R111))))))+Z111), 0.25)</f>
        <v>2</v>
      </c>
      <c r="Z111" s="25"/>
      <c r="AA111" s="169">
        <f>Y111+Y111*VLOOKUP(I111,EXTRAS_ARRAY,2,FALSE)</f>
        <v>2</v>
      </c>
      <c r="AB111" s="23"/>
      <c r="AC111" s="37"/>
      <c r="AD111" s="26" t="str">
        <f>IF(J111&lt;&gt;"Yes",
IF(S111&lt;=0,"Error: Effort value is not defined or is invalid.",
IF(AND(SUM(U111:W111)&gt;0,SUM(U111:W111)&lt;&gt;1),"Error: Complexity % distribution should sum to 100%.",
IF(AND(P111=AS_DEV_EFFORT,X111&lt;&gt;0),"Error: PDs should not be defined when defining as dev effort %.",
IF(AND(P111=AS_DURATION_EFFORT,X111&lt;&gt;0),"Error: PDs should not be defined when defining as duration effort %.","")))))</f>
        <v/>
      </c>
    </row>
    <row r="112" spans="1:30" s="11" customFormat="1" ht="7.5" hidden="1" customHeight="1" outlineLevel="2" x14ac:dyDescent="0.35">
      <c r="A112" s="93" t="s">
        <v>132</v>
      </c>
      <c r="B112" s="18"/>
      <c r="C112" s="78"/>
      <c r="D112" s="78"/>
      <c r="E112" s="78"/>
      <c r="F112" s="78"/>
      <c r="G112" s="10"/>
      <c r="H112" s="10"/>
      <c r="I112" s="10"/>
      <c r="J112" s="10"/>
      <c r="K112" s="10"/>
      <c r="L112" s="10"/>
      <c r="M112" s="287"/>
      <c r="N112" s="10"/>
      <c r="O112" s="10"/>
      <c r="P112" s="10"/>
      <c r="Q112" s="10"/>
      <c r="R112" s="10"/>
      <c r="S112" s="10"/>
      <c r="T112" s="18"/>
      <c r="U112" s="10"/>
      <c r="V112" s="10"/>
      <c r="W112" s="10"/>
      <c r="X112" s="18"/>
      <c r="Y112" s="10"/>
      <c r="Z112" s="10"/>
      <c r="AA112" s="10"/>
      <c r="AB112" s="60"/>
      <c r="AC112" s="60"/>
      <c r="AD112" s="12"/>
    </row>
    <row r="113" spans="1:30" s="17" customFormat="1" ht="15.5" hidden="1" outlineLevel="1" collapsed="1" x14ac:dyDescent="0.35">
      <c r="A113" s="93" t="s">
        <v>100</v>
      </c>
      <c r="B113" s="21"/>
      <c r="C113" s="84"/>
      <c r="D113" s="84"/>
      <c r="E113" s="84"/>
      <c r="F113" s="83"/>
      <c r="G113" s="32"/>
      <c r="H113" s="32"/>
      <c r="I113" s="32"/>
      <c r="J113" s="32"/>
      <c r="K113" s="32"/>
      <c r="L113" s="20">
        <f ca="1">LOOKUP(1000,INDIRECT("L1:"&amp;CELL("address",INDIRECT("R[-1]C",FALSE))))+1</f>
        <v>8</v>
      </c>
      <c r="M113" s="317" t="s">
        <v>694</v>
      </c>
      <c r="N113" s="317"/>
      <c r="O113" s="5"/>
      <c r="P113" s="33"/>
      <c r="Q113" s="33"/>
      <c r="R113" s="33"/>
      <c r="S113" s="33"/>
      <c r="T113" s="167">
        <f>IF($S$6="Exclude", SUMIFS(S114:S124, J114:J124, "&lt;&gt;Yes", G114:G124, "&lt;&gt;Yes"), SUMIFS(S114:S124, J114:J124, "&lt;&gt;Yes"))</f>
        <v>59</v>
      </c>
      <c r="U113" s="33"/>
      <c r="V113" s="33"/>
      <c r="W113" s="33"/>
      <c r="X113" s="34"/>
      <c r="Y113" s="35"/>
      <c r="Z113" s="35"/>
      <c r="AA113" s="35"/>
      <c r="AB113" s="240" t="s">
        <v>443</v>
      </c>
      <c r="AC113" s="36"/>
      <c r="AD113" s="26" t="str">
        <f>IF(M113="", "Error: Task name cannot be empty.", "")</f>
        <v/>
      </c>
    </row>
    <row r="114" spans="1:30" s="15" customFormat="1" ht="1.5" hidden="1" customHeight="1" outlineLevel="2" x14ac:dyDescent="0.35">
      <c r="A114" s="93" t="s">
        <v>101</v>
      </c>
      <c r="B114" s="21"/>
      <c r="C114" s="84"/>
      <c r="D114" s="84"/>
      <c r="E114" s="84"/>
      <c r="F114" s="83"/>
      <c r="G114" s="32"/>
      <c r="H114" s="32"/>
      <c r="I114" s="32"/>
      <c r="J114" s="32"/>
      <c r="K114" s="32"/>
      <c r="L114" s="175">
        <f ca="1">L113</f>
        <v>8</v>
      </c>
      <c r="M114" s="176" t="s">
        <v>105</v>
      </c>
      <c r="N114" s="173"/>
      <c r="O114" s="174"/>
      <c r="P114" s="33"/>
      <c r="Q114" s="33"/>
      <c r="R114" s="33"/>
      <c r="S114" s="33"/>
      <c r="T114" s="167"/>
      <c r="U114" s="33"/>
      <c r="V114" s="33"/>
      <c r="W114" s="33"/>
      <c r="X114" s="34"/>
      <c r="Y114" s="35"/>
      <c r="Z114" s="35"/>
      <c r="AA114" s="35"/>
      <c r="AB114" s="36"/>
      <c r="AC114" s="36"/>
      <c r="AD114" s="26"/>
    </row>
    <row r="115" spans="1:30" ht="72.5" hidden="1" outlineLevel="2" x14ac:dyDescent="0.35">
      <c r="A115" s="93" t="s">
        <v>0</v>
      </c>
      <c r="B115" s="21"/>
      <c r="C115" s="85"/>
      <c r="D115" s="85"/>
      <c r="E115" s="85"/>
      <c r="F115" s="86"/>
      <c r="G115" s="22" t="s">
        <v>23</v>
      </c>
      <c r="H115" s="22" t="s">
        <v>23</v>
      </c>
      <c r="I115" s="23" t="s">
        <v>23</v>
      </c>
      <c r="J115" s="22" t="s">
        <v>23</v>
      </c>
      <c r="K115" s="38"/>
      <c r="L115" s="22"/>
      <c r="M115" s="286" t="str">
        <f t="shared" ref="M115:M123" ca="1" si="25">IFERROR(OFFSET(M115,-1,,1,1)+0.1,OFFSET(M115,-1,-1,1,1)&amp;".1")</f>
        <v>8.1</v>
      </c>
      <c r="N115" s="23" t="s">
        <v>678</v>
      </c>
      <c r="O115" s="23"/>
      <c r="P115" s="23"/>
      <c r="Q115" s="144">
        <v>1</v>
      </c>
      <c r="R115" s="137">
        <v>2</v>
      </c>
      <c r="S115" s="169">
        <f t="shared" ref="S115:S123" si="26">CEILING((IF(J115="Yes", 0, IF(H115="-",AA115,AA115+AA115*VLOOKUP(H115,BUFFERS_BY_TYPE,2,FALSE)))) +
   (IF(J115="Yes", 0, IF(H115="-",AA115,AA115+AA115*VLOOKUP(H115,BUFFERS_BY_TYPE,2,FALSE))))*VLOOKUP($S$5, SALES_CALL_SCALE_ARRAY, 2,FALSE),0.25)</f>
        <v>5</v>
      </c>
      <c r="T115" s="170"/>
      <c r="U115" s="24">
        <v>0.25</v>
      </c>
      <c r="V115" s="24">
        <v>0.5</v>
      </c>
      <c r="W115" s="24">
        <v>0.25</v>
      </c>
      <c r="X115" s="168">
        <v>5</v>
      </c>
      <c r="Y115" s="169">
        <f t="shared" ref="Y115:Y123" si="27">CEILING((IF(P115=AS_DEV_EFFORT, DEV_EFFORT*Q115%,
                           IF(P115=AS_DURATION_EFFORT, (MANUAL_DURATION*5)*Q115%,
                                    (IF(Q115&lt;=1,X115,
                                          IF(SUM(U115:W115)=0,(Q115*X115),
                                               (((Q115*U115)*(X115+(X115*EXTRA_FOR_H)))+
                                               ((Q115*V115)*X115)+
                                               ((Q115*W115)*(X115-(X115*LESS_FOR_L)))
                                    )*IF(R115=0,1,R115))))))+Z115), 0.25)</f>
        <v>5</v>
      </c>
      <c r="Z115" s="25"/>
      <c r="AA115" s="169">
        <f t="shared" ref="AA115:AA123" si="28">Y115+Y115*VLOOKUP(I115,EXTRAS_ARRAY,2,FALSE)</f>
        <v>5</v>
      </c>
      <c r="AB115" s="23"/>
      <c r="AC115" s="37"/>
      <c r="AD115" s="26" t="str">
        <f t="shared" ref="AD115:AD123" si="29">IF(J115&lt;&gt;"Yes",
IF(S115&lt;=0,"Error: Effort value is not defined or is invalid.",
IF(AND(SUM(U115:W115)&gt;0,SUM(U115:W115)&lt;&gt;1),"Error: Complexity % distribution should sum to 100%.",
IF(AND(P115=AS_DEV_EFFORT,X115&lt;&gt;0),"Error: PDs should not be defined when defining as dev effort %.",
IF(AND(P115=AS_DURATION_EFFORT,X115&lt;&gt;0),"Error: PDs should not be defined when defining as duration effort %.","")))))</f>
        <v/>
      </c>
    </row>
    <row r="116" spans="1:30" ht="87" hidden="1" outlineLevel="2" x14ac:dyDescent="0.35">
      <c r="A116" s="93" t="s">
        <v>0</v>
      </c>
      <c r="B116" s="21"/>
      <c r="C116" s="85"/>
      <c r="D116" s="85"/>
      <c r="E116" s="85"/>
      <c r="F116" s="86"/>
      <c r="G116" s="22" t="s">
        <v>23</v>
      </c>
      <c r="H116" s="22" t="s">
        <v>23</v>
      </c>
      <c r="I116" s="23" t="s">
        <v>23</v>
      </c>
      <c r="J116" s="22" t="s">
        <v>23</v>
      </c>
      <c r="K116" s="38"/>
      <c r="L116" s="22"/>
      <c r="M116" s="286">
        <f t="shared" ca="1" si="25"/>
        <v>8.1999999999999993</v>
      </c>
      <c r="N116" s="23" t="s">
        <v>647</v>
      </c>
      <c r="O116" s="23"/>
      <c r="P116" s="23"/>
      <c r="Q116" s="144">
        <v>1</v>
      </c>
      <c r="R116" s="137">
        <v>2</v>
      </c>
      <c r="S116" s="169">
        <f t="shared" si="26"/>
        <v>15</v>
      </c>
      <c r="T116" s="170"/>
      <c r="U116" s="24">
        <v>0.2</v>
      </c>
      <c r="V116" s="24">
        <v>0.5</v>
      </c>
      <c r="W116" s="24">
        <v>0.3</v>
      </c>
      <c r="X116" s="168">
        <v>15</v>
      </c>
      <c r="Y116" s="169">
        <f t="shared" si="27"/>
        <v>15</v>
      </c>
      <c r="Z116" s="25"/>
      <c r="AA116" s="169">
        <f t="shared" si="28"/>
        <v>15</v>
      </c>
      <c r="AB116" s="23"/>
      <c r="AC116" s="37"/>
      <c r="AD116" s="26" t="str">
        <f t="shared" si="29"/>
        <v/>
      </c>
    </row>
    <row r="117" spans="1:30" ht="43.5" hidden="1" outlineLevel="2" x14ac:dyDescent="0.35">
      <c r="A117" s="93" t="s">
        <v>0</v>
      </c>
      <c r="B117" s="21"/>
      <c r="C117" s="85"/>
      <c r="D117" s="85"/>
      <c r="E117" s="85"/>
      <c r="F117" s="86"/>
      <c r="G117" s="22" t="s">
        <v>23</v>
      </c>
      <c r="H117" s="22" t="s">
        <v>23</v>
      </c>
      <c r="I117" s="23" t="s">
        <v>23</v>
      </c>
      <c r="J117" s="22" t="s">
        <v>23</v>
      </c>
      <c r="K117" s="38"/>
      <c r="L117" s="22"/>
      <c r="M117" s="286">
        <f t="shared" ca="1" si="25"/>
        <v>8.2999999999999989</v>
      </c>
      <c r="N117" s="23" t="s">
        <v>646</v>
      </c>
      <c r="O117" s="23"/>
      <c r="P117" s="23"/>
      <c r="Q117" s="144">
        <v>1</v>
      </c>
      <c r="R117" s="137">
        <v>2</v>
      </c>
      <c r="S117" s="169">
        <f t="shared" si="26"/>
        <v>7</v>
      </c>
      <c r="T117" s="170"/>
      <c r="U117" s="24">
        <v>0.1</v>
      </c>
      <c r="V117" s="24">
        <v>0.7</v>
      </c>
      <c r="W117" s="24">
        <v>0.2</v>
      </c>
      <c r="X117" s="168">
        <v>7</v>
      </c>
      <c r="Y117" s="169">
        <f t="shared" si="27"/>
        <v>7</v>
      </c>
      <c r="Z117" s="25"/>
      <c r="AA117" s="169">
        <f t="shared" si="28"/>
        <v>7</v>
      </c>
      <c r="AB117" s="23"/>
      <c r="AC117" s="37"/>
      <c r="AD117" s="26" t="str">
        <f t="shared" si="29"/>
        <v/>
      </c>
    </row>
    <row r="118" spans="1:30" ht="87" hidden="1" outlineLevel="2" x14ac:dyDescent="0.35">
      <c r="A118" s="93" t="s">
        <v>0</v>
      </c>
      <c r="B118" s="21"/>
      <c r="C118" s="85"/>
      <c r="D118" s="85"/>
      <c r="E118" s="85"/>
      <c r="F118" s="86"/>
      <c r="G118" s="22" t="s">
        <v>23</v>
      </c>
      <c r="H118" s="22" t="s">
        <v>23</v>
      </c>
      <c r="I118" s="23" t="s">
        <v>23</v>
      </c>
      <c r="J118" s="22" t="s">
        <v>23</v>
      </c>
      <c r="K118" s="38"/>
      <c r="L118" s="22"/>
      <c r="M118" s="286">
        <f t="shared" ca="1" si="25"/>
        <v>8.3999999999999986</v>
      </c>
      <c r="N118" s="23" t="s">
        <v>649</v>
      </c>
      <c r="O118" s="23"/>
      <c r="P118" s="23"/>
      <c r="Q118" s="144">
        <v>1</v>
      </c>
      <c r="R118" s="137">
        <v>2</v>
      </c>
      <c r="S118" s="169">
        <f t="shared" si="26"/>
        <v>8</v>
      </c>
      <c r="T118" s="170"/>
      <c r="U118" s="24">
        <v>0.1</v>
      </c>
      <c r="V118" s="24">
        <v>0.7</v>
      </c>
      <c r="W118" s="24">
        <v>0.2</v>
      </c>
      <c r="X118" s="168">
        <v>8</v>
      </c>
      <c r="Y118" s="169">
        <f t="shared" si="27"/>
        <v>8</v>
      </c>
      <c r="Z118" s="25"/>
      <c r="AA118" s="169">
        <f t="shared" si="28"/>
        <v>8</v>
      </c>
      <c r="AB118" s="23"/>
      <c r="AC118" s="37"/>
      <c r="AD118" s="26" t="str">
        <f t="shared" si="29"/>
        <v/>
      </c>
    </row>
    <row r="119" spans="1:30" ht="58" hidden="1" outlineLevel="2" x14ac:dyDescent="0.35">
      <c r="A119" s="93" t="s">
        <v>0</v>
      </c>
      <c r="B119" s="21"/>
      <c r="C119" s="85"/>
      <c r="D119" s="85"/>
      <c r="E119" s="85"/>
      <c r="F119" s="86"/>
      <c r="G119" s="22" t="s">
        <v>23</v>
      </c>
      <c r="H119" s="22" t="s">
        <v>23</v>
      </c>
      <c r="I119" s="23" t="s">
        <v>23</v>
      </c>
      <c r="J119" s="22" t="s">
        <v>23</v>
      </c>
      <c r="K119" s="38"/>
      <c r="L119" s="22"/>
      <c r="M119" s="286">
        <f t="shared" ca="1" si="25"/>
        <v>8.4999999999999982</v>
      </c>
      <c r="N119" s="23" t="s">
        <v>650</v>
      </c>
      <c r="O119" s="23"/>
      <c r="P119" s="23"/>
      <c r="Q119" s="144">
        <v>1</v>
      </c>
      <c r="R119" s="137">
        <v>2</v>
      </c>
      <c r="S119" s="169">
        <f t="shared" si="26"/>
        <v>2</v>
      </c>
      <c r="T119" s="170"/>
      <c r="U119" s="24">
        <v>0</v>
      </c>
      <c r="V119" s="24">
        <v>1</v>
      </c>
      <c r="W119" s="24">
        <v>0</v>
      </c>
      <c r="X119" s="168">
        <v>2</v>
      </c>
      <c r="Y119" s="169">
        <f t="shared" si="27"/>
        <v>2</v>
      </c>
      <c r="Z119" s="25"/>
      <c r="AA119" s="169">
        <f t="shared" si="28"/>
        <v>2</v>
      </c>
      <c r="AB119" s="23"/>
      <c r="AC119" s="37"/>
      <c r="AD119" s="26" t="str">
        <f t="shared" si="29"/>
        <v/>
      </c>
    </row>
    <row r="120" spans="1:30" ht="58" hidden="1" outlineLevel="2" x14ac:dyDescent="0.35">
      <c r="A120" s="93" t="s">
        <v>0</v>
      </c>
      <c r="B120" s="21"/>
      <c r="C120" s="85"/>
      <c r="D120" s="85"/>
      <c r="E120" s="85"/>
      <c r="F120" s="86"/>
      <c r="G120" s="22" t="s">
        <v>23</v>
      </c>
      <c r="H120" s="22" t="s">
        <v>23</v>
      </c>
      <c r="I120" s="23" t="s">
        <v>23</v>
      </c>
      <c r="J120" s="22" t="s">
        <v>23</v>
      </c>
      <c r="K120" s="38"/>
      <c r="L120" s="22"/>
      <c r="M120" s="286">
        <f t="shared" ca="1" si="25"/>
        <v>8.5999999999999979</v>
      </c>
      <c r="N120" s="23" t="s">
        <v>651</v>
      </c>
      <c r="O120" s="23"/>
      <c r="P120" s="23"/>
      <c r="Q120" s="144">
        <v>1</v>
      </c>
      <c r="R120" s="137">
        <v>2</v>
      </c>
      <c r="S120" s="169">
        <f t="shared" si="26"/>
        <v>3</v>
      </c>
      <c r="T120" s="170"/>
      <c r="U120" s="24">
        <v>0</v>
      </c>
      <c r="V120" s="24">
        <v>0.2</v>
      </c>
      <c r="W120" s="24">
        <v>0.8</v>
      </c>
      <c r="X120" s="168">
        <v>3</v>
      </c>
      <c r="Y120" s="169">
        <f t="shared" si="27"/>
        <v>3</v>
      </c>
      <c r="Z120" s="25"/>
      <c r="AA120" s="169">
        <f t="shared" si="28"/>
        <v>3</v>
      </c>
      <c r="AB120" s="23"/>
      <c r="AC120" s="37"/>
      <c r="AD120" s="26" t="str">
        <f t="shared" si="29"/>
        <v/>
      </c>
    </row>
    <row r="121" spans="1:30" ht="58" hidden="1" outlineLevel="2" x14ac:dyDescent="0.35">
      <c r="A121" s="93" t="s">
        <v>0</v>
      </c>
      <c r="B121" s="21"/>
      <c r="C121" s="85"/>
      <c r="D121" s="85"/>
      <c r="E121" s="85"/>
      <c r="F121" s="86"/>
      <c r="G121" s="22" t="s">
        <v>23</v>
      </c>
      <c r="H121" s="22" t="s">
        <v>23</v>
      </c>
      <c r="I121" s="23" t="s">
        <v>23</v>
      </c>
      <c r="J121" s="22" t="s">
        <v>23</v>
      </c>
      <c r="K121" s="38"/>
      <c r="L121" s="22"/>
      <c r="M121" s="286">
        <f t="shared" ca="1" si="25"/>
        <v>8.6999999999999975</v>
      </c>
      <c r="N121" s="23" t="s">
        <v>648</v>
      </c>
      <c r="O121" s="23"/>
      <c r="P121" s="23"/>
      <c r="Q121" s="144">
        <v>1</v>
      </c>
      <c r="R121" s="137">
        <v>2</v>
      </c>
      <c r="S121" s="169">
        <f t="shared" si="26"/>
        <v>2</v>
      </c>
      <c r="T121" s="170"/>
      <c r="U121" s="24">
        <v>0</v>
      </c>
      <c r="V121" s="24">
        <v>0.7</v>
      </c>
      <c r="W121" s="24">
        <v>0.3</v>
      </c>
      <c r="X121" s="168">
        <v>2</v>
      </c>
      <c r="Y121" s="169">
        <f t="shared" si="27"/>
        <v>2</v>
      </c>
      <c r="Z121" s="25"/>
      <c r="AA121" s="169">
        <f t="shared" si="28"/>
        <v>2</v>
      </c>
      <c r="AB121" s="23"/>
      <c r="AC121" s="37"/>
      <c r="AD121" s="26" t="str">
        <f t="shared" si="29"/>
        <v/>
      </c>
    </row>
    <row r="122" spans="1:30" ht="43.5" hidden="1" outlineLevel="2" x14ac:dyDescent="0.35">
      <c r="A122" s="93" t="s">
        <v>0</v>
      </c>
      <c r="B122" s="21"/>
      <c r="C122" s="85"/>
      <c r="D122" s="85"/>
      <c r="E122" s="85"/>
      <c r="F122" s="86"/>
      <c r="G122" s="22" t="s">
        <v>23</v>
      </c>
      <c r="H122" s="22" t="s">
        <v>23</v>
      </c>
      <c r="I122" s="23" t="s">
        <v>23</v>
      </c>
      <c r="J122" s="22" t="s">
        <v>23</v>
      </c>
      <c r="K122" s="38"/>
      <c r="L122" s="22"/>
      <c r="M122" s="286">
        <f t="shared" ca="1" si="25"/>
        <v>8.7999999999999972</v>
      </c>
      <c r="N122" s="23" t="s">
        <v>616</v>
      </c>
      <c r="O122" s="23"/>
      <c r="P122" s="23"/>
      <c r="Q122" s="144">
        <v>1</v>
      </c>
      <c r="R122" s="137">
        <v>1</v>
      </c>
      <c r="S122" s="169">
        <f t="shared" si="26"/>
        <v>7</v>
      </c>
      <c r="T122" s="170"/>
      <c r="U122" s="24">
        <v>0</v>
      </c>
      <c r="V122" s="24">
        <v>1</v>
      </c>
      <c r="W122" s="24">
        <v>0</v>
      </c>
      <c r="X122" s="168">
        <v>7</v>
      </c>
      <c r="Y122" s="169">
        <f t="shared" si="27"/>
        <v>7</v>
      </c>
      <c r="Z122" s="25"/>
      <c r="AA122" s="169">
        <f t="shared" si="28"/>
        <v>7</v>
      </c>
      <c r="AB122" s="23"/>
      <c r="AC122" s="37"/>
      <c r="AD122" s="26" t="str">
        <f t="shared" si="29"/>
        <v/>
      </c>
    </row>
    <row r="123" spans="1:30" ht="87" hidden="1" outlineLevel="2" x14ac:dyDescent="0.35">
      <c r="A123" s="93" t="s">
        <v>0</v>
      </c>
      <c r="B123" s="21"/>
      <c r="C123" s="85"/>
      <c r="D123" s="85"/>
      <c r="E123" s="85"/>
      <c r="F123" s="86"/>
      <c r="G123" s="22" t="s">
        <v>23</v>
      </c>
      <c r="H123" s="22" t="s">
        <v>23</v>
      </c>
      <c r="I123" s="23" t="s">
        <v>23</v>
      </c>
      <c r="J123" s="22" t="s">
        <v>23</v>
      </c>
      <c r="K123" s="38"/>
      <c r="L123" s="22"/>
      <c r="M123" s="286">
        <f t="shared" ca="1" si="25"/>
        <v>8.8999999999999968</v>
      </c>
      <c r="N123" s="23" t="s">
        <v>652</v>
      </c>
      <c r="O123" s="23"/>
      <c r="P123" s="23"/>
      <c r="Q123" s="144">
        <v>1</v>
      </c>
      <c r="R123" s="137">
        <v>2</v>
      </c>
      <c r="S123" s="169">
        <f t="shared" si="26"/>
        <v>10</v>
      </c>
      <c r="T123" s="170"/>
      <c r="U123" s="24">
        <v>0.1</v>
      </c>
      <c r="V123" s="24">
        <v>0.5</v>
      </c>
      <c r="W123" s="24">
        <v>0.4</v>
      </c>
      <c r="X123" s="168">
        <v>10</v>
      </c>
      <c r="Y123" s="169">
        <f t="shared" si="27"/>
        <v>10</v>
      </c>
      <c r="Z123" s="25"/>
      <c r="AA123" s="169">
        <f t="shared" si="28"/>
        <v>10</v>
      </c>
      <c r="AB123" s="23"/>
      <c r="AC123" s="37"/>
      <c r="AD123" s="26" t="str">
        <f t="shared" si="29"/>
        <v/>
      </c>
    </row>
    <row r="124" spans="1:30" s="11" customFormat="1" ht="7.5" hidden="1" customHeight="1" outlineLevel="2" x14ac:dyDescent="0.35">
      <c r="A124" s="93" t="s">
        <v>132</v>
      </c>
      <c r="B124" s="18"/>
      <c r="C124" s="78"/>
      <c r="D124" s="78"/>
      <c r="E124" s="78"/>
      <c r="F124" s="78"/>
      <c r="G124" s="10"/>
      <c r="H124" s="10"/>
      <c r="I124" s="10"/>
      <c r="J124" s="10"/>
      <c r="K124" s="10"/>
      <c r="L124" s="10"/>
      <c r="M124" s="287"/>
      <c r="N124" s="10"/>
      <c r="O124" s="10"/>
      <c r="P124" s="10"/>
      <c r="Q124" s="10"/>
      <c r="R124" s="10"/>
      <c r="S124" s="10"/>
      <c r="T124" s="18"/>
      <c r="U124" s="10"/>
      <c r="V124" s="10"/>
      <c r="W124" s="10"/>
      <c r="X124" s="18"/>
      <c r="Y124" s="10"/>
      <c r="Z124" s="10"/>
      <c r="AA124" s="10"/>
      <c r="AB124" s="60"/>
      <c r="AC124" s="60"/>
      <c r="AD124" s="12"/>
    </row>
    <row r="125" spans="1:30" s="11" customFormat="1" ht="3" hidden="1" customHeight="1" outlineLevel="1" x14ac:dyDescent="0.35">
      <c r="A125" s="93" t="s">
        <v>102</v>
      </c>
      <c r="B125" s="10"/>
      <c r="C125" s="78"/>
      <c r="D125" s="78"/>
      <c r="E125" s="78"/>
      <c r="F125" s="78"/>
      <c r="G125" s="59"/>
      <c r="H125" s="59"/>
      <c r="I125" s="59"/>
      <c r="J125" s="59"/>
      <c r="K125" s="59"/>
      <c r="L125" s="61"/>
      <c r="M125" s="288"/>
      <c r="N125" s="62"/>
      <c r="O125" s="62"/>
      <c r="P125" s="61"/>
      <c r="Q125" s="61"/>
      <c r="R125" s="61"/>
      <c r="S125" s="61"/>
      <c r="T125" s="61"/>
      <c r="U125" s="61"/>
      <c r="V125" s="61"/>
      <c r="W125" s="61"/>
      <c r="X125" s="61"/>
      <c r="Y125" s="61"/>
      <c r="Z125" s="61"/>
      <c r="AA125" s="61"/>
      <c r="AB125" s="62"/>
      <c r="AC125" s="62"/>
      <c r="AD125" s="12"/>
    </row>
    <row r="126" spans="1:30" s="17" customFormat="1" ht="18.5" collapsed="1" x14ac:dyDescent="0.35">
      <c r="A126" s="93" t="s">
        <v>98</v>
      </c>
      <c r="B126" s="14"/>
      <c r="C126" s="79"/>
      <c r="D126" s="79"/>
      <c r="E126" s="79"/>
      <c r="F126" s="78"/>
      <c r="G126" s="55"/>
      <c r="H126" s="55"/>
      <c r="I126" s="55"/>
      <c r="J126" s="55"/>
      <c r="K126" s="55"/>
      <c r="L126" s="55" t="s">
        <v>69</v>
      </c>
      <c r="M126" s="284" t="s">
        <v>73</v>
      </c>
      <c r="N126" s="56"/>
      <c r="O126" s="57"/>
      <c r="P126" s="58"/>
      <c r="Q126" s="58"/>
      <c r="R126" s="58"/>
      <c r="S126" s="339">
        <f>CEILING(SUMIF(J127:J251, "&lt;&gt;Yes", T127:T251),1)</f>
        <v>204</v>
      </c>
      <c r="T126" s="339"/>
      <c r="U126" s="58"/>
      <c r="V126" s="58"/>
      <c r="W126" s="58"/>
      <c r="X126" s="181"/>
      <c r="Y126" s="181"/>
      <c r="Z126" s="58"/>
      <c r="AA126" s="181"/>
      <c r="AB126" s="58"/>
      <c r="AC126" s="58"/>
      <c r="AD126" s="16"/>
    </row>
    <row r="127" spans="1:30" s="11" customFormat="1" ht="3" hidden="1" customHeight="1" outlineLevel="1" x14ac:dyDescent="0.35">
      <c r="A127" s="93" t="s">
        <v>99</v>
      </c>
      <c r="B127" s="18"/>
      <c r="C127" s="78"/>
      <c r="D127" s="78"/>
      <c r="E127" s="78"/>
      <c r="F127" s="78"/>
      <c r="G127" s="28"/>
      <c r="H127" s="28"/>
      <c r="I127" s="28"/>
      <c r="J127" s="28"/>
      <c r="K127" s="28"/>
      <c r="L127" s="29">
        <v>0</v>
      </c>
      <c r="M127" s="285"/>
      <c r="N127" s="28"/>
      <c r="O127" s="28"/>
      <c r="P127" s="28"/>
      <c r="Q127" s="28"/>
      <c r="R127" s="28"/>
      <c r="S127" s="28"/>
      <c r="T127" s="30"/>
      <c r="U127" s="28"/>
      <c r="V127" s="28"/>
      <c r="W127" s="28"/>
      <c r="X127" s="30"/>
      <c r="Y127" s="28"/>
      <c r="Z127" s="28"/>
      <c r="AA127" s="28"/>
      <c r="AB127" s="31"/>
      <c r="AC127" s="31"/>
      <c r="AD127" s="12"/>
    </row>
    <row r="128" spans="1:30" s="17" customFormat="1" ht="15.5" hidden="1" outlineLevel="1" collapsed="1" x14ac:dyDescent="0.35">
      <c r="A128" s="93" t="s">
        <v>100</v>
      </c>
      <c r="B128" s="21"/>
      <c r="C128" s="84"/>
      <c r="D128" s="84"/>
      <c r="E128" s="84"/>
      <c r="F128" s="83"/>
      <c r="G128" s="32"/>
      <c r="H128" s="32"/>
      <c r="I128" s="32"/>
      <c r="J128" s="32"/>
      <c r="K128" s="32"/>
      <c r="L128" s="20">
        <f ca="1">LOOKUP(1000,INDIRECT("L1:"&amp;CELL("address",INDIRECT("R[-1]C",FALSE))))+1</f>
        <v>1</v>
      </c>
      <c r="M128" s="317" t="s">
        <v>447</v>
      </c>
      <c r="N128" s="317"/>
      <c r="O128" s="5"/>
      <c r="P128" s="33"/>
      <c r="Q128" s="33"/>
      <c r="R128" s="33"/>
      <c r="S128" s="33"/>
      <c r="T128" s="167">
        <f>IF($S$6="Exclude", SUMIFS(S129:S134, J129:J134, "&lt;&gt;Yes", G129:G134, "&lt;&gt;Yes"), SUMIFS(S129:S134, J129:J134, "&lt;&gt;Yes"))</f>
        <v>26</v>
      </c>
      <c r="U128" s="33"/>
      <c r="V128" s="33"/>
      <c r="W128" s="33"/>
      <c r="X128" s="34"/>
      <c r="Y128" s="35"/>
      <c r="Z128" s="35"/>
      <c r="AA128" s="35"/>
      <c r="AB128" s="240"/>
      <c r="AC128" s="36"/>
      <c r="AD128" s="26" t="str">
        <f>IF(M128="", "Error: Task name cannot be empty.", "")</f>
        <v/>
      </c>
    </row>
    <row r="129" spans="1:30" s="15" customFormat="1" ht="1.5" hidden="1" customHeight="1" outlineLevel="2" x14ac:dyDescent="0.35">
      <c r="A129" s="93" t="s">
        <v>101</v>
      </c>
      <c r="B129" s="21"/>
      <c r="C129" s="84"/>
      <c r="D129" s="84"/>
      <c r="E129" s="84"/>
      <c r="F129" s="83"/>
      <c r="G129" s="32"/>
      <c r="H129" s="32"/>
      <c r="I129" s="32"/>
      <c r="J129" s="32"/>
      <c r="K129" s="32"/>
      <c r="L129" s="175">
        <f ca="1">L128</f>
        <v>1</v>
      </c>
      <c r="M129" s="176" t="s">
        <v>105</v>
      </c>
      <c r="N129" s="173"/>
      <c r="O129" s="174"/>
      <c r="P129" s="33"/>
      <c r="Q129" s="33"/>
      <c r="R129" s="33"/>
      <c r="S129" s="33"/>
      <c r="T129" s="167"/>
      <c r="U129" s="33"/>
      <c r="V129" s="33"/>
      <c r="W129" s="33"/>
      <c r="X129" s="34"/>
      <c r="Y129" s="35"/>
      <c r="Z129" s="35"/>
      <c r="AA129" s="35"/>
      <c r="AB129" s="36"/>
      <c r="AC129" s="36"/>
      <c r="AD129" s="26"/>
    </row>
    <row r="130" spans="1:30" ht="29" hidden="1" outlineLevel="2" x14ac:dyDescent="0.35">
      <c r="A130" s="93" t="s">
        <v>0</v>
      </c>
      <c r="B130" s="21"/>
      <c r="C130" s="85"/>
      <c r="D130" s="85"/>
      <c r="E130" s="85"/>
      <c r="F130" s="86"/>
      <c r="G130" s="22" t="s">
        <v>23</v>
      </c>
      <c r="H130" s="22" t="s">
        <v>23</v>
      </c>
      <c r="I130" s="23" t="s">
        <v>23</v>
      </c>
      <c r="J130" s="22" t="s">
        <v>23</v>
      </c>
      <c r="K130" s="38"/>
      <c r="L130" s="22"/>
      <c r="M130" s="286" t="str">
        <f ca="1">IFERROR(OFFSET(M130,-1,,1,1)+0.1,OFFSET(M130,-1,-1,1,1)&amp;".1")</f>
        <v>1.1</v>
      </c>
      <c r="N130" s="23" t="s">
        <v>475</v>
      </c>
      <c r="O130" s="23"/>
      <c r="P130" s="23" t="s">
        <v>558</v>
      </c>
      <c r="Q130" s="144">
        <v>8</v>
      </c>
      <c r="R130" s="137">
        <v>1</v>
      </c>
      <c r="S130" s="169">
        <f>CEILING((IF(J130="Yes", 0, IF(H130="-",AA130,AA130+AA130*VLOOKUP(H130,BUFFERS_BY_TYPE,2,FALSE)))) +
   (IF(J130="Yes", 0, IF(H130="-",AA130,AA130+AA130*VLOOKUP(H130,BUFFERS_BY_TYPE,2,FALSE))))*VLOOKUP($S$5, SALES_CALL_SCALE_ARRAY, 2,FALSE),0.25)</f>
        <v>10.25</v>
      </c>
      <c r="T130" s="170"/>
      <c r="U130" s="24">
        <v>0.2</v>
      </c>
      <c r="V130" s="24">
        <v>0.5</v>
      </c>
      <c r="W130" s="24">
        <v>0.3</v>
      </c>
      <c r="X130" s="168">
        <v>1.25</v>
      </c>
      <c r="Y130" s="169">
        <f>CEILING((IF(P130=AS_DEV_EFFORT, DEV_EFFORT*Q130%,
                           IF(P130=AS_DURATION_EFFORT, (MANUAL_DURATION*5)*Q130%,
                                    (IF(Q130&lt;=1,X130,
                                          IF(SUM(U130:W130)=0,(Q130*X130),
                                               (((Q130*U130)*(X130+(X130*EXTRA_FOR_H)))+
                                               ((Q130*V130)*X130)+
                                               ((Q130*W130)*(X130-(X130*LESS_FOR_L)))
                                    )*IF(R130=0,1,R130))))))+Z130), 0.25)</f>
        <v>10.25</v>
      </c>
      <c r="Z130" s="25"/>
      <c r="AA130" s="169">
        <f>Y130+Y130*VLOOKUP(I130,EXTRAS_ARRAY,2,FALSE)</f>
        <v>10.25</v>
      </c>
      <c r="AB130" s="23"/>
      <c r="AC130" s="37"/>
      <c r="AD130" s="26" t="str">
        <f>IF(J130&lt;&gt;"Yes",
IF(S130&lt;=0,"Error: Effort value is not defined or is invalid.",
IF(AND(SUM(U130:W130)&gt;0,SUM(U130:W130)&lt;&gt;1),"Error: Complexity % distribution should sum to 100%.",
IF(AND(P130=AS_DEV_EFFORT,X130&lt;&gt;0),"Error: PDs should not be defined when defining as dev effort %.",
IF(AND(P130=AS_DURATION_EFFORT,X130&lt;&gt;0),"Error: PDs should not be defined when defining as duration effort %.","")))))</f>
        <v/>
      </c>
    </row>
    <row r="131" spans="1:30" ht="29" hidden="1" outlineLevel="2" x14ac:dyDescent="0.35">
      <c r="A131" s="93" t="s">
        <v>0</v>
      </c>
      <c r="B131" s="21"/>
      <c r="C131" s="85"/>
      <c r="D131" s="85"/>
      <c r="E131" s="85"/>
      <c r="F131" s="86"/>
      <c r="G131" s="22" t="s">
        <v>23</v>
      </c>
      <c r="H131" s="22" t="s">
        <v>23</v>
      </c>
      <c r="I131" s="23" t="s">
        <v>23</v>
      </c>
      <c r="J131" s="22" t="s">
        <v>23</v>
      </c>
      <c r="K131" s="38"/>
      <c r="L131" s="22"/>
      <c r="M131" s="286">
        <f ca="1">IFERROR(OFFSET(M131,-1,,1,1)+0.1,OFFSET(M131,-1,-1,1,1)&amp;".1")</f>
        <v>1.2000000000000002</v>
      </c>
      <c r="N131" s="23" t="s">
        <v>476</v>
      </c>
      <c r="O131" s="23"/>
      <c r="P131" s="23" t="s">
        <v>558</v>
      </c>
      <c r="Q131" s="144">
        <v>4</v>
      </c>
      <c r="R131" s="137">
        <v>1</v>
      </c>
      <c r="S131" s="169">
        <f>CEILING((IF(J131="Yes", 0, IF(H131="-",AA131,AA131+AA131*VLOOKUP(H131,BUFFERS_BY_TYPE,2,FALSE)))) +
   (IF(J131="Yes", 0, IF(H131="-",AA131,AA131+AA131*VLOOKUP(H131,BUFFERS_BY_TYPE,2,FALSE))))*VLOOKUP($S$5, SALES_CALL_SCALE_ARRAY, 2,FALSE),0.25)</f>
        <v>3.25</v>
      </c>
      <c r="T131" s="170"/>
      <c r="U131" s="24">
        <v>0.3</v>
      </c>
      <c r="V131" s="24">
        <v>0.4</v>
      </c>
      <c r="W131" s="24">
        <v>0.3</v>
      </c>
      <c r="X131" s="168">
        <v>0.75</v>
      </c>
      <c r="Y131" s="169">
        <f>CEILING((IF(P131=AS_DEV_EFFORT, DEV_EFFORT*Q131%,
                           IF(P131=AS_DURATION_EFFORT, (MANUAL_DURATION*5)*Q131%,
                                    (IF(Q131&lt;=1,X131,
                                          IF(SUM(U131:W131)=0,(Q131*X131),
                                               (((Q131*U131)*(X131+(X131*EXTRA_FOR_H)))+
                                               ((Q131*V131)*X131)+
                                               ((Q131*W131)*(X131-(X131*LESS_FOR_L)))
                                    )*IF(R131=0,1,R131))))))+Z131), 0.25)</f>
        <v>3.25</v>
      </c>
      <c r="Z131" s="25"/>
      <c r="AA131" s="169">
        <f>Y131+Y131*VLOOKUP(I131,EXTRAS_ARRAY,2,FALSE)</f>
        <v>3.25</v>
      </c>
      <c r="AB131" s="23"/>
      <c r="AC131" s="37"/>
      <c r="AD131" s="26" t="str">
        <f>IF(J131&lt;&gt;"Yes",
IF(S131&lt;=0,"Error: Effort value is not defined or is invalid.",
IF(AND(SUM(U131:W131)&gt;0,SUM(U131:W131)&lt;&gt;1),"Error: Complexity % distribution should sum to 100%.",
IF(AND(P131=AS_DEV_EFFORT,X131&lt;&gt;0),"Error: PDs should not be defined when defining as dev effort %.",
IF(AND(P131=AS_DURATION_EFFORT,X131&lt;&gt;0),"Error: PDs should not be defined when defining as duration effort %.","")))))</f>
        <v/>
      </c>
    </row>
    <row r="132" spans="1:30" ht="29" hidden="1" outlineLevel="2" x14ac:dyDescent="0.35">
      <c r="A132" s="93" t="s">
        <v>0</v>
      </c>
      <c r="B132" s="21"/>
      <c r="C132" s="85"/>
      <c r="D132" s="85"/>
      <c r="E132" s="85"/>
      <c r="F132" s="86"/>
      <c r="G132" s="22" t="s">
        <v>23</v>
      </c>
      <c r="H132" s="22" t="s">
        <v>23</v>
      </c>
      <c r="I132" s="23" t="s">
        <v>23</v>
      </c>
      <c r="J132" s="22" t="s">
        <v>23</v>
      </c>
      <c r="K132" s="38"/>
      <c r="L132" s="22"/>
      <c r="M132" s="286">
        <f ca="1">IFERROR(OFFSET(M132,-1,,1,1)+0.1,OFFSET(M132,-1,-1,1,1)&amp;".1")</f>
        <v>1.3000000000000003</v>
      </c>
      <c r="N132" s="23" t="s">
        <v>477</v>
      </c>
      <c r="O132" s="23"/>
      <c r="P132" s="23" t="s">
        <v>558</v>
      </c>
      <c r="Q132" s="144">
        <v>6</v>
      </c>
      <c r="R132" s="137">
        <v>1</v>
      </c>
      <c r="S132" s="169">
        <f>CEILING((IF(J132="Yes", 0, IF(H132="-",AA132,AA132+AA132*VLOOKUP(H132,BUFFERS_BY_TYPE,2,FALSE)))) +
   (IF(J132="Yes", 0, IF(H132="-",AA132,AA132+AA132*VLOOKUP(H132,BUFFERS_BY_TYPE,2,FALSE))))*VLOOKUP($S$5, SALES_CALL_SCALE_ARRAY, 2,FALSE),0.25)</f>
        <v>5.25</v>
      </c>
      <c r="T132" s="170"/>
      <c r="U132" s="24">
        <v>0.3</v>
      </c>
      <c r="V132" s="24">
        <v>0.4</v>
      </c>
      <c r="W132" s="24">
        <v>0.3</v>
      </c>
      <c r="X132" s="168">
        <v>0.8</v>
      </c>
      <c r="Y132" s="169">
        <f>CEILING((IF(P132=AS_DEV_EFFORT, DEV_EFFORT*Q132%,
                           IF(P132=AS_DURATION_EFFORT, (MANUAL_DURATION*5)*Q132%,
                                    (IF(Q132&lt;=1,X132,
                                          IF(SUM(U132:W132)=0,(Q132*X132),
                                               (((Q132*U132)*(X132+(X132*EXTRA_FOR_H)))+
                                               ((Q132*V132)*X132)+
                                               ((Q132*W132)*(X132-(X132*LESS_FOR_L)))
                                    )*IF(R132=0,1,R132))))))+Z132), 0.25)</f>
        <v>5.25</v>
      </c>
      <c r="Z132" s="25"/>
      <c r="AA132" s="169">
        <f>Y132+Y132*VLOOKUP(I132,EXTRAS_ARRAY,2,FALSE)</f>
        <v>5.25</v>
      </c>
      <c r="AB132" s="23"/>
      <c r="AC132" s="37"/>
      <c r="AD132" s="26" t="str">
        <f>IF(J132&lt;&gt;"Yes",
IF(S132&lt;=0,"Error: Effort value is not defined or is invalid.",
IF(AND(SUM(U132:W132)&gt;0,SUM(U132:W132)&lt;&gt;1),"Error: Complexity % distribution should sum to 100%.",
IF(AND(P132=AS_DEV_EFFORT,X132&lt;&gt;0),"Error: PDs should not be defined when defining as dev effort %.",
IF(AND(P132=AS_DURATION_EFFORT,X132&lt;&gt;0),"Error: PDs should not be defined when defining as duration effort %.","")))))</f>
        <v/>
      </c>
    </row>
    <row r="133" spans="1:30" ht="29" hidden="1" outlineLevel="2" x14ac:dyDescent="0.35">
      <c r="A133" s="93" t="s">
        <v>0</v>
      </c>
      <c r="B133" s="21"/>
      <c r="C133" s="85"/>
      <c r="D133" s="85"/>
      <c r="E133" s="85"/>
      <c r="F133" s="86"/>
      <c r="G133" s="22" t="s">
        <v>23</v>
      </c>
      <c r="H133" s="22" t="s">
        <v>23</v>
      </c>
      <c r="I133" s="23" t="s">
        <v>23</v>
      </c>
      <c r="J133" s="22" t="s">
        <v>23</v>
      </c>
      <c r="K133" s="38"/>
      <c r="L133" s="22"/>
      <c r="M133" s="286">
        <f ca="1">IFERROR(OFFSET(M133,-1,,1,1)+0.1,OFFSET(M133,-1,-1,1,1)&amp;".1")</f>
        <v>1.4000000000000004</v>
      </c>
      <c r="N133" s="23" t="s">
        <v>478</v>
      </c>
      <c r="O133" s="23"/>
      <c r="P133" s="23" t="s">
        <v>558</v>
      </c>
      <c r="Q133" s="144">
        <v>6</v>
      </c>
      <c r="R133" s="137">
        <v>1</v>
      </c>
      <c r="S133" s="169">
        <f>CEILING((IF(J133="Yes", 0, IF(H133="-",AA133,AA133+AA133*VLOOKUP(H133,BUFFERS_BY_TYPE,2,FALSE)))) +
   (IF(J133="Yes", 0, IF(H133="-",AA133,AA133+AA133*VLOOKUP(H133,BUFFERS_BY_TYPE,2,FALSE))))*VLOOKUP($S$5, SALES_CALL_SCALE_ARRAY, 2,FALSE),0.25)</f>
        <v>7.25</v>
      </c>
      <c r="T133" s="170"/>
      <c r="U133" s="24">
        <v>0</v>
      </c>
      <c r="V133" s="24">
        <v>1</v>
      </c>
      <c r="W133" s="24">
        <v>0</v>
      </c>
      <c r="X133" s="168">
        <v>1.2</v>
      </c>
      <c r="Y133" s="169">
        <f>CEILING((IF(P133=AS_DEV_EFFORT, DEV_EFFORT*Q133%,
                           IF(P133=AS_DURATION_EFFORT, (MANUAL_DURATION*5)*Q133%,
                                    (IF(Q133&lt;=1,X133,
                                          IF(SUM(U133:W133)=0,(Q133*X133),
                                               (((Q133*U133)*(X133+(X133*EXTRA_FOR_H)))+
                                               ((Q133*V133)*X133)+
                                               ((Q133*W133)*(X133-(X133*LESS_FOR_L)))
                                    )*IF(R133=0,1,R133))))))+Z133), 0.25)</f>
        <v>7.25</v>
      </c>
      <c r="Z133" s="25"/>
      <c r="AA133" s="169">
        <f>Y133+Y133*VLOOKUP(I133,EXTRAS_ARRAY,2,FALSE)</f>
        <v>7.25</v>
      </c>
      <c r="AB133" s="23" t="s">
        <v>653</v>
      </c>
      <c r="AC133" s="37"/>
      <c r="AD133" s="26" t="str">
        <f>IF(J133&lt;&gt;"Yes",
IF(S133&lt;=0,"Error: Effort value is not defined or is invalid.",
IF(AND(SUM(U133:W133)&gt;0,SUM(U133:W133)&lt;&gt;1),"Error: Complexity % distribution should sum to 100%.",
IF(AND(P133=AS_DEV_EFFORT,X133&lt;&gt;0),"Error: PDs should not be defined when defining as dev effort %.",
IF(AND(P133=AS_DURATION_EFFORT,X133&lt;&gt;0),"Error: PDs should not be defined when defining as duration effort %.","")))))</f>
        <v/>
      </c>
    </row>
    <row r="134" spans="1:30" s="11" customFormat="1" ht="7.5" hidden="1" customHeight="1" outlineLevel="2" x14ac:dyDescent="0.35">
      <c r="A134" s="93" t="s">
        <v>132</v>
      </c>
      <c r="B134" s="18"/>
      <c r="C134" s="78"/>
      <c r="D134" s="78"/>
      <c r="E134" s="78"/>
      <c r="F134" s="78"/>
      <c r="G134" s="10"/>
      <c r="H134" s="10"/>
      <c r="I134" s="10"/>
      <c r="J134" s="10"/>
      <c r="K134" s="10"/>
      <c r="L134" s="10"/>
      <c r="M134" s="287"/>
      <c r="N134" s="10"/>
      <c r="O134" s="10"/>
      <c r="P134" s="10"/>
      <c r="Q134" s="10"/>
      <c r="R134" s="10"/>
      <c r="S134" s="10"/>
      <c r="T134" s="18"/>
      <c r="U134" s="10"/>
      <c r="V134" s="10"/>
      <c r="W134" s="10"/>
      <c r="X134" s="18"/>
      <c r="Y134" s="10"/>
      <c r="Z134" s="10"/>
      <c r="AA134" s="10"/>
      <c r="AB134" s="60"/>
      <c r="AC134" s="60"/>
      <c r="AD134" s="12"/>
    </row>
    <row r="135" spans="1:30" s="17" customFormat="1" ht="15.5" hidden="1" outlineLevel="1" collapsed="1" x14ac:dyDescent="0.35">
      <c r="A135" s="93" t="s">
        <v>100</v>
      </c>
      <c r="B135" s="21"/>
      <c r="C135" s="84"/>
      <c r="D135" s="84"/>
      <c r="E135" s="84"/>
      <c r="F135" s="83"/>
      <c r="G135" s="32"/>
      <c r="H135" s="32"/>
      <c r="I135" s="32"/>
      <c r="J135" s="32"/>
      <c r="K135" s="32"/>
      <c r="L135" s="20">
        <f ca="1">LOOKUP(1000,INDIRECT("L1:"&amp;CELL("address",INDIRECT("R[-1]C",FALSE))))+1</f>
        <v>2</v>
      </c>
      <c r="M135" s="317" t="s">
        <v>448</v>
      </c>
      <c r="N135" s="317"/>
      <c r="O135" s="5"/>
      <c r="P135" s="33"/>
      <c r="Q135" s="33"/>
      <c r="R135" s="33"/>
      <c r="S135" s="33"/>
      <c r="T135" s="167">
        <f>IF($S$6="Exclude", SUMIFS(S136:S142, J136:J142, "&lt;&gt;Yes", G136:G142, "&lt;&gt;Yes"), SUMIFS(S136:S142, J136:J142, "&lt;&gt;Yes"))</f>
        <v>24.5</v>
      </c>
      <c r="U135" s="33"/>
      <c r="V135" s="33"/>
      <c r="W135" s="33"/>
      <c r="X135" s="34"/>
      <c r="Y135" s="35"/>
      <c r="Z135" s="35"/>
      <c r="AA135" s="35"/>
      <c r="AB135" s="240"/>
      <c r="AC135" s="36"/>
      <c r="AD135" s="26" t="str">
        <f>IF(M135="", "Error: Task name cannot be empty.", "")</f>
        <v/>
      </c>
    </row>
    <row r="136" spans="1:30" s="15" customFormat="1" ht="1.5" hidden="1" customHeight="1" outlineLevel="2" x14ac:dyDescent="0.35">
      <c r="A136" s="93" t="s">
        <v>101</v>
      </c>
      <c r="B136" s="21"/>
      <c r="C136" s="84"/>
      <c r="D136" s="84"/>
      <c r="E136" s="84"/>
      <c r="F136" s="83"/>
      <c r="G136" s="32"/>
      <c r="H136" s="32"/>
      <c r="I136" s="32"/>
      <c r="J136" s="32"/>
      <c r="K136" s="32"/>
      <c r="L136" s="175">
        <f ca="1">L135</f>
        <v>2</v>
      </c>
      <c r="M136" s="176" t="s">
        <v>105</v>
      </c>
      <c r="N136" s="173"/>
      <c r="O136" s="174"/>
      <c r="P136" s="33"/>
      <c r="Q136" s="33"/>
      <c r="R136" s="33"/>
      <c r="S136" s="33"/>
      <c r="T136" s="167"/>
      <c r="U136" s="33"/>
      <c r="V136" s="33"/>
      <c r="W136" s="33"/>
      <c r="X136" s="34"/>
      <c r="Y136" s="35"/>
      <c r="Z136" s="35"/>
      <c r="AA136" s="35"/>
      <c r="AB136" s="36"/>
      <c r="AC136" s="36"/>
      <c r="AD136" s="26"/>
    </row>
    <row r="137" spans="1:30" ht="43.5" hidden="1" outlineLevel="2" x14ac:dyDescent="0.35">
      <c r="A137" s="93" t="s">
        <v>0</v>
      </c>
      <c r="B137" s="21"/>
      <c r="C137" s="85"/>
      <c r="D137" s="85"/>
      <c r="E137" s="85"/>
      <c r="F137" s="86"/>
      <c r="G137" s="22" t="s">
        <v>23</v>
      </c>
      <c r="H137" s="22" t="s">
        <v>23</v>
      </c>
      <c r="I137" s="23" t="s">
        <v>23</v>
      </c>
      <c r="J137" s="22" t="s">
        <v>23</v>
      </c>
      <c r="K137" s="38"/>
      <c r="L137" s="22"/>
      <c r="M137" s="286" t="str">
        <f ca="1">IFERROR(OFFSET(M137,-1,,1,1)+0.1,OFFSET(M137,-1,-1,1,1)&amp;".1")</f>
        <v>2.1</v>
      </c>
      <c r="N137" s="23" t="s">
        <v>479</v>
      </c>
      <c r="O137" s="23"/>
      <c r="P137" s="23" t="s">
        <v>558</v>
      </c>
      <c r="Q137" s="144">
        <v>3</v>
      </c>
      <c r="R137" s="137">
        <v>1</v>
      </c>
      <c r="S137" s="169">
        <f>CEILING((IF(J137="Yes", 0, IF(H137="-",AA137,AA137+AA137*VLOOKUP(H137,BUFFERS_BY_TYPE,2,FALSE)))) +
   (IF(J137="Yes", 0, IF(H137="-",AA137,AA137+AA137*VLOOKUP(H137,BUFFERS_BY_TYPE,2,FALSE))))*VLOOKUP($S$5, SALES_CALL_SCALE_ARRAY, 2,FALSE),0.25)</f>
        <v>12</v>
      </c>
      <c r="T137" s="170"/>
      <c r="U137" s="24">
        <v>0</v>
      </c>
      <c r="V137" s="24">
        <v>1</v>
      </c>
      <c r="W137" s="24">
        <v>0</v>
      </c>
      <c r="X137" s="168">
        <v>4</v>
      </c>
      <c r="Y137" s="169">
        <f>CEILING((IF(P137=AS_DEV_EFFORT, DEV_EFFORT*Q137%,
                           IF(P137=AS_DURATION_EFFORT, (MANUAL_DURATION*5)*Q137%,
                                    (IF(Q137&lt;=1,X137,
                                          IF(SUM(U137:W137)=0,(Q137*X137),
                                               (((Q137*U137)*(X137+(X137*EXTRA_FOR_H)))+
                                               ((Q137*V137)*X137)+
                                               ((Q137*W137)*(X137-(X137*LESS_FOR_L)))
                                    )*IF(R137=0,1,R137))))))+Z137), 0.25)</f>
        <v>12</v>
      </c>
      <c r="Z137" s="25"/>
      <c r="AA137" s="169">
        <f>Y137+Y137*VLOOKUP(I137,EXTRAS_ARRAY,2,FALSE)</f>
        <v>12</v>
      </c>
      <c r="AB137" s="23" t="s">
        <v>557</v>
      </c>
      <c r="AC137" s="37"/>
      <c r="AD137" s="26" t="str">
        <f>IF(J137&lt;&gt;"Yes",
IF(S137&lt;=0,"Error: Effort value is not defined or is invalid.",
IF(AND(SUM(U137:W137)&gt;0,SUM(U137:W137)&lt;&gt;1),"Error: Complexity % distribution should sum to 100%.",
IF(AND(P137=AS_DEV_EFFORT,X137&lt;&gt;0),"Error: PDs should not be defined when defining as dev effort %.",
IF(AND(P137=AS_DURATION_EFFORT,X137&lt;&gt;0),"Error: PDs should not be defined when defining as duration effort %.","")))))</f>
        <v/>
      </c>
    </row>
    <row r="138" spans="1:30" ht="29" hidden="1" outlineLevel="2" x14ac:dyDescent="0.35">
      <c r="A138" s="93" t="s">
        <v>0</v>
      </c>
      <c r="B138" s="21"/>
      <c r="C138" s="85"/>
      <c r="D138" s="85"/>
      <c r="E138" s="85"/>
      <c r="F138" s="86"/>
      <c r="G138" s="22" t="s">
        <v>23</v>
      </c>
      <c r="H138" s="22" t="s">
        <v>23</v>
      </c>
      <c r="I138" s="23" t="s">
        <v>23</v>
      </c>
      <c r="J138" s="22" t="s">
        <v>23</v>
      </c>
      <c r="K138" s="38"/>
      <c r="L138" s="22"/>
      <c r="M138" s="286">
        <f ca="1">IFERROR(OFFSET(M138,-1,,1,1)+0.1,OFFSET(M138,-1,-1,1,1)&amp;".1")</f>
        <v>2.2000000000000002</v>
      </c>
      <c r="N138" s="23" t="s">
        <v>480</v>
      </c>
      <c r="O138" s="23"/>
      <c r="P138" s="23" t="s">
        <v>558</v>
      </c>
      <c r="Q138" s="144">
        <v>1</v>
      </c>
      <c r="R138" s="137">
        <v>1</v>
      </c>
      <c r="S138" s="169">
        <f>CEILING((IF(J138="Yes", 0, IF(H138="-",AA138,AA138+AA138*VLOOKUP(H138,BUFFERS_BY_TYPE,2,FALSE)))) +
   (IF(J138="Yes", 0, IF(H138="-",AA138,AA138+AA138*VLOOKUP(H138,BUFFERS_BY_TYPE,2,FALSE))))*VLOOKUP($S$5, SALES_CALL_SCALE_ARRAY, 2,FALSE),0.25)</f>
        <v>5</v>
      </c>
      <c r="T138" s="170"/>
      <c r="U138" s="24">
        <v>0</v>
      </c>
      <c r="V138" s="24">
        <v>1</v>
      </c>
      <c r="W138" s="24">
        <v>0</v>
      </c>
      <c r="X138" s="168">
        <v>5</v>
      </c>
      <c r="Y138" s="169">
        <f>CEILING((IF(P138=AS_DEV_EFFORT, DEV_EFFORT*Q138%,
                           IF(P138=AS_DURATION_EFFORT, (MANUAL_DURATION*5)*Q138%,
                                    (IF(Q138&lt;=1,X138,
                                          IF(SUM(U138:W138)=0,(Q138*X138),
                                               (((Q138*U138)*(X138+(X138*EXTRA_FOR_H)))+
                                               ((Q138*V138)*X138)+
                                               ((Q138*W138)*(X138-(X138*LESS_FOR_L)))
                                    )*IF(R138=0,1,R138))))))+Z138), 0.25)</f>
        <v>5</v>
      </c>
      <c r="Z138" s="25"/>
      <c r="AA138" s="169">
        <f>Y138+Y138*VLOOKUP(I138,EXTRAS_ARRAY,2,FALSE)</f>
        <v>5</v>
      </c>
      <c r="AB138" s="23" t="s">
        <v>557</v>
      </c>
      <c r="AC138" s="37"/>
      <c r="AD138" s="26" t="str">
        <f>IF(J138&lt;&gt;"Yes",
IF(S138&lt;=0,"Error: Effort value is not defined or is invalid.",
IF(AND(SUM(U138:W138)&gt;0,SUM(U138:W138)&lt;&gt;1),"Error: Complexity % distribution should sum to 100%.",
IF(AND(P138=AS_DEV_EFFORT,X138&lt;&gt;0),"Error: PDs should not be defined when defining as dev effort %.",
IF(AND(P138=AS_DURATION_EFFORT,X138&lt;&gt;0),"Error: PDs should not be defined when defining as duration effort %.","")))))</f>
        <v/>
      </c>
    </row>
    <row r="139" spans="1:30" ht="43.5" hidden="1" outlineLevel="2" x14ac:dyDescent="0.35">
      <c r="A139" s="93" t="s">
        <v>0</v>
      </c>
      <c r="B139" s="21"/>
      <c r="C139" s="85"/>
      <c r="D139" s="85"/>
      <c r="E139" s="85"/>
      <c r="F139" s="86"/>
      <c r="G139" s="22" t="s">
        <v>23</v>
      </c>
      <c r="H139" s="22" t="s">
        <v>23</v>
      </c>
      <c r="I139" s="23" t="s">
        <v>23</v>
      </c>
      <c r="J139" s="22" t="s">
        <v>23</v>
      </c>
      <c r="K139" s="38"/>
      <c r="L139" s="22"/>
      <c r="M139" s="286">
        <f ca="1">IFERROR(OFFSET(M139,-1,,1,1)+0.1,OFFSET(M139,-1,-1,1,1)&amp;".1")</f>
        <v>2.3000000000000003</v>
      </c>
      <c r="N139" s="23" t="s">
        <v>654</v>
      </c>
      <c r="O139" s="23"/>
      <c r="P139" s="23" t="s">
        <v>558</v>
      </c>
      <c r="Q139" s="144">
        <v>1</v>
      </c>
      <c r="R139" s="137">
        <v>2</v>
      </c>
      <c r="S139" s="169">
        <f>CEILING((IF(J139="Yes", 0, IF(H139="-",AA139,AA139+AA139*VLOOKUP(H139,BUFFERS_BY_TYPE,2,FALSE)))) +
   (IF(J139="Yes", 0, IF(H139="-",AA139,AA139+AA139*VLOOKUP(H139,BUFFERS_BY_TYPE,2,FALSE))))*VLOOKUP($S$5, SALES_CALL_SCALE_ARRAY, 2,FALSE),0.25)</f>
        <v>2.5</v>
      </c>
      <c r="T139" s="170"/>
      <c r="U139" s="24">
        <v>0</v>
      </c>
      <c r="V139" s="24">
        <v>1</v>
      </c>
      <c r="W139" s="24">
        <v>0</v>
      </c>
      <c r="X139" s="168">
        <v>2.5</v>
      </c>
      <c r="Y139" s="169">
        <f>CEILING((IF(P139=AS_DEV_EFFORT, DEV_EFFORT*Q139%,
                           IF(P139=AS_DURATION_EFFORT, (MANUAL_DURATION*5)*Q139%,
                                    (IF(Q139&lt;=1,X139,
                                          IF(SUM(U139:W139)=0,(Q139*X139),
                                               (((Q139*U139)*(X139+(X139*EXTRA_FOR_H)))+
                                               ((Q139*V139)*X139)+
                                               ((Q139*W139)*(X139-(X139*LESS_FOR_L)))
                                    )*IF(R139=0,1,R139))))))+Z139), 0.25)</f>
        <v>2.5</v>
      </c>
      <c r="Z139" s="25"/>
      <c r="AA139" s="169">
        <f>Y139+Y139*VLOOKUP(I139,EXTRAS_ARRAY,2,FALSE)</f>
        <v>2.5</v>
      </c>
      <c r="AB139" s="23"/>
      <c r="AC139" s="37"/>
      <c r="AD139" s="26" t="str">
        <f>IF(J139&lt;&gt;"Yes",
IF(S139&lt;=0,"Error: Effort value is not defined or is invalid.",
IF(AND(SUM(U139:W139)&gt;0,SUM(U139:W139)&lt;&gt;1),"Error: Complexity % distribution should sum to 100%.",
IF(AND(P139=AS_DEV_EFFORT,X139&lt;&gt;0),"Error: PDs should not be defined when defining as dev effort %.",
IF(AND(P139=AS_DURATION_EFFORT,X139&lt;&gt;0),"Error: PDs should not be defined when defining as duration effort %.","")))))</f>
        <v/>
      </c>
    </row>
    <row r="140" spans="1:30" ht="29" hidden="1" outlineLevel="2" x14ac:dyDescent="0.35">
      <c r="A140" s="93" t="s">
        <v>0</v>
      </c>
      <c r="B140" s="21"/>
      <c r="C140" s="85"/>
      <c r="D140" s="85"/>
      <c r="E140" s="85"/>
      <c r="F140" s="86"/>
      <c r="G140" s="22" t="s">
        <v>23</v>
      </c>
      <c r="H140" s="22" t="s">
        <v>23</v>
      </c>
      <c r="I140" s="23" t="s">
        <v>23</v>
      </c>
      <c r="J140" s="22" t="s">
        <v>23</v>
      </c>
      <c r="K140" s="38"/>
      <c r="L140" s="22"/>
      <c r="M140" s="286">
        <f ca="1">IFERROR(OFFSET(M140,-1,,1,1)+0.1,OFFSET(M140,-1,-1,1,1)&amp;".1")</f>
        <v>2.4000000000000004</v>
      </c>
      <c r="N140" s="23" t="s">
        <v>655</v>
      </c>
      <c r="O140" s="23"/>
      <c r="P140" s="23" t="s">
        <v>558</v>
      </c>
      <c r="Q140" s="144">
        <v>1</v>
      </c>
      <c r="R140" s="137">
        <v>3</v>
      </c>
      <c r="S140" s="169">
        <f>CEILING((IF(J140="Yes", 0, IF(H140="-",AA140,AA140+AA140*VLOOKUP(H140,BUFFERS_BY_TYPE,2,FALSE)))) +
   (IF(J140="Yes", 0, IF(H140="-",AA140,AA140+AA140*VLOOKUP(H140,BUFFERS_BY_TYPE,2,FALSE))))*VLOOKUP($S$5, SALES_CALL_SCALE_ARRAY, 2,FALSE),0.25)</f>
        <v>3</v>
      </c>
      <c r="T140" s="170"/>
      <c r="U140" s="24">
        <v>0</v>
      </c>
      <c r="V140" s="24">
        <v>1</v>
      </c>
      <c r="W140" s="24">
        <v>0</v>
      </c>
      <c r="X140" s="168">
        <v>3</v>
      </c>
      <c r="Y140" s="169">
        <f>CEILING((IF(P140=AS_DEV_EFFORT, DEV_EFFORT*Q140%,
                           IF(P140=AS_DURATION_EFFORT, (MANUAL_DURATION*5)*Q140%,
                                    (IF(Q140&lt;=1,X140,
                                          IF(SUM(U140:W140)=0,(Q140*X140),
                                               (((Q140*U140)*(X140+(X140*EXTRA_FOR_H)))+
                                               ((Q140*V140)*X140)+
                                               ((Q140*W140)*(X140-(X140*LESS_FOR_L)))
                                    )*IF(R140=0,1,R140))))))+Z140), 0.25)</f>
        <v>3</v>
      </c>
      <c r="Z140" s="25"/>
      <c r="AA140" s="169">
        <f>Y140+Y140*VLOOKUP(I140,EXTRAS_ARRAY,2,FALSE)</f>
        <v>3</v>
      </c>
      <c r="AB140" s="23"/>
      <c r="AC140" s="37"/>
      <c r="AD140" s="26" t="str">
        <f>IF(J140&lt;&gt;"Yes",
IF(S140&lt;=0,"Error: Effort value is not defined or is invalid.",
IF(AND(SUM(U140:W140)&gt;0,SUM(U140:W140)&lt;&gt;1),"Error: Complexity % distribution should sum to 100%.",
IF(AND(P140=AS_DEV_EFFORT,X140&lt;&gt;0),"Error: PDs should not be defined when defining as dev effort %.",
IF(AND(P140=AS_DURATION_EFFORT,X140&lt;&gt;0),"Error: PDs should not be defined when defining as duration effort %.","")))))</f>
        <v/>
      </c>
    </row>
    <row r="141" spans="1:30" ht="43.5" hidden="1" outlineLevel="2" x14ac:dyDescent="0.35">
      <c r="A141" s="93" t="s">
        <v>0</v>
      </c>
      <c r="B141" s="21"/>
      <c r="C141" s="85"/>
      <c r="D141" s="85"/>
      <c r="E141" s="85"/>
      <c r="F141" s="86"/>
      <c r="G141" s="22" t="s">
        <v>23</v>
      </c>
      <c r="H141" s="22" t="s">
        <v>23</v>
      </c>
      <c r="I141" s="23" t="s">
        <v>23</v>
      </c>
      <c r="J141" s="22" t="s">
        <v>23</v>
      </c>
      <c r="K141" s="38"/>
      <c r="L141" s="22"/>
      <c r="M141" s="286">
        <f ca="1">IFERROR(OFFSET(M141,-1,,1,1)+0.1,OFFSET(M141,-1,-1,1,1)&amp;".1")</f>
        <v>2.5000000000000004</v>
      </c>
      <c r="N141" s="23" t="s">
        <v>672</v>
      </c>
      <c r="O141" s="23"/>
      <c r="P141" s="23" t="s">
        <v>558</v>
      </c>
      <c r="Q141" s="144">
        <v>1</v>
      </c>
      <c r="R141" s="137">
        <v>2</v>
      </c>
      <c r="S141" s="169">
        <f>CEILING((IF(J141="Yes", 0, IF(H141="-",AA141,AA141+AA141*VLOOKUP(H141,BUFFERS_BY_TYPE,2,FALSE)))) +
   (IF(J141="Yes", 0, IF(H141="-",AA141,AA141+AA141*VLOOKUP(H141,BUFFERS_BY_TYPE,2,FALSE))))*VLOOKUP($S$5, SALES_CALL_SCALE_ARRAY, 2,FALSE),0.25)</f>
        <v>2</v>
      </c>
      <c r="T141" s="170"/>
      <c r="U141" s="24">
        <v>0</v>
      </c>
      <c r="V141" s="24">
        <v>1</v>
      </c>
      <c r="W141" s="24">
        <v>0</v>
      </c>
      <c r="X141" s="168">
        <v>2</v>
      </c>
      <c r="Y141" s="169">
        <f>CEILING((IF(P141=AS_DEV_EFFORT, DEV_EFFORT*Q141%,
                           IF(P141=AS_DURATION_EFFORT, (MANUAL_DURATION*5)*Q141%,
                                    (IF(Q141&lt;=1,X141,
                                          IF(SUM(U141:W141)=0,(Q141*X141),
                                               (((Q141*U141)*(X141+(X141*EXTRA_FOR_H)))+
                                               ((Q141*V141)*X141)+
                                               ((Q141*W141)*(X141-(X141*LESS_FOR_L)))
                                    )*IF(R141=0,1,R141))))))+Z141), 0.25)</f>
        <v>2</v>
      </c>
      <c r="Z141" s="25"/>
      <c r="AA141" s="169">
        <f>Y141+Y141*VLOOKUP(I141,EXTRAS_ARRAY,2,FALSE)</f>
        <v>2</v>
      </c>
      <c r="AB141" s="23"/>
      <c r="AC141" s="37"/>
      <c r="AD141" s="26" t="str">
        <f>IF(J141&lt;&gt;"Yes",
IF(S141&lt;=0,"Error: Effort value is not defined or is invalid.",
IF(AND(SUM(U141:W141)&gt;0,SUM(U141:W141)&lt;&gt;1),"Error: Complexity % distribution should sum to 100%.",
IF(AND(P141=AS_DEV_EFFORT,X141&lt;&gt;0),"Error: PDs should not be defined when defining as dev effort %.",
IF(AND(P141=AS_DURATION_EFFORT,X141&lt;&gt;0),"Error: PDs should not be defined when defining as duration effort %.","")))))</f>
        <v/>
      </c>
    </row>
    <row r="142" spans="1:30" s="11" customFormat="1" ht="7.5" hidden="1" customHeight="1" outlineLevel="2" x14ac:dyDescent="0.35">
      <c r="A142" s="93" t="s">
        <v>132</v>
      </c>
      <c r="B142" s="18"/>
      <c r="C142" s="78"/>
      <c r="D142" s="78"/>
      <c r="E142" s="78"/>
      <c r="F142" s="78"/>
      <c r="G142" s="10"/>
      <c r="H142" s="10"/>
      <c r="I142" s="10"/>
      <c r="J142" s="10"/>
      <c r="K142" s="10"/>
      <c r="L142" s="10"/>
      <c r="M142" s="287"/>
      <c r="N142" s="10"/>
      <c r="O142" s="10"/>
      <c r="P142" s="10"/>
      <c r="Q142" s="10"/>
      <c r="R142" s="10"/>
      <c r="S142" s="10"/>
      <c r="T142" s="18"/>
      <c r="U142" s="10"/>
      <c r="V142" s="10"/>
      <c r="W142" s="10"/>
      <c r="X142" s="18"/>
      <c r="Y142" s="10"/>
      <c r="Z142" s="10"/>
      <c r="AA142" s="10"/>
      <c r="AB142" s="60"/>
      <c r="AC142" s="60"/>
      <c r="AD142" s="12"/>
    </row>
    <row r="143" spans="1:30" s="17" customFormat="1" ht="15.5" hidden="1" outlineLevel="1" x14ac:dyDescent="0.35">
      <c r="A143" s="93" t="s">
        <v>107</v>
      </c>
      <c r="B143" s="21"/>
      <c r="C143" s="84"/>
      <c r="D143" s="84"/>
      <c r="E143" s="84"/>
      <c r="F143" s="83"/>
      <c r="G143" s="185"/>
      <c r="H143" s="185"/>
      <c r="I143" s="185"/>
      <c r="J143" s="185"/>
      <c r="K143" s="185"/>
      <c r="L143" s="92" t="s">
        <v>109</v>
      </c>
      <c r="M143" s="318" t="s">
        <v>657</v>
      </c>
      <c r="N143" s="318"/>
      <c r="O143" s="87"/>
      <c r="P143" s="88"/>
      <c r="Q143" s="88"/>
      <c r="R143" s="88"/>
      <c r="S143" s="319">
        <f>SUMGROUP(ROW(), "T")</f>
        <v>25.75</v>
      </c>
      <c r="T143" s="319"/>
      <c r="U143" s="320"/>
      <c r="V143" s="320"/>
      <c r="W143" s="320"/>
      <c r="X143" s="89"/>
      <c r="Y143" s="90"/>
      <c r="Z143" s="90"/>
      <c r="AA143" s="90"/>
      <c r="AB143" s="243"/>
      <c r="AC143" s="91"/>
      <c r="AD143" s="26" t="str">
        <f>IF(M143="", "Error: Module name cannot be empty.", "")</f>
        <v/>
      </c>
    </row>
    <row r="144" spans="1:30" s="17" customFormat="1" ht="15.5" hidden="1" outlineLevel="1" collapsed="1" x14ac:dyDescent="0.35">
      <c r="A144" s="93" t="s">
        <v>100</v>
      </c>
      <c r="B144" s="21"/>
      <c r="C144" s="84"/>
      <c r="D144" s="84"/>
      <c r="E144" s="84"/>
      <c r="F144" s="83"/>
      <c r="G144" s="32"/>
      <c r="H144" s="32"/>
      <c r="I144" s="32"/>
      <c r="J144" s="32"/>
      <c r="K144" s="32"/>
      <c r="L144" s="20">
        <f ca="1">LOOKUP(1000,INDIRECT("L1:"&amp;CELL("address",INDIRECT("R[-1]C",FALSE))))+1</f>
        <v>3</v>
      </c>
      <c r="M144" s="317" t="s">
        <v>562</v>
      </c>
      <c r="N144" s="317"/>
      <c r="O144" s="5"/>
      <c r="P144" s="33"/>
      <c r="Q144" s="33"/>
      <c r="R144" s="33"/>
      <c r="S144" s="33"/>
      <c r="T144" s="167">
        <f>IF($S$6="Exclude", SUMIFS(S145:S149, J145:J149, "&lt;&gt;Yes", G145:G149, "&lt;&gt;Yes"), SUMIFS(S145:S149, J145:J149, "&lt;&gt;Yes"))</f>
        <v>3.25</v>
      </c>
      <c r="U144" s="33"/>
      <c r="V144" s="33"/>
      <c r="W144" s="33"/>
      <c r="X144" s="34"/>
      <c r="Y144" s="35"/>
      <c r="Z144" s="35"/>
      <c r="AA144" s="35"/>
      <c r="AB144" s="240"/>
      <c r="AC144" s="36"/>
      <c r="AD144" s="26" t="str">
        <f>IF(M144="", "Error: Task name cannot be empty.", "")</f>
        <v/>
      </c>
    </row>
    <row r="145" spans="1:30" s="15" customFormat="1" ht="1.5" hidden="1" customHeight="1" outlineLevel="2" x14ac:dyDescent="0.35">
      <c r="A145" s="93" t="s">
        <v>101</v>
      </c>
      <c r="B145" s="21"/>
      <c r="C145" s="84"/>
      <c r="D145" s="84"/>
      <c r="E145" s="84"/>
      <c r="F145" s="83"/>
      <c r="G145" s="32"/>
      <c r="H145" s="32"/>
      <c r="I145" s="32"/>
      <c r="J145" s="32"/>
      <c r="K145" s="32"/>
      <c r="L145" s="175">
        <f ca="1">L144</f>
        <v>3</v>
      </c>
      <c r="M145" s="176" t="s">
        <v>105</v>
      </c>
      <c r="N145" s="173"/>
      <c r="O145" s="174"/>
      <c r="P145" s="33"/>
      <c r="Q145" s="33"/>
      <c r="R145" s="33"/>
      <c r="S145" s="33"/>
      <c r="T145" s="167"/>
      <c r="U145" s="33"/>
      <c r="V145" s="33"/>
      <c r="W145" s="33"/>
      <c r="X145" s="34"/>
      <c r="Y145" s="35"/>
      <c r="Z145" s="35"/>
      <c r="AA145" s="35"/>
      <c r="AB145" s="36"/>
      <c r="AC145" s="36"/>
      <c r="AD145" s="26"/>
    </row>
    <row r="146" spans="1:30" ht="29" hidden="1" outlineLevel="2" x14ac:dyDescent="0.35">
      <c r="A146" s="93" t="s">
        <v>0</v>
      </c>
      <c r="B146" s="21"/>
      <c r="C146" s="85"/>
      <c r="D146" s="85"/>
      <c r="E146" s="85"/>
      <c r="F146" s="86"/>
      <c r="G146" s="22" t="s">
        <v>23</v>
      </c>
      <c r="H146" s="22" t="s">
        <v>23</v>
      </c>
      <c r="I146" s="23" t="s">
        <v>23</v>
      </c>
      <c r="J146" s="22" t="s">
        <v>23</v>
      </c>
      <c r="K146" s="38"/>
      <c r="L146" s="22"/>
      <c r="M146" s="286" t="str">
        <f ca="1">IFERROR(OFFSET(M146,-1,,1,1)+0.1,OFFSET(M146,-1,-1,1,1)&amp;".1")</f>
        <v>3.1</v>
      </c>
      <c r="N146" s="23" t="s">
        <v>563</v>
      </c>
      <c r="O146" s="23"/>
      <c r="P146" s="23"/>
      <c r="Q146" s="144"/>
      <c r="R146" s="137"/>
      <c r="S146" s="169">
        <f>CEILING((IF(J146="Yes", 0, IF(H146="-",AA146,AA146+AA146*VLOOKUP(H146,BUFFERS_BY_TYPE,2,FALSE)))) +
   (IF(J146="Yes", 0, IF(H146="-",AA146,AA146+AA146*VLOOKUP(H146,BUFFERS_BY_TYPE,2,FALSE))))*VLOOKUP($S$5, SALES_CALL_SCALE_ARRAY, 2,FALSE),0.25)</f>
        <v>2</v>
      </c>
      <c r="T146" s="170"/>
      <c r="U146" s="24">
        <v>0</v>
      </c>
      <c r="V146" s="24">
        <v>1</v>
      </c>
      <c r="W146" s="24">
        <v>0</v>
      </c>
      <c r="X146" s="168">
        <v>2</v>
      </c>
      <c r="Y146" s="169">
        <f>CEILING((IF(P146=AS_DEV_EFFORT, DEV_EFFORT*Q146%,
                           IF(P146=AS_DURATION_EFFORT, (MANUAL_DURATION*5)*Q146%,
                                    (IF(Q146&lt;=1,X146,
                                          IF(SUM(U146:W146)=0,(Q146*X146),
                                               (((Q146*U146)*(X146+(X146*EXTRA_FOR_H)))+
                                               ((Q146*V146)*X146)+
                                               ((Q146*W146)*(X146-(X146*LESS_FOR_L)))
                                    )*IF(R146=0,1,R146))))))+Z146), 0.25)</f>
        <v>2</v>
      </c>
      <c r="Z146" s="25"/>
      <c r="AA146" s="169">
        <f>Y146+Y146*VLOOKUP(I146,EXTRAS_ARRAY,2,FALSE)</f>
        <v>2</v>
      </c>
      <c r="AB146" s="23"/>
      <c r="AC146" s="37"/>
      <c r="AD146" s="26" t="str">
        <f>IF(J146&lt;&gt;"Yes",
IF(S146&lt;=0,"Error: Effort value is not defined or is invalid.",
IF(AND(SUM(U146:W146)&gt;0,SUM(U146:W146)&lt;&gt;1),"Error: Complexity % distribution should sum to 100%.",
IF(AND(P146=AS_DEV_EFFORT,X146&lt;&gt;0),"Error: PDs should not be defined when defining as dev effort %.",
IF(AND(P146=AS_DURATION_EFFORT,X146&lt;&gt;0),"Error: PDs should not be defined when defining as duration effort %.","")))))</f>
        <v/>
      </c>
    </row>
    <row r="147" spans="1:30" ht="29" hidden="1" outlineLevel="2" x14ac:dyDescent="0.35">
      <c r="A147" s="93" t="s">
        <v>0</v>
      </c>
      <c r="B147" s="21"/>
      <c r="C147" s="85"/>
      <c r="D147" s="85"/>
      <c r="E147" s="85"/>
      <c r="F147" s="86"/>
      <c r="G147" s="22" t="s">
        <v>23</v>
      </c>
      <c r="H147" s="22" t="s">
        <v>23</v>
      </c>
      <c r="I147" s="23" t="s">
        <v>23</v>
      </c>
      <c r="J147" s="22" t="s">
        <v>23</v>
      </c>
      <c r="K147" s="38"/>
      <c r="L147" s="22"/>
      <c r="M147" s="286">
        <f ca="1">IFERROR(OFFSET(M147,-1,,1,1)+0.1,OFFSET(M147,-1,-1,1,1)&amp;".1")</f>
        <v>3.2</v>
      </c>
      <c r="N147" s="23" t="s">
        <v>564</v>
      </c>
      <c r="O147" s="23"/>
      <c r="P147" s="23"/>
      <c r="Q147" s="144"/>
      <c r="R147" s="137"/>
      <c r="S147" s="169">
        <f>CEILING((IF(J147="Yes", 0, IF(H147="-",AA147,AA147+AA147*VLOOKUP(H147,BUFFERS_BY_TYPE,2,FALSE)))) +
   (IF(J147="Yes", 0, IF(H147="-",AA147,AA147+AA147*VLOOKUP(H147,BUFFERS_BY_TYPE,2,FALSE))))*VLOOKUP($S$5, SALES_CALL_SCALE_ARRAY, 2,FALSE),0.25)</f>
        <v>1</v>
      </c>
      <c r="T147" s="170"/>
      <c r="U147" s="24">
        <v>0</v>
      </c>
      <c r="V147" s="24">
        <v>1</v>
      </c>
      <c r="W147" s="24">
        <v>0</v>
      </c>
      <c r="X147" s="168">
        <v>1</v>
      </c>
      <c r="Y147" s="169">
        <f>CEILING((IF(P147=AS_DEV_EFFORT, DEV_EFFORT*Q147%,
                           IF(P147=AS_DURATION_EFFORT, (MANUAL_DURATION*5)*Q147%,
                                    (IF(Q147&lt;=1,X147,
                                          IF(SUM(U147:W147)=0,(Q147*X147),
                                               (((Q147*U147)*(X147+(X147*EXTRA_FOR_H)))+
                                               ((Q147*V147)*X147)+
                                               ((Q147*W147)*(X147-(X147*LESS_FOR_L)))
                                    )*IF(R147=0,1,R147))))))+Z147), 0.25)</f>
        <v>1</v>
      </c>
      <c r="Z147" s="25"/>
      <c r="AA147" s="169">
        <f>Y147+Y147*VLOOKUP(I147,EXTRAS_ARRAY,2,FALSE)</f>
        <v>1</v>
      </c>
      <c r="AB147" s="23"/>
      <c r="AC147" s="37"/>
      <c r="AD147" s="26" t="str">
        <f>IF(J147&lt;&gt;"Yes",
IF(S147&lt;=0,"Error: Effort value is not defined or is invalid.",
IF(AND(SUM(U147:W147)&gt;0,SUM(U147:W147)&lt;&gt;1),"Error: Complexity % distribution should sum to 100%.",
IF(AND(P147=AS_DEV_EFFORT,X147&lt;&gt;0),"Error: PDs should not be defined when defining as dev effort %.",
IF(AND(P147=AS_DURATION_EFFORT,X147&lt;&gt;0),"Error: PDs should not be defined when defining as duration effort %.","")))))</f>
        <v/>
      </c>
    </row>
    <row r="148" spans="1:30" ht="29" hidden="1" outlineLevel="2" x14ac:dyDescent="0.35">
      <c r="A148" s="93" t="s">
        <v>0</v>
      </c>
      <c r="B148" s="21"/>
      <c r="C148" s="85"/>
      <c r="D148" s="85"/>
      <c r="E148" s="85"/>
      <c r="F148" s="86"/>
      <c r="G148" s="22" t="s">
        <v>23</v>
      </c>
      <c r="H148" s="22" t="s">
        <v>23</v>
      </c>
      <c r="I148" s="23" t="s">
        <v>23</v>
      </c>
      <c r="J148" s="22" t="s">
        <v>23</v>
      </c>
      <c r="K148" s="38"/>
      <c r="L148" s="22"/>
      <c r="M148" s="286">
        <f ca="1">IFERROR(OFFSET(M148,-1,,1,1)+0.1,OFFSET(M148,-1,-1,1,1)&amp;".1")</f>
        <v>3.3000000000000003</v>
      </c>
      <c r="N148" s="23" t="s">
        <v>565</v>
      </c>
      <c r="O148" s="23"/>
      <c r="P148" s="23"/>
      <c r="Q148" s="144"/>
      <c r="R148" s="137"/>
      <c r="S148" s="169">
        <f>CEILING((IF(J148="Yes", 0, IF(H148="-",AA148,AA148+AA148*VLOOKUP(H148,BUFFERS_BY_TYPE,2,FALSE)))) +
   (IF(J148="Yes", 0, IF(H148="-",AA148,AA148+AA148*VLOOKUP(H148,BUFFERS_BY_TYPE,2,FALSE))))*VLOOKUP($S$5, SALES_CALL_SCALE_ARRAY, 2,FALSE),0.25)</f>
        <v>0.25</v>
      </c>
      <c r="T148" s="170"/>
      <c r="U148" s="24">
        <v>0</v>
      </c>
      <c r="V148" s="24">
        <v>1</v>
      </c>
      <c r="W148" s="24">
        <v>0</v>
      </c>
      <c r="X148" s="168">
        <v>0.1</v>
      </c>
      <c r="Y148" s="169">
        <f>CEILING((IF(P148=AS_DEV_EFFORT, DEV_EFFORT*Q148%,
                           IF(P148=AS_DURATION_EFFORT, (MANUAL_DURATION*5)*Q148%,
                                    (IF(Q148&lt;=1,X148,
                                          IF(SUM(U148:W148)=0,(Q148*X148),
                                               (((Q148*U148)*(X148+(X148*EXTRA_FOR_H)))+
                                               ((Q148*V148)*X148)+
                                               ((Q148*W148)*(X148-(X148*LESS_FOR_L)))
                                    )*IF(R148=0,1,R148))))))+Z148), 0.25)</f>
        <v>0.25</v>
      </c>
      <c r="Z148" s="25"/>
      <c r="AA148" s="169">
        <f>Y148+Y148*VLOOKUP(I148,EXTRAS_ARRAY,2,FALSE)</f>
        <v>0.25</v>
      </c>
      <c r="AB148" s="23"/>
      <c r="AC148" s="37"/>
      <c r="AD148" s="26" t="str">
        <f>IF(J148&lt;&gt;"Yes",
IF(S148&lt;=0,"Error: Effort value is not defined or is invalid.",
IF(AND(SUM(U148:W148)&gt;0,SUM(U148:W148)&lt;&gt;1),"Error: Complexity % distribution should sum to 100%.",
IF(AND(P148=AS_DEV_EFFORT,X148&lt;&gt;0),"Error: PDs should not be defined when defining as dev effort %.",
IF(AND(P148=AS_DURATION_EFFORT,X148&lt;&gt;0),"Error: PDs should not be defined when defining as duration effort %.","")))))</f>
        <v/>
      </c>
    </row>
    <row r="149" spans="1:30" s="11" customFormat="1" ht="7.5" hidden="1" customHeight="1" outlineLevel="2" x14ac:dyDescent="0.35">
      <c r="A149" s="93" t="s">
        <v>132</v>
      </c>
      <c r="B149" s="18"/>
      <c r="C149" s="78"/>
      <c r="D149" s="78"/>
      <c r="E149" s="78"/>
      <c r="F149" s="78"/>
      <c r="G149" s="10"/>
      <c r="H149" s="10"/>
      <c r="I149" s="10"/>
      <c r="J149" s="10"/>
      <c r="K149" s="10"/>
      <c r="L149" s="10"/>
      <c r="M149" s="287"/>
      <c r="N149" s="10"/>
      <c r="O149" s="10"/>
      <c r="P149" s="10"/>
      <c r="Q149" s="10"/>
      <c r="R149" s="10"/>
      <c r="S149" s="10"/>
      <c r="T149" s="18"/>
      <c r="U149" s="10"/>
      <c r="V149" s="10"/>
      <c r="W149" s="10"/>
      <c r="X149" s="18"/>
      <c r="Y149" s="10"/>
      <c r="Z149" s="10"/>
      <c r="AA149" s="10"/>
      <c r="AB149" s="60"/>
      <c r="AC149" s="60"/>
      <c r="AD149" s="12"/>
    </row>
    <row r="150" spans="1:30" s="17" customFormat="1" ht="15.5" hidden="1" outlineLevel="1" collapsed="1" x14ac:dyDescent="0.35">
      <c r="A150" s="93" t="s">
        <v>100</v>
      </c>
      <c r="B150" s="21"/>
      <c r="C150" s="84"/>
      <c r="D150" s="84"/>
      <c r="E150" s="84"/>
      <c r="F150" s="83"/>
      <c r="G150" s="32"/>
      <c r="H150" s="32"/>
      <c r="I150" s="32"/>
      <c r="J150" s="32"/>
      <c r="K150" s="32"/>
      <c r="L150" s="20">
        <f ca="1">LOOKUP(1000,INDIRECT("L1:"&amp;CELL("address",INDIRECT("R[-1]C",FALSE))))+1</f>
        <v>4</v>
      </c>
      <c r="M150" s="317" t="s">
        <v>578</v>
      </c>
      <c r="N150" s="317"/>
      <c r="O150" s="5"/>
      <c r="P150" s="33"/>
      <c r="Q150" s="33"/>
      <c r="R150" s="33"/>
      <c r="S150" s="33"/>
      <c r="T150" s="167">
        <f>IF($S$6="Exclude", SUMIFS(S151:S154, J151:J154, "&lt;&gt;Yes", G151:G154, "&lt;&gt;Yes"), SUMIFS(S151:S154, J151:J154, "&lt;&gt;Yes"))</f>
        <v>6</v>
      </c>
      <c r="U150" s="33"/>
      <c r="V150" s="33"/>
      <c r="W150" s="33"/>
      <c r="X150" s="34"/>
      <c r="Y150" s="35"/>
      <c r="Z150" s="35"/>
      <c r="AA150" s="35"/>
      <c r="AB150" s="240"/>
      <c r="AC150" s="36"/>
      <c r="AD150" s="26" t="str">
        <f>IF(M150="", "Error: Task name cannot be empty.", "")</f>
        <v/>
      </c>
    </row>
    <row r="151" spans="1:30" s="15" customFormat="1" ht="1.5" hidden="1" customHeight="1" outlineLevel="2" x14ac:dyDescent="0.35">
      <c r="A151" s="93" t="s">
        <v>101</v>
      </c>
      <c r="B151" s="21"/>
      <c r="C151" s="84"/>
      <c r="D151" s="84"/>
      <c r="E151" s="84"/>
      <c r="F151" s="83"/>
      <c r="G151" s="32"/>
      <c r="H151" s="32"/>
      <c r="I151" s="32"/>
      <c r="J151" s="32"/>
      <c r="K151" s="32"/>
      <c r="L151" s="175">
        <f ca="1">L150</f>
        <v>4</v>
      </c>
      <c r="M151" s="176" t="s">
        <v>105</v>
      </c>
      <c r="N151" s="173"/>
      <c r="O151" s="174"/>
      <c r="P151" s="33"/>
      <c r="Q151" s="33"/>
      <c r="R151" s="33"/>
      <c r="S151" s="33"/>
      <c r="T151" s="167"/>
      <c r="U151" s="33"/>
      <c r="V151" s="33"/>
      <c r="W151" s="33"/>
      <c r="X151" s="34"/>
      <c r="Y151" s="35"/>
      <c r="Z151" s="35"/>
      <c r="AA151" s="35"/>
      <c r="AB151" s="36"/>
      <c r="AC151" s="36"/>
      <c r="AD151" s="26"/>
    </row>
    <row r="152" spans="1:30" ht="43.5" hidden="1" outlineLevel="2" x14ac:dyDescent="0.35">
      <c r="A152" s="93" t="s">
        <v>0</v>
      </c>
      <c r="B152" s="21"/>
      <c r="C152" s="85"/>
      <c r="D152" s="85"/>
      <c r="E152" s="85"/>
      <c r="F152" s="86"/>
      <c r="G152" s="22" t="s">
        <v>23</v>
      </c>
      <c r="H152" s="22" t="s">
        <v>23</v>
      </c>
      <c r="I152" s="23" t="s">
        <v>23</v>
      </c>
      <c r="J152" s="22" t="s">
        <v>23</v>
      </c>
      <c r="K152" s="38"/>
      <c r="L152" s="22"/>
      <c r="M152" s="286" t="str">
        <f ca="1">IFERROR(OFFSET(M152,-1,,1,1)+0.1,OFFSET(M152,-1,-1,1,1)&amp;".1")</f>
        <v>4.1</v>
      </c>
      <c r="N152" s="23" t="s">
        <v>579</v>
      </c>
      <c r="O152" s="23"/>
      <c r="P152" s="23"/>
      <c r="Q152" s="144"/>
      <c r="R152" s="137"/>
      <c r="S152" s="169">
        <f>CEILING((IF(J152="Yes", 0, IF(H152="-",AA152,AA152+AA152*VLOOKUP(H152,BUFFERS_BY_TYPE,2,FALSE)))) +
   (IF(J152="Yes", 0, IF(H152="-",AA152,AA152+AA152*VLOOKUP(H152,BUFFERS_BY_TYPE,2,FALSE))))*VLOOKUP($S$5, SALES_CALL_SCALE_ARRAY, 2,FALSE),0.25)</f>
        <v>3</v>
      </c>
      <c r="T152" s="170"/>
      <c r="U152" s="24">
        <v>0</v>
      </c>
      <c r="V152" s="24">
        <v>1</v>
      </c>
      <c r="W152" s="24">
        <v>0</v>
      </c>
      <c r="X152" s="168">
        <v>3</v>
      </c>
      <c r="Y152" s="169">
        <f>CEILING((IF(P152=AS_DEV_EFFORT, DEV_EFFORT*Q152%,
                           IF(P152=AS_DURATION_EFFORT, (MANUAL_DURATION*5)*Q152%,
                                    (IF(Q152&lt;=1,X152,
                                          IF(SUM(U152:W152)=0,(Q152*X152),
                                               (((Q152*U152)*(X152+(X152*EXTRA_FOR_H)))+
                                               ((Q152*V152)*X152)+
                                               ((Q152*W152)*(X152-(X152*LESS_FOR_L)))
                                    )*IF(R152=0,1,R152))))))+Z152), 0.25)</f>
        <v>3</v>
      </c>
      <c r="Z152" s="25"/>
      <c r="AA152" s="169">
        <f>Y152+Y152*VLOOKUP(I152,EXTRAS_ARRAY,2,FALSE)</f>
        <v>3</v>
      </c>
      <c r="AB152" s="23"/>
      <c r="AC152" s="37"/>
      <c r="AD152" s="26" t="str">
        <f>IF(J152&lt;&gt;"Yes",
IF(S152&lt;=0,"Error: Effort value is not defined or is invalid.",
IF(AND(SUM(U152:W152)&gt;0,SUM(U152:W152)&lt;&gt;1),"Error: Complexity % distribution should sum to 100%.",
IF(AND(P152=AS_DEV_EFFORT,X152&lt;&gt;0),"Error: PDs should not be defined when defining as dev effort %.",
IF(AND(P152=AS_DURATION_EFFORT,X152&lt;&gt;0),"Error: PDs should not be defined when defining as duration effort %.","")))))</f>
        <v/>
      </c>
    </row>
    <row r="153" spans="1:30" ht="58" hidden="1" outlineLevel="2" x14ac:dyDescent="0.35">
      <c r="A153" s="93" t="s">
        <v>0</v>
      </c>
      <c r="B153" s="21"/>
      <c r="C153" s="85"/>
      <c r="D153" s="85"/>
      <c r="E153" s="85"/>
      <c r="F153" s="86"/>
      <c r="G153" s="22" t="s">
        <v>23</v>
      </c>
      <c r="H153" s="22" t="s">
        <v>23</v>
      </c>
      <c r="I153" s="23" t="s">
        <v>23</v>
      </c>
      <c r="J153" s="22" t="s">
        <v>23</v>
      </c>
      <c r="K153" s="38"/>
      <c r="L153" s="22"/>
      <c r="M153" s="286">
        <f ca="1">IFERROR(OFFSET(M153,-1,,1,1)+0.1,OFFSET(M153,-1,-1,1,1)&amp;".1")</f>
        <v>4.1999999999999993</v>
      </c>
      <c r="N153" s="23" t="s">
        <v>580</v>
      </c>
      <c r="O153" s="23"/>
      <c r="P153" s="23"/>
      <c r="Q153" s="144"/>
      <c r="R153" s="137"/>
      <c r="S153" s="169">
        <f>CEILING((IF(J153="Yes", 0, IF(H153="-",AA153,AA153+AA153*VLOOKUP(H153,BUFFERS_BY_TYPE,2,FALSE)))) +
   (IF(J153="Yes", 0, IF(H153="-",AA153,AA153+AA153*VLOOKUP(H153,BUFFERS_BY_TYPE,2,FALSE))))*VLOOKUP($S$5, SALES_CALL_SCALE_ARRAY, 2,FALSE),0.25)</f>
        <v>3</v>
      </c>
      <c r="T153" s="170"/>
      <c r="U153" s="24">
        <v>0</v>
      </c>
      <c r="V153" s="24">
        <v>1</v>
      </c>
      <c r="W153" s="24">
        <v>0</v>
      </c>
      <c r="X153" s="168">
        <v>3</v>
      </c>
      <c r="Y153" s="169">
        <f>CEILING((IF(P153=AS_DEV_EFFORT, DEV_EFFORT*Q153%,
                           IF(P153=AS_DURATION_EFFORT, (MANUAL_DURATION*5)*Q153%,
                                    (IF(Q153&lt;=1,X153,
                                          IF(SUM(U153:W153)=0,(Q153*X153),
                                               (((Q153*U153)*(X153+(X153*EXTRA_FOR_H)))+
                                               ((Q153*V153)*X153)+
                                               ((Q153*W153)*(X153-(X153*LESS_FOR_L)))
                                    )*IF(R153=0,1,R153))))))+Z153), 0.25)</f>
        <v>3</v>
      </c>
      <c r="Z153" s="25"/>
      <c r="AA153" s="169">
        <f>Y153+Y153*VLOOKUP(I153,EXTRAS_ARRAY,2,FALSE)</f>
        <v>3</v>
      </c>
      <c r="AB153" s="23"/>
      <c r="AC153" s="37"/>
      <c r="AD153" s="26" t="str">
        <f>IF(J153&lt;&gt;"Yes",
IF(S153&lt;=0,"Error: Effort value is not defined or is invalid.",
IF(AND(SUM(U153:W153)&gt;0,SUM(U153:W153)&lt;&gt;1),"Error: Complexity % distribution should sum to 100%.",
IF(AND(P153=AS_DEV_EFFORT,X153&lt;&gt;0),"Error: PDs should not be defined when defining as dev effort %.",
IF(AND(P153=AS_DURATION_EFFORT,X153&lt;&gt;0),"Error: PDs should not be defined when defining as duration effort %.","")))))</f>
        <v/>
      </c>
    </row>
    <row r="154" spans="1:30" s="11" customFormat="1" ht="7.5" hidden="1" customHeight="1" outlineLevel="2" x14ac:dyDescent="0.35">
      <c r="A154" s="93" t="s">
        <v>132</v>
      </c>
      <c r="B154" s="18"/>
      <c r="C154" s="78"/>
      <c r="D154" s="78"/>
      <c r="E154" s="78"/>
      <c r="F154" s="78"/>
      <c r="G154" s="10"/>
      <c r="H154" s="10"/>
      <c r="I154" s="10"/>
      <c r="J154" s="10"/>
      <c r="K154" s="10"/>
      <c r="L154" s="10"/>
      <c r="M154" s="287"/>
      <c r="N154" s="10"/>
      <c r="O154" s="10"/>
      <c r="P154" s="10"/>
      <c r="Q154" s="10"/>
      <c r="R154" s="10"/>
      <c r="S154" s="10"/>
      <c r="T154" s="18"/>
      <c r="U154" s="10"/>
      <c r="V154" s="10"/>
      <c r="W154" s="10"/>
      <c r="X154" s="18"/>
      <c r="Y154" s="10"/>
      <c r="Z154" s="10"/>
      <c r="AA154" s="10"/>
      <c r="AB154" s="60"/>
      <c r="AC154" s="60"/>
      <c r="AD154" s="12"/>
    </row>
    <row r="155" spans="1:30" s="17" customFormat="1" ht="15.5" hidden="1" outlineLevel="1" collapsed="1" x14ac:dyDescent="0.35">
      <c r="A155" s="93" t="s">
        <v>100</v>
      </c>
      <c r="B155" s="21"/>
      <c r="C155" s="84"/>
      <c r="D155" s="84"/>
      <c r="E155" s="84"/>
      <c r="F155" s="83"/>
      <c r="G155" s="32"/>
      <c r="H155" s="32"/>
      <c r="I155" s="32"/>
      <c r="J155" s="32"/>
      <c r="K155" s="32"/>
      <c r="L155" s="20">
        <f ca="1">LOOKUP(1000,INDIRECT("L1:"&amp;CELL("address",INDIRECT("R[-1]C",FALSE))))+1</f>
        <v>5</v>
      </c>
      <c r="M155" s="317" t="s">
        <v>581</v>
      </c>
      <c r="N155" s="317"/>
      <c r="O155" s="5"/>
      <c r="P155" s="33"/>
      <c r="Q155" s="33"/>
      <c r="R155" s="33"/>
      <c r="S155" s="33"/>
      <c r="T155" s="167">
        <f>IF($S$6="Exclude", SUMIFS(S156:S159, J156:J159, "&lt;&gt;Yes", G156:G159, "&lt;&gt;Yes"), SUMIFS(S156:S159, J156:J159, "&lt;&gt;Yes"))</f>
        <v>4.5</v>
      </c>
      <c r="U155" s="33"/>
      <c r="V155" s="33"/>
      <c r="W155" s="33"/>
      <c r="X155" s="34"/>
      <c r="Y155" s="35"/>
      <c r="Z155" s="35"/>
      <c r="AA155" s="35"/>
      <c r="AB155" s="240"/>
      <c r="AC155" s="36"/>
      <c r="AD155" s="26" t="str">
        <f>IF(M155="", "Error: Task name cannot be empty.", "")</f>
        <v/>
      </c>
    </row>
    <row r="156" spans="1:30" s="15" customFormat="1" ht="1.5" hidden="1" customHeight="1" outlineLevel="2" x14ac:dyDescent="0.35">
      <c r="A156" s="93" t="s">
        <v>101</v>
      </c>
      <c r="B156" s="21"/>
      <c r="C156" s="84"/>
      <c r="D156" s="84"/>
      <c r="E156" s="84"/>
      <c r="F156" s="83"/>
      <c r="G156" s="32"/>
      <c r="H156" s="32"/>
      <c r="I156" s="32"/>
      <c r="J156" s="32"/>
      <c r="K156" s="32"/>
      <c r="L156" s="175">
        <f ca="1">L155</f>
        <v>5</v>
      </c>
      <c r="M156" s="176" t="s">
        <v>105</v>
      </c>
      <c r="N156" s="173"/>
      <c r="O156" s="174"/>
      <c r="P156" s="33"/>
      <c r="Q156" s="33"/>
      <c r="R156" s="33"/>
      <c r="S156" s="33"/>
      <c r="T156" s="167"/>
      <c r="U156" s="33"/>
      <c r="V156" s="33"/>
      <c r="W156" s="33"/>
      <c r="X156" s="34"/>
      <c r="Y156" s="35"/>
      <c r="Z156" s="35"/>
      <c r="AA156" s="35"/>
      <c r="AB156" s="36"/>
      <c r="AC156" s="36"/>
      <c r="AD156" s="26"/>
    </row>
    <row r="157" spans="1:30" ht="43.5" hidden="1" outlineLevel="2" x14ac:dyDescent="0.35">
      <c r="A157" s="93" t="s">
        <v>0</v>
      </c>
      <c r="B157" s="21"/>
      <c r="C157" s="85"/>
      <c r="D157" s="85"/>
      <c r="E157" s="85"/>
      <c r="F157" s="86"/>
      <c r="G157" s="22" t="s">
        <v>23</v>
      </c>
      <c r="H157" s="22" t="s">
        <v>23</v>
      </c>
      <c r="I157" s="23" t="s">
        <v>23</v>
      </c>
      <c r="J157" s="22" t="s">
        <v>23</v>
      </c>
      <c r="K157" s="38"/>
      <c r="L157" s="22"/>
      <c r="M157" s="286" t="str">
        <f ca="1">IFERROR(OFFSET(M157,-1,,1,1)+0.1,OFFSET(M157,-1,-1,1,1)&amp;".1")</f>
        <v>5.1</v>
      </c>
      <c r="N157" s="23" t="s">
        <v>582</v>
      </c>
      <c r="O157" s="23"/>
      <c r="P157" s="23"/>
      <c r="Q157" s="144"/>
      <c r="R157" s="137"/>
      <c r="S157" s="169">
        <f>CEILING((IF(J157="Yes", 0, IF(H157="-",AA157,AA157+AA157*VLOOKUP(H157,BUFFERS_BY_TYPE,2,FALSE)))) +
   (IF(J157="Yes", 0, IF(H157="-",AA157,AA157+AA157*VLOOKUP(H157,BUFFERS_BY_TYPE,2,FALSE))))*VLOOKUP($S$5, SALES_CALL_SCALE_ARRAY, 2,FALSE),0.25)</f>
        <v>1.5</v>
      </c>
      <c r="T157" s="170"/>
      <c r="U157" s="24">
        <v>0</v>
      </c>
      <c r="V157" s="24">
        <v>1</v>
      </c>
      <c r="W157" s="24">
        <v>0</v>
      </c>
      <c r="X157" s="168">
        <v>1.5</v>
      </c>
      <c r="Y157" s="169">
        <f>CEILING((IF(P157=AS_DEV_EFFORT, DEV_EFFORT*Q157%,
                           IF(P157=AS_DURATION_EFFORT, (MANUAL_DURATION*5)*Q157%,
                                    (IF(Q157&lt;=1,X157,
                                          IF(SUM(U157:W157)=0,(Q157*X157),
                                               (((Q157*U157)*(X157+(X157*EXTRA_FOR_H)))+
                                               ((Q157*V157)*X157)+
                                               ((Q157*W157)*(X157-(X157*LESS_FOR_L)))
                                    )*IF(R157=0,1,R157))))))+Z157), 0.25)</f>
        <v>1.5</v>
      </c>
      <c r="Z157" s="25"/>
      <c r="AA157" s="169">
        <f>Y157+Y157*VLOOKUP(I157,EXTRAS_ARRAY,2,FALSE)</f>
        <v>1.5</v>
      </c>
      <c r="AB157" s="23"/>
      <c r="AC157" s="37"/>
      <c r="AD157" s="26" t="str">
        <f>IF(J157&lt;&gt;"Yes",
IF(S157&lt;=0,"Error: Effort value is not defined or is invalid.",
IF(AND(SUM(U157:W157)&gt;0,SUM(U157:W157)&lt;&gt;1),"Error: Complexity % distribution should sum to 100%.",
IF(AND(P157=AS_DEV_EFFORT,X157&lt;&gt;0),"Error: PDs should not be defined when defining as dev effort %.",
IF(AND(P157=AS_DURATION_EFFORT,X157&lt;&gt;0),"Error: PDs should not be defined when defining as duration effort %.","")))))</f>
        <v/>
      </c>
    </row>
    <row r="158" spans="1:30" ht="58" hidden="1" outlineLevel="2" x14ac:dyDescent="0.35">
      <c r="A158" s="93" t="s">
        <v>0</v>
      </c>
      <c r="B158" s="21"/>
      <c r="C158" s="85"/>
      <c r="D158" s="85"/>
      <c r="E158" s="85"/>
      <c r="F158" s="86"/>
      <c r="G158" s="22" t="s">
        <v>23</v>
      </c>
      <c r="H158" s="22" t="s">
        <v>23</v>
      </c>
      <c r="I158" s="23" t="s">
        <v>23</v>
      </c>
      <c r="J158" s="22" t="s">
        <v>23</v>
      </c>
      <c r="K158" s="38"/>
      <c r="L158" s="22"/>
      <c r="M158" s="286">
        <f ca="1">IFERROR(OFFSET(M158,-1,,1,1)+0.1,OFFSET(M158,-1,-1,1,1)&amp;".1")</f>
        <v>5.1999999999999993</v>
      </c>
      <c r="N158" s="23" t="s">
        <v>658</v>
      </c>
      <c r="O158" s="23"/>
      <c r="P158" s="23"/>
      <c r="Q158" s="144"/>
      <c r="R158" s="137"/>
      <c r="S158" s="169">
        <f>CEILING((IF(J158="Yes", 0, IF(H158="-",AA158,AA158+AA158*VLOOKUP(H158,BUFFERS_BY_TYPE,2,FALSE)))) +
   (IF(J158="Yes", 0, IF(H158="-",AA158,AA158+AA158*VLOOKUP(H158,BUFFERS_BY_TYPE,2,FALSE))))*VLOOKUP($S$5, SALES_CALL_SCALE_ARRAY, 2,FALSE),0.25)</f>
        <v>3</v>
      </c>
      <c r="T158" s="170"/>
      <c r="U158" s="24">
        <v>0</v>
      </c>
      <c r="V158" s="24">
        <v>1</v>
      </c>
      <c r="W158" s="24">
        <v>0</v>
      </c>
      <c r="X158" s="168">
        <v>3</v>
      </c>
      <c r="Y158" s="169">
        <f>CEILING((IF(P158=AS_DEV_EFFORT, DEV_EFFORT*Q158%,
                           IF(P158=AS_DURATION_EFFORT, (MANUAL_DURATION*5)*Q158%,
                                    (IF(Q158&lt;=1,X158,
                                          IF(SUM(U158:W158)=0,(Q158*X158),
                                               (((Q158*U158)*(X158+(X158*EXTRA_FOR_H)))+
                                               ((Q158*V158)*X158)+
                                               ((Q158*W158)*(X158-(X158*LESS_FOR_L)))
                                    )*IF(R158=0,1,R158))))))+Z158), 0.25)</f>
        <v>3</v>
      </c>
      <c r="Z158" s="25"/>
      <c r="AA158" s="169">
        <f>Y158+Y158*VLOOKUP(I158,EXTRAS_ARRAY,2,FALSE)</f>
        <v>3</v>
      </c>
      <c r="AB158" s="23"/>
      <c r="AC158" s="37"/>
      <c r="AD158" s="26" t="str">
        <f>IF(J158&lt;&gt;"Yes",
IF(S158&lt;=0,"Error: Effort value is not defined or is invalid.",
IF(AND(SUM(U158:W158)&gt;0,SUM(U158:W158)&lt;&gt;1),"Error: Complexity % distribution should sum to 100%.",
IF(AND(P158=AS_DEV_EFFORT,X158&lt;&gt;0),"Error: PDs should not be defined when defining as dev effort %.",
IF(AND(P158=AS_DURATION_EFFORT,X158&lt;&gt;0),"Error: PDs should not be defined when defining as duration effort %.","")))))</f>
        <v/>
      </c>
    </row>
    <row r="159" spans="1:30" s="11" customFormat="1" ht="7.5" hidden="1" customHeight="1" outlineLevel="2" x14ac:dyDescent="0.35">
      <c r="A159" s="93" t="s">
        <v>132</v>
      </c>
      <c r="B159" s="18"/>
      <c r="C159" s="78"/>
      <c r="D159" s="78"/>
      <c r="E159" s="78"/>
      <c r="F159" s="78"/>
      <c r="G159" s="10"/>
      <c r="H159" s="10"/>
      <c r="I159" s="10"/>
      <c r="J159" s="10"/>
      <c r="K159" s="10"/>
      <c r="L159" s="10"/>
      <c r="M159" s="287"/>
      <c r="N159" s="10"/>
      <c r="O159" s="10"/>
      <c r="P159" s="10"/>
      <c r="Q159" s="10"/>
      <c r="R159" s="10"/>
      <c r="S159" s="10"/>
      <c r="T159" s="18"/>
      <c r="U159" s="10"/>
      <c r="V159" s="10"/>
      <c r="W159" s="10"/>
      <c r="X159" s="18"/>
      <c r="Y159" s="10"/>
      <c r="Z159" s="10"/>
      <c r="AA159" s="10"/>
      <c r="AB159" s="60"/>
      <c r="AC159" s="60"/>
      <c r="AD159" s="12"/>
    </row>
    <row r="160" spans="1:30" s="17" customFormat="1" ht="15.5" hidden="1" outlineLevel="1" collapsed="1" x14ac:dyDescent="0.35">
      <c r="A160" s="93" t="s">
        <v>100</v>
      </c>
      <c r="B160" s="21"/>
      <c r="C160" s="84"/>
      <c r="D160" s="84"/>
      <c r="E160" s="84"/>
      <c r="F160" s="83"/>
      <c r="G160" s="32"/>
      <c r="H160" s="32"/>
      <c r="I160" s="32"/>
      <c r="J160" s="32"/>
      <c r="K160" s="32"/>
      <c r="L160" s="20">
        <f ca="1">LOOKUP(1000,INDIRECT("L1:"&amp;CELL("address",INDIRECT("R[-1]C",FALSE))))+1</f>
        <v>6</v>
      </c>
      <c r="M160" s="317" t="s">
        <v>583</v>
      </c>
      <c r="N160" s="317"/>
      <c r="O160" s="5"/>
      <c r="P160" s="33"/>
      <c r="Q160" s="33"/>
      <c r="R160" s="33"/>
      <c r="S160" s="33"/>
      <c r="T160" s="167">
        <f>IF($S$6="Exclude", SUMIFS(S161:S163, J161:J163, "&lt;&gt;Yes", G161:G163, "&lt;&gt;Yes"), SUMIFS(S161:S163, J161:J163, "&lt;&gt;Yes"))</f>
        <v>3.5</v>
      </c>
      <c r="U160" s="33"/>
      <c r="V160" s="33"/>
      <c r="W160" s="33"/>
      <c r="X160" s="34"/>
      <c r="Y160" s="35"/>
      <c r="Z160" s="35"/>
      <c r="AA160" s="35"/>
      <c r="AB160" s="240"/>
      <c r="AC160" s="36"/>
      <c r="AD160" s="26" t="str">
        <f>IF(M160="", "Error: Task name cannot be empty.", "")</f>
        <v/>
      </c>
    </row>
    <row r="161" spans="1:30" s="15" customFormat="1" ht="1.5" hidden="1" customHeight="1" outlineLevel="2" x14ac:dyDescent="0.35">
      <c r="A161" s="93" t="s">
        <v>101</v>
      </c>
      <c r="B161" s="21"/>
      <c r="C161" s="84"/>
      <c r="D161" s="84"/>
      <c r="E161" s="84"/>
      <c r="F161" s="83"/>
      <c r="G161" s="32"/>
      <c r="H161" s="32"/>
      <c r="I161" s="32"/>
      <c r="J161" s="32"/>
      <c r="K161" s="32"/>
      <c r="L161" s="175">
        <f ca="1">L160</f>
        <v>6</v>
      </c>
      <c r="M161" s="176" t="s">
        <v>105</v>
      </c>
      <c r="N161" s="173"/>
      <c r="O161" s="174"/>
      <c r="P161" s="33"/>
      <c r="Q161" s="33"/>
      <c r="R161" s="33"/>
      <c r="S161" s="33"/>
      <c r="T161" s="167"/>
      <c r="U161" s="33"/>
      <c r="V161" s="33"/>
      <c r="W161" s="33"/>
      <c r="X161" s="34"/>
      <c r="Y161" s="35"/>
      <c r="Z161" s="35"/>
      <c r="AA161" s="35"/>
      <c r="AB161" s="36"/>
      <c r="AC161" s="36"/>
      <c r="AD161" s="26"/>
    </row>
    <row r="162" spans="1:30" ht="29" hidden="1" outlineLevel="2" x14ac:dyDescent="0.35">
      <c r="A162" s="93" t="s">
        <v>0</v>
      </c>
      <c r="B162" s="21"/>
      <c r="C162" s="85"/>
      <c r="D162" s="85"/>
      <c r="E162" s="85"/>
      <c r="F162" s="86"/>
      <c r="G162" s="22" t="s">
        <v>23</v>
      </c>
      <c r="H162" s="22" t="s">
        <v>23</v>
      </c>
      <c r="I162" s="23" t="s">
        <v>23</v>
      </c>
      <c r="J162" s="22" t="s">
        <v>23</v>
      </c>
      <c r="K162" s="38"/>
      <c r="L162" s="22"/>
      <c r="M162" s="286" t="str">
        <f ca="1">IFERROR(OFFSET(M162,-1,,1,1)+0.1,OFFSET(M162,-1,-1,1,1)&amp;".1")</f>
        <v>6.1</v>
      </c>
      <c r="N162" s="23" t="s">
        <v>584</v>
      </c>
      <c r="O162" s="23"/>
      <c r="P162" s="23"/>
      <c r="Q162" s="144"/>
      <c r="R162" s="137"/>
      <c r="S162" s="169">
        <f>CEILING((IF(J162="Yes", 0, IF(H162="-",AA162,AA162+AA162*VLOOKUP(H162,BUFFERS_BY_TYPE,2,FALSE)))) +
   (IF(J162="Yes", 0, IF(H162="-",AA162,AA162+AA162*VLOOKUP(H162,BUFFERS_BY_TYPE,2,FALSE))))*VLOOKUP($S$5, SALES_CALL_SCALE_ARRAY, 2,FALSE),0.25)</f>
        <v>3.5</v>
      </c>
      <c r="T162" s="170"/>
      <c r="U162" s="24">
        <v>0</v>
      </c>
      <c r="V162" s="24">
        <v>1</v>
      </c>
      <c r="W162" s="24">
        <v>0</v>
      </c>
      <c r="X162" s="168">
        <v>3.5</v>
      </c>
      <c r="Y162" s="169">
        <f>CEILING((IF(P162=AS_DEV_EFFORT, DEV_EFFORT*Q162%,
                           IF(P162=AS_DURATION_EFFORT, (MANUAL_DURATION*5)*Q162%,
                                    (IF(Q162&lt;=1,X162,
                                          IF(SUM(U162:W162)=0,(Q162*X162),
                                               (((Q162*U162)*(X162+(X162*EXTRA_FOR_H)))+
                                               ((Q162*V162)*X162)+
                                               ((Q162*W162)*(X162-(X162*LESS_FOR_L)))
                                    )*IF(R162=0,1,R162))))))+Z162), 0.25)</f>
        <v>3.5</v>
      </c>
      <c r="Z162" s="25"/>
      <c r="AA162" s="169">
        <f>Y162+Y162*VLOOKUP(I162,EXTRAS_ARRAY,2,FALSE)</f>
        <v>3.5</v>
      </c>
      <c r="AB162" s="23"/>
      <c r="AC162" s="37"/>
      <c r="AD162" s="26" t="str">
        <f>IF(J162&lt;&gt;"Yes",
IF(S162&lt;=0,"Error: Effort value is not defined or is invalid.",
IF(AND(SUM(U162:W162)&gt;0,SUM(U162:W162)&lt;&gt;1),"Error: Complexity % distribution should sum to 100%.",
IF(AND(P162=AS_DEV_EFFORT,X162&lt;&gt;0),"Error: PDs should not be defined when defining as dev effort %.",
IF(AND(P162=AS_DURATION_EFFORT,X162&lt;&gt;0),"Error: PDs should not be defined when defining as duration effort %.","")))))</f>
        <v/>
      </c>
    </row>
    <row r="163" spans="1:30" s="11" customFormat="1" ht="7.5" hidden="1" customHeight="1" outlineLevel="2" x14ac:dyDescent="0.35">
      <c r="A163" s="93" t="s">
        <v>132</v>
      </c>
      <c r="B163" s="18"/>
      <c r="C163" s="78"/>
      <c r="D163" s="78"/>
      <c r="E163" s="78"/>
      <c r="F163" s="78"/>
      <c r="G163" s="10"/>
      <c r="H163" s="10"/>
      <c r="I163" s="10"/>
      <c r="J163" s="10"/>
      <c r="K163" s="10"/>
      <c r="L163" s="10"/>
      <c r="M163" s="287"/>
      <c r="N163" s="10"/>
      <c r="O163" s="10"/>
      <c r="P163" s="10"/>
      <c r="Q163" s="10"/>
      <c r="R163" s="10"/>
      <c r="S163" s="10"/>
      <c r="T163" s="18"/>
      <c r="U163" s="10"/>
      <c r="V163" s="10"/>
      <c r="W163" s="10"/>
      <c r="X163" s="18"/>
      <c r="Y163" s="10"/>
      <c r="Z163" s="10"/>
      <c r="AA163" s="10"/>
      <c r="AB163" s="60"/>
      <c r="AC163" s="60"/>
      <c r="AD163" s="12"/>
    </row>
    <row r="164" spans="1:30" s="17" customFormat="1" ht="15.5" hidden="1" outlineLevel="1" collapsed="1" x14ac:dyDescent="0.35">
      <c r="A164" s="93" t="s">
        <v>100</v>
      </c>
      <c r="B164" s="21"/>
      <c r="C164" s="84"/>
      <c r="D164" s="84"/>
      <c r="E164" s="84"/>
      <c r="F164" s="83"/>
      <c r="G164" s="32"/>
      <c r="H164" s="32"/>
      <c r="I164" s="32"/>
      <c r="J164" s="32"/>
      <c r="K164" s="32"/>
      <c r="L164" s="20">
        <f ca="1">LOOKUP(1000,INDIRECT("L1:"&amp;CELL("address",INDIRECT("R[-1]C",FALSE))))+1</f>
        <v>7</v>
      </c>
      <c r="M164" s="317" t="s">
        <v>585</v>
      </c>
      <c r="N164" s="317"/>
      <c r="O164" s="5"/>
      <c r="P164" s="33"/>
      <c r="Q164" s="33"/>
      <c r="R164" s="33"/>
      <c r="S164" s="33"/>
      <c r="T164" s="167">
        <f>IF($S$6="Exclude", SUMIFS(S165:S167, J165:J167, "&lt;&gt;Yes", G165:G167, "&lt;&gt;Yes"), SUMIFS(S165:S167, J165:J167, "&lt;&gt;Yes"))</f>
        <v>2.5</v>
      </c>
      <c r="U164" s="33"/>
      <c r="V164" s="33"/>
      <c r="W164" s="33"/>
      <c r="X164" s="34"/>
      <c r="Y164" s="35"/>
      <c r="Z164" s="35"/>
      <c r="AA164" s="35"/>
      <c r="AB164" s="240"/>
      <c r="AC164" s="36"/>
      <c r="AD164" s="26" t="str">
        <f>IF(M164="", "Error: Task name cannot be empty.", "")</f>
        <v/>
      </c>
    </row>
    <row r="165" spans="1:30" s="15" customFormat="1" ht="1.5" hidden="1" customHeight="1" outlineLevel="2" x14ac:dyDescent="0.35">
      <c r="A165" s="93" t="s">
        <v>101</v>
      </c>
      <c r="B165" s="21"/>
      <c r="C165" s="84"/>
      <c r="D165" s="84"/>
      <c r="E165" s="84"/>
      <c r="F165" s="83"/>
      <c r="G165" s="32"/>
      <c r="H165" s="32"/>
      <c r="I165" s="32"/>
      <c r="J165" s="32"/>
      <c r="K165" s="32"/>
      <c r="L165" s="175">
        <f ca="1">L164</f>
        <v>7</v>
      </c>
      <c r="M165" s="176" t="s">
        <v>105</v>
      </c>
      <c r="N165" s="173"/>
      <c r="O165" s="174"/>
      <c r="P165" s="33"/>
      <c r="Q165" s="33"/>
      <c r="R165" s="33"/>
      <c r="S165" s="33"/>
      <c r="T165" s="167"/>
      <c r="U165" s="33"/>
      <c r="V165" s="33"/>
      <c r="W165" s="33"/>
      <c r="X165" s="34"/>
      <c r="Y165" s="35"/>
      <c r="Z165" s="35"/>
      <c r="AA165" s="35"/>
      <c r="AB165" s="36"/>
      <c r="AC165" s="36"/>
      <c r="AD165" s="26"/>
    </row>
    <row r="166" spans="1:30" ht="43.5" hidden="1" outlineLevel="2" x14ac:dyDescent="0.35">
      <c r="A166" s="93" t="s">
        <v>0</v>
      </c>
      <c r="B166" s="21"/>
      <c r="C166" s="85"/>
      <c r="D166" s="85"/>
      <c r="E166" s="85"/>
      <c r="F166" s="86"/>
      <c r="G166" s="22" t="s">
        <v>23</v>
      </c>
      <c r="H166" s="22" t="s">
        <v>23</v>
      </c>
      <c r="I166" s="23" t="s">
        <v>23</v>
      </c>
      <c r="J166" s="22" t="s">
        <v>23</v>
      </c>
      <c r="K166" s="38"/>
      <c r="L166" s="22"/>
      <c r="M166" s="286" t="str">
        <f ca="1">IFERROR(OFFSET(M166,-1,,1,1)+0.1,OFFSET(M166,-1,-1,1,1)&amp;".1")</f>
        <v>7.1</v>
      </c>
      <c r="N166" s="23" t="s">
        <v>586</v>
      </c>
      <c r="O166" s="23"/>
      <c r="P166" s="23"/>
      <c r="Q166" s="144"/>
      <c r="R166" s="137"/>
      <c r="S166" s="169">
        <f>CEILING((IF(J166="Yes", 0, IF(H166="-",AA166,AA166+AA166*VLOOKUP(H166,BUFFERS_BY_TYPE,2,FALSE)))) +
   (IF(J166="Yes", 0, IF(H166="-",AA166,AA166+AA166*VLOOKUP(H166,BUFFERS_BY_TYPE,2,FALSE))))*VLOOKUP($S$5, SALES_CALL_SCALE_ARRAY, 2,FALSE),0.25)</f>
        <v>2.5</v>
      </c>
      <c r="T166" s="170"/>
      <c r="U166" s="24">
        <v>0</v>
      </c>
      <c r="V166" s="24">
        <v>1</v>
      </c>
      <c r="W166" s="24">
        <v>0</v>
      </c>
      <c r="X166" s="168">
        <v>2.5</v>
      </c>
      <c r="Y166" s="169">
        <f>CEILING((IF(P166=AS_DEV_EFFORT, DEV_EFFORT*Q166%,
                           IF(P166=AS_DURATION_EFFORT, (MANUAL_DURATION*5)*Q166%,
                                    (IF(Q166&lt;=1,X166,
                                          IF(SUM(U166:W166)=0,(Q166*X166),
                                               (((Q166*U166)*(X166+(X166*EXTRA_FOR_H)))+
                                               ((Q166*V166)*X166)+
                                               ((Q166*W166)*(X166-(X166*LESS_FOR_L)))
                                    )*IF(R166=0,1,R166))))))+Z166), 0.25)</f>
        <v>2.5</v>
      </c>
      <c r="Z166" s="25"/>
      <c r="AA166" s="169">
        <f>Y166+Y166*VLOOKUP(I166,EXTRAS_ARRAY,2,FALSE)</f>
        <v>2.5</v>
      </c>
      <c r="AB166" s="23"/>
      <c r="AC166" s="37"/>
      <c r="AD166" s="26" t="str">
        <f>IF(J166&lt;&gt;"Yes",
IF(S166&lt;=0,"Error: Effort value is not defined or is invalid.",
IF(AND(SUM(U166:W166)&gt;0,SUM(U166:W166)&lt;&gt;1),"Error: Complexity % distribution should sum to 100%.",
IF(AND(P166=AS_DEV_EFFORT,X166&lt;&gt;0),"Error: PDs should not be defined when defining as dev effort %.",
IF(AND(P166=AS_DURATION_EFFORT,X166&lt;&gt;0),"Error: PDs should not be defined when defining as duration effort %.","")))))</f>
        <v/>
      </c>
    </row>
    <row r="167" spans="1:30" s="11" customFormat="1" ht="7.5" hidden="1" customHeight="1" outlineLevel="2" x14ac:dyDescent="0.35">
      <c r="A167" s="93" t="s">
        <v>132</v>
      </c>
      <c r="B167" s="18"/>
      <c r="C167" s="78"/>
      <c r="D167" s="78"/>
      <c r="E167" s="78"/>
      <c r="F167" s="78"/>
      <c r="G167" s="10"/>
      <c r="H167" s="10"/>
      <c r="I167" s="10"/>
      <c r="J167" s="10"/>
      <c r="K167" s="10"/>
      <c r="L167" s="10"/>
      <c r="M167" s="287"/>
      <c r="N167" s="10"/>
      <c r="O167" s="10"/>
      <c r="P167" s="10"/>
      <c r="Q167" s="10"/>
      <c r="R167" s="10"/>
      <c r="S167" s="10"/>
      <c r="T167" s="18"/>
      <c r="U167" s="10"/>
      <c r="V167" s="10"/>
      <c r="W167" s="10"/>
      <c r="X167" s="18"/>
      <c r="Y167" s="10"/>
      <c r="Z167" s="10"/>
      <c r="AA167" s="10"/>
      <c r="AB167" s="60"/>
      <c r="AC167" s="60"/>
      <c r="AD167" s="12"/>
    </row>
    <row r="168" spans="1:30" s="17" customFormat="1" ht="15.5" hidden="1" outlineLevel="1" collapsed="1" x14ac:dyDescent="0.35">
      <c r="A168" s="93" t="s">
        <v>100</v>
      </c>
      <c r="B168" s="21"/>
      <c r="C168" s="84"/>
      <c r="D168" s="84"/>
      <c r="E168" s="84"/>
      <c r="F168" s="83"/>
      <c r="G168" s="32"/>
      <c r="H168" s="32"/>
      <c r="I168" s="32"/>
      <c r="J168" s="32"/>
      <c r="K168" s="32"/>
      <c r="L168" s="20">
        <f ca="1">LOOKUP(1000,INDIRECT("L1:"&amp;CELL("address",INDIRECT("R[-1]C",FALSE))))+1</f>
        <v>8</v>
      </c>
      <c r="M168" s="317" t="s">
        <v>587</v>
      </c>
      <c r="N168" s="317"/>
      <c r="O168" s="5"/>
      <c r="P168" s="33"/>
      <c r="Q168" s="33"/>
      <c r="R168" s="33"/>
      <c r="S168" s="33"/>
      <c r="T168" s="167">
        <f>IF($S$6="Exclude", SUMIFS(S169:S172, J169:J172, "&lt;&gt;Yes", G169:G172, "&lt;&gt;Yes"), SUMIFS(S169:S172, J169:J172, "&lt;&gt;Yes"))</f>
        <v>6</v>
      </c>
      <c r="U168" s="33"/>
      <c r="V168" s="33"/>
      <c r="W168" s="33"/>
      <c r="X168" s="34"/>
      <c r="Y168" s="35"/>
      <c r="Z168" s="35"/>
      <c r="AA168" s="35"/>
      <c r="AB168" s="240"/>
      <c r="AC168" s="36"/>
      <c r="AD168" s="26" t="str">
        <f>IF(M168="", "Error: Task name cannot be empty.", "")</f>
        <v/>
      </c>
    </row>
    <row r="169" spans="1:30" s="15" customFormat="1" ht="1.5" hidden="1" customHeight="1" outlineLevel="2" x14ac:dyDescent="0.35">
      <c r="A169" s="93" t="s">
        <v>101</v>
      </c>
      <c r="B169" s="21"/>
      <c r="C169" s="84"/>
      <c r="D169" s="84"/>
      <c r="E169" s="84"/>
      <c r="F169" s="83"/>
      <c r="G169" s="32"/>
      <c r="H169" s="32"/>
      <c r="I169" s="32"/>
      <c r="J169" s="32"/>
      <c r="K169" s="32"/>
      <c r="L169" s="175">
        <f ca="1">L168</f>
        <v>8</v>
      </c>
      <c r="M169" s="176" t="s">
        <v>105</v>
      </c>
      <c r="N169" s="173"/>
      <c r="O169" s="174"/>
      <c r="P169" s="33"/>
      <c r="Q169" s="33"/>
      <c r="R169" s="33"/>
      <c r="S169" s="33"/>
      <c r="T169" s="167"/>
      <c r="U169" s="33"/>
      <c r="V169" s="33"/>
      <c r="W169" s="33"/>
      <c r="X169" s="34"/>
      <c r="Y169" s="35"/>
      <c r="Z169" s="35"/>
      <c r="AA169" s="35"/>
      <c r="AB169" s="36"/>
      <c r="AC169" s="36"/>
      <c r="AD169" s="26"/>
    </row>
    <row r="170" spans="1:30" ht="72.5" hidden="1" outlineLevel="2" x14ac:dyDescent="0.35">
      <c r="A170" s="93" t="s">
        <v>0</v>
      </c>
      <c r="B170" s="21"/>
      <c r="C170" s="85"/>
      <c r="D170" s="85"/>
      <c r="E170" s="85"/>
      <c r="F170" s="86"/>
      <c r="G170" s="22" t="s">
        <v>23</v>
      </c>
      <c r="H170" s="22" t="s">
        <v>23</v>
      </c>
      <c r="I170" s="23" t="s">
        <v>23</v>
      </c>
      <c r="J170" s="22" t="s">
        <v>23</v>
      </c>
      <c r="K170" s="38"/>
      <c r="L170" s="22"/>
      <c r="M170" s="286" t="str">
        <f ca="1">IFERROR(OFFSET(M170,-1,,1,1)+0.1,OFFSET(M170,-1,-1,1,1)&amp;".1")</f>
        <v>8.1</v>
      </c>
      <c r="N170" s="23" t="s">
        <v>659</v>
      </c>
      <c r="O170" s="23"/>
      <c r="P170" s="23"/>
      <c r="Q170" s="144"/>
      <c r="R170" s="137"/>
      <c r="S170" s="169">
        <f>CEILING((IF(J170="Yes", 0, IF(H170="-",AA170,AA170+AA170*VLOOKUP(H170,BUFFERS_BY_TYPE,2,FALSE)))) +
   (IF(J170="Yes", 0, IF(H170="-",AA170,AA170+AA170*VLOOKUP(H170,BUFFERS_BY_TYPE,2,FALSE))))*VLOOKUP($S$5, SALES_CALL_SCALE_ARRAY, 2,FALSE),0.25)</f>
        <v>4</v>
      </c>
      <c r="T170" s="170"/>
      <c r="U170" s="24">
        <v>0</v>
      </c>
      <c r="V170" s="24">
        <v>1</v>
      </c>
      <c r="W170" s="24">
        <v>0</v>
      </c>
      <c r="X170" s="168">
        <v>4</v>
      </c>
      <c r="Y170" s="169">
        <f>CEILING((IF(P170=AS_DEV_EFFORT, DEV_EFFORT*Q170%,
                           IF(P170=AS_DURATION_EFFORT, (MANUAL_DURATION*5)*Q170%,
                                    (IF(Q170&lt;=1,X170,
                                          IF(SUM(U170:W170)=0,(Q170*X170),
                                               (((Q170*U170)*(X170+(X170*EXTRA_FOR_H)))+
                                               ((Q170*V170)*X170)+
                                               ((Q170*W170)*(X170-(X170*LESS_FOR_L)))
                                    )*IF(R170=0,1,R170))))))+Z170), 0.25)</f>
        <v>4</v>
      </c>
      <c r="Z170" s="25"/>
      <c r="AA170" s="169">
        <f>Y170+Y170*VLOOKUP(I170,EXTRAS_ARRAY,2,FALSE)</f>
        <v>4</v>
      </c>
      <c r="AB170" s="23"/>
      <c r="AC170" s="37"/>
      <c r="AD170" s="26" t="str">
        <f>IF(J170&lt;&gt;"Yes",
IF(S170&lt;=0,"Error: Effort value is not defined or is invalid.",
IF(AND(SUM(U170:W170)&gt;0,SUM(U170:W170)&lt;&gt;1),"Error: Complexity % distribution should sum to 100%.",
IF(AND(P170=AS_DEV_EFFORT,X170&lt;&gt;0),"Error: PDs should not be defined when defining as dev effort %.",
IF(AND(P170=AS_DURATION_EFFORT,X170&lt;&gt;0),"Error: PDs should not be defined when defining as duration effort %.","")))))</f>
        <v/>
      </c>
    </row>
    <row r="171" spans="1:30" ht="29" hidden="1" outlineLevel="2" x14ac:dyDescent="0.35">
      <c r="A171" s="93" t="s">
        <v>0</v>
      </c>
      <c r="B171" s="21"/>
      <c r="C171" s="85"/>
      <c r="D171" s="85"/>
      <c r="E171" s="85"/>
      <c r="F171" s="86"/>
      <c r="G171" s="22" t="s">
        <v>23</v>
      </c>
      <c r="H171" s="22" t="s">
        <v>23</v>
      </c>
      <c r="I171" s="23" t="s">
        <v>23</v>
      </c>
      <c r="J171" s="22" t="s">
        <v>23</v>
      </c>
      <c r="K171" s="38"/>
      <c r="L171" s="22"/>
      <c r="M171" s="286">
        <f ca="1">IFERROR(OFFSET(M171,-1,,1,1)+0.1,OFFSET(M171,-1,-1,1,1)&amp;".1")</f>
        <v>8.1999999999999993</v>
      </c>
      <c r="N171" s="23" t="s">
        <v>588</v>
      </c>
      <c r="O171" s="23"/>
      <c r="P171" s="23"/>
      <c r="Q171" s="144"/>
      <c r="R171" s="137"/>
      <c r="S171" s="169">
        <f>CEILING((IF(J171="Yes", 0, IF(H171="-",AA171,AA171+AA171*VLOOKUP(H171,BUFFERS_BY_TYPE,2,FALSE)))) +
   (IF(J171="Yes", 0, IF(H171="-",AA171,AA171+AA171*VLOOKUP(H171,BUFFERS_BY_TYPE,2,FALSE))))*VLOOKUP($S$5, SALES_CALL_SCALE_ARRAY, 2,FALSE),0.25)</f>
        <v>2</v>
      </c>
      <c r="T171" s="170"/>
      <c r="U171" s="24">
        <v>0</v>
      </c>
      <c r="V171" s="24">
        <v>1</v>
      </c>
      <c r="W171" s="24">
        <v>0</v>
      </c>
      <c r="X171" s="168">
        <v>2</v>
      </c>
      <c r="Y171" s="169">
        <f>CEILING((IF(P171=AS_DEV_EFFORT, DEV_EFFORT*Q171%,
                           IF(P171=AS_DURATION_EFFORT, (MANUAL_DURATION*5)*Q171%,
                                    (IF(Q171&lt;=1,X171,
                                          IF(SUM(U171:W171)=0,(Q171*X171),
                                               (((Q171*U171)*(X171+(X171*EXTRA_FOR_H)))+
                                               ((Q171*V171)*X171)+
                                               ((Q171*W171)*(X171-(X171*LESS_FOR_L)))
                                    )*IF(R171=0,1,R171))))))+Z171), 0.25)</f>
        <v>2</v>
      </c>
      <c r="Z171" s="25"/>
      <c r="AA171" s="169">
        <f>Y171+Y171*VLOOKUP(I171,EXTRAS_ARRAY,2,FALSE)</f>
        <v>2</v>
      </c>
      <c r="AB171" s="23"/>
      <c r="AC171" s="37"/>
      <c r="AD171" s="26" t="str">
        <f>IF(J171&lt;&gt;"Yes",
IF(S171&lt;=0,"Error: Effort value is not defined or is invalid.",
IF(AND(SUM(U171:W171)&gt;0,SUM(U171:W171)&lt;&gt;1),"Error: Complexity % distribution should sum to 100%.",
IF(AND(P171=AS_DEV_EFFORT,X171&lt;&gt;0),"Error: PDs should not be defined when defining as dev effort %.",
IF(AND(P171=AS_DURATION_EFFORT,X171&lt;&gt;0),"Error: PDs should not be defined when defining as duration effort %.","")))))</f>
        <v/>
      </c>
    </row>
    <row r="172" spans="1:30" s="11" customFormat="1" ht="7.5" hidden="1" customHeight="1" outlineLevel="2" x14ac:dyDescent="0.35">
      <c r="A172" s="93" t="s">
        <v>132</v>
      </c>
      <c r="B172" s="18"/>
      <c r="C172" s="78"/>
      <c r="D172" s="78"/>
      <c r="E172" s="78"/>
      <c r="F172" s="78"/>
      <c r="G172" s="10"/>
      <c r="H172" s="10"/>
      <c r="I172" s="10"/>
      <c r="J172" s="10"/>
      <c r="K172" s="10"/>
      <c r="L172" s="10"/>
      <c r="M172" s="287"/>
      <c r="N172" s="10"/>
      <c r="O172" s="10"/>
      <c r="P172" s="10"/>
      <c r="Q172" s="10"/>
      <c r="R172" s="10"/>
      <c r="S172" s="10"/>
      <c r="T172" s="18"/>
      <c r="U172" s="10"/>
      <c r="V172" s="10"/>
      <c r="W172" s="10"/>
      <c r="X172" s="18"/>
      <c r="Y172" s="10"/>
      <c r="Z172" s="10"/>
      <c r="AA172" s="10"/>
      <c r="AB172" s="60"/>
      <c r="AC172" s="60"/>
      <c r="AD172" s="12"/>
    </row>
    <row r="173" spans="1:30" s="17" customFormat="1" ht="15.5" hidden="1" outlineLevel="1" x14ac:dyDescent="0.35">
      <c r="A173" s="93" t="s">
        <v>107</v>
      </c>
      <c r="B173" s="21"/>
      <c r="C173" s="84"/>
      <c r="D173" s="84"/>
      <c r="E173" s="84"/>
      <c r="F173" s="83"/>
      <c r="G173" s="185"/>
      <c r="H173" s="185"/>
      <c r="I173" s="185"/>
      <c r="J173" s="185"/>
      <c r="K173" s="185"/>
      <c r="L173" s="92" t="s">
        <v>109</v>
      </c>
      <c r="M173" s="318" t="s">
        <v>656</v>
      </c>
      <c r="N173" s="318"/>
      <c r="O173" s="87"/>
      <c r="P173" s="88"/>
      <c r="Q173" s="88"/>
      <c r="R173" s="88"/>
      <c r="S173" s="319">
        <f>SUMGROUP(ROW(), "T")</f>
        <v>19</v>
      </c>
      <c r="T173" s="319"/>
      <c r="U173" s="320"/>
      <c r="V173" s="320"/>
      <c r="W173" s="320"/>
      <c r="X173" s="89"/>
      <c r="Y173" s="90"/>
      <c r="Z173" s="90"/>
      <c r="AA173" s="90"/>
      <c r="AB173" s="243"/>
      <c r="AC173" s="91"/>
      <c r="AD173" s="26" t="str">
        <f>IF(M173="", "Error: Module name cannot be empty.", "")</f>
        <v/>
      </c>
    </row>
    <row r="174" spans="1:30" s="17" customFormat="1" ht="15.5" hidden="1" outlineLevel="1" collapsed="1" x14ac:dyDescent="0.35">
      <c r="A174" s="93" t="s">
        <v>100</v>
      </c>
      <c r="B174" s="21"/>
      <c r="C174" s="84"/>
      <c r="D174" s="84"/>
      <c r="E174" s="84"/>
      <c r="F174" s="83"/>
      <c r="G174" s="32"/>
      <c r="H174" s="32"/>
      <c r="I174" s="32"/>
      <c r="J174" s="32"/>
      <c r="K174" s="32"/>
      <c r="L174" s="20">
        <f ca="1">LOOKUP(1000,INDIRECT("L1:"&amp;CELL("address",INDIRECT("R[-1]C",FALSE))))+1</f>
        <v>9</v>
      </c>
      <c r="M174" s="317" t="s">
        <v>590</v>
      </c>
      <c r="N174" s="317"/>
      <c r="O174" s="5"/>
      <c r="P174" s="33"/>
      <c r="Q174" s="33"/>
      <c r="R174" s="33"/>
      <c r="S174" s="33"/>
      <c r="T174" s="167">
        <f>IF($S$6="Exclude", SUMIFS(S175:S177, J175:J177, "&lt;&gt;Yes", G175:G177, "&lt;&gt;Yes"), SUMIFS(S175:S177, J175:J177, "&lt;&gt;Yes"))</f>
        <v>2.5</v>
      </c>
      <c r="U174" s="33"/>
      <c r="V174" s="33"/>
      <c r="W174" s="33"/>
      <c r="X174" s="34"/>
      <c r="Y174" s="35"/>
      <c r="Z174" s="35"/>
      <c r="AA174" s="35"/>
      <c r="AB174" s="240"/>
      <c r="AC174" s="36"/>
      <c r="AD174" s="26" t="str">
        <f>IF(M174="", "Error: Task name cannot be empty.", "")</f>
        <v/>
      </c>
    </row>
    <row r="175" spans="1:30" s="15" customFormat="1" ht="1.5" hidden="1" customHeight="1" outlineLevel="2" x14ac:dyDescent="0.35">
      <c r="A175" s="93" t="s">
        <v>101</v>
      </c>
      <c r="B175" s="21"/>
      <c r="C175" s="84"/>
      <c r="D175" s="84"/>
      <c r="E175" s="84"/>
      <c r="F175" s="83"/>
      <c r="G175" s="32"/>
      <c r="H175" s="32"/>
      <c r="I175" s="32"/>
      <c r="J175" s="32"/>
      <c r="K175" s="32"/>
      <c r="L175" s="175">
        <f ca="1">L174</f>
        <v>9</v>
      </c>
      <c r="M175" s="176" t="s">
        <v>105</v>
      </c>
      <c r="N175" s="173"/>
      <c r="O175" s="174"/>
      <c r="P175" s="33"/>
      <c r="Q175" s="33"/>
      <c r="R175" s="33"/>
      <c r="S175" s="33"/>
      <c r="T175" s="167"/>
      <c r="U175" s="33"/>
      <c r="V175" s="33"/>
      <c r="W175" s="33"/>
      <c r="X175" s="34"/>
      <c r="Y175" s="35"/>
      <c r="Z175" s="35"/>
      <c r="AA175" s="35"/>
      <c r="AB175" s="36"/>
      <c r="AC175" s="36"/>
      <c r="AD175" s="26"/>
    </row>
    <row r="176" spans="1:30" ht="58" hidden="1" outlineLevel="2" x14ac:dyDescent="0.35">
      <c r="A176" s="93" t="s">
        <v>0</v>
      </c>
      <c r="B176" s="21"/>
      <c r="C176" s="85"/>
      <c r="D176" s="85"/>
      <c r="E176" s="85"/>
      <c r="F176" s="86"/>
      <c r="G176" s="22" t="s">
        <v>23</v>
      </c>
      <c r="H176" s="22" t="s">
        <v>23</v>
      </c>
      <c r="I176" s="23" t="s">
        <v>23</v>
      </c>
      <c r="J176" s="22" t="s">
        <v>23</v>
      </c>
      <c r="K176" s="38"/>
      <c r="L176" s="22"/>
      <c r="M176" s="286" t="str">
        <f ca="1">IFERROR(OFFSET(M176,-1,,1,1)+0.1,OFFSET(M176,-1,-1,1,1)&amp;".1")</f>
        <v>9.1</v>
      </c>
      <c r="N176" s="23" t="s">
        <v>591</v>
      </c>
      <c r="O176" s="23"/>
      <c r="P176" s="23"/>
      <c r="Q176" s="144"/>
      <c r="R176" s="137"/>
      <c r="S176" s="169">
        <f>CEILING((IF(J176="Yes", 0, IF(H176="-",AA176,AA176+AA176*VLOOKUP(H176,BUFFERS_BY_TYPE,2,FALSE)))) +
   (IF(J176="Yes", 0, IF(H176="-",AA176,AA176+AA176*VLOOKUP(H176,BUFFERS_BY_TYPE,2,FALSE))))*VLOOKUP($S$5, SALES_CALL_SCALE_ARRAY, 2,FALSE),0.25)</f>
        <v>2.5</v>
      </c>
      <c r="T176" s="170"/>
      <c r="U176" s="24">
        <v>0</v>
      </c>
      <c r="V176" s="24">
        <v>1</v>
      </c>
      <c r="W176" s="24">
        <v>0</v>
      </c>
      <c r="X176" s="168">
        <v>2.5</v>
      </c>
      <c r="Y176" s="169">
        <f>CEILING((IF(P176=AS_DEV_EFFORT, DEV_EFFORT*Q176%,
                           IF(P176=AS_DURATION_EFFORT, (MANUAL_DURATION*5)*Q176%,
                                    (IF(Q176&lt;=1,X176,
                                          IF(SUM(U176:W176)=0,(Q176*X176),
                                               (((Q176*U176)*(X176+(X176*EXTRA_FOR_H)))+
                                               ((Q176*V176)*X176)+
                                               ((Q176*W176)*(X176-(X176*LESS_FOR_L)))
                                    )*IF(R176=0,1,R176))))))+Z176), 0.25)</f>
        <v>2.5</v>
      </c>
      <c r="Z176" s="25"/>
      <c r="AA176" s="169">
        <f>Y176+Y176*VLOOKUP(I176,EXTRAS_ARRAY,2,FALSE)</f>
        <v>2.5</v>
      </c>
      <c r="AB176" s="23"/>
      <c r="AC176" s="37"/>
      <c r="AD176" s="26" t="str">
        <f>IF(J176&lt;&gt;"Yes",
IF(S176&lt;=0,"Error: Effort value is not defined or is invalid.",
IF(AND(SUM(U176:W176)&gt;0,SUM(U176:W176)&lt;&gt;1),"Error: Complexity % distribution should sum to 100%.",
IF(AND(P176=AS_DEV_EFFORT,X176&lt;&gt;0),"Error: PDs should not be defined when defining as dev effort %.",
IF(AND(P176=AS_DURATION_EFFORT,X176&lt;&gt;0),"Error: PDs should not be defined when defining as duration effort %.","")))))</f>
        <v/>
      </c>
    </row>
    <row r="177" spans="1:30" s="11" customFormat="1" ht="7.5" hidden="1" customHeight="1" outlineLevel="2" x14ac:dyDescent="0.35">
      <c r="A177" s="93" t="s">
        <v>132</v>
      </c>
      <c r="B177" s="18"/>
      <c r="C177" s="78"/>
      <c r="D177" s="78"/>
      <c r="E177" s="78"/>
      <c r="F177" s="78"/>
      <c r="G177" s="10"/>
      <c r="H177" s="10"/>
      <c r="I177" s="10"/>
      <c r="J177" s="10"/>
      <c r="K177" s="10"/>
      <c r="L177" s="10"/>
      <c r="M177" s="287"/>
      <c r="N177" s="10"/>
      <c r="O177" s="10"/>
      <c r="P177" s="10"/>
      <c r="Q177" s="10"/>
      <c r="R177" s="10"/>
      <c r="S177" s="10"/>
      <c r="T177" s="18"/>
      <c r="U177" s="10"/>
      <c r="V177" s="10"/>
      <c r="W177" s="10"/>
      <c r="X177" s="18"/>
      <c r="Y177" s="10"/>
      <c r="Z177" s="10"/>
      <c r="AA177" s="10"/>
      <c r="AB177" s="60"/>
      <c r="AC177" s="60"/>
      <c r="AD177" s="12"/>
    </row>
    <row r="178" spans="1:30" s="17" customFormat="1" ht="15.5" hidden="1" outlineLevel="1" collapsed="1" x14ac:dyDescent="0.35">
      <c r="A178" s="93" t="s">
        <v>100</v>
      </c>
      <c r="B178" s="21"/>
      <c r="C178" s="84"/>
      <c r="D178" s="84"/>
      <c r="E178" s="84"/>
      <c r="F178" s="83"/>
      <c r="G178" s="32"/>
      <c r="H178" s="32"/>
      <c r="I178" s="32"/>
      <c r="J178" s="32"/>
      <c r="K178" s="32"/>
      <c r="L178" s="20">
        <f ca="1">LOOKUP(1000,INDIRECT("L1:"&amp;CELL("address",INDIRECT("R[-1]C",FALSE))))+1</f>
        <v>10</v>
      </c>
      <c r="M178" s="317" t="s">
        <v>592</v>
      </c>
      <c r="N178" s="317"/>
      <c r="O178" s="5"/>
      <c r="P178" s="33"/>
      <c r="Q178" s="33"/>
      <c r="R178" s="33"/>
      <c r="S178" s="33"/>
      <c r="T178" s="167">
        <f>IF($S$6="Exclude", SUMIFS(S179:S181, J179:J181, "&lt;&gt;Yes", G179:G181, "&lt;&gt;Yes"), SUMIFS(S179:S181, J179:J181, "&lt;&gt;Yes"))</f>
        <v>5</v>
      </c>
      <c r="U178" s="33"/>
      <c r="V178" s="33"/>
      <c r="W178" s="33"/>
      <c r="X178" s="34"/>
      <c r="Y178" s="35"/>
      <c r="Z178" s="35"/>
      <c r="AA178" s="35"/>
      <c r="AB178" s="240"/>
      <c r="AC178" s="36"/>
      <c r="AD178" s="26" t="str">
        <f>IF(M178="", "Error: Task name cannot be empty.", "")</f>
        <v/>
      </c>
    </row>
    <row r="179" spans="1:30" s="15" customFormat="1" ht="1.5" hidden="1" customHeight="1" outlineLevel="2" x14ac:dyDescent="0.35">
      <c r="A179" s="93" t="s">
        <v>101</v>
      </c>
      <c r="B179" s="21"/>
      <c r="C179" s="84"/>
      <c r="D179" s="84"/>
      <c r="E179" s="84"/>
      <c r="F179" s="83"/>
      <c r="G179" s="32"/>
      <c r="H179" s="32"/>
      <c r="I179" s="32"/>
      <c r="J179" s="32"/>
      <c r="K179" s="32"/>
      <c r="L179" s="175">
        <f ca="1">L178</f>
        <v>10</v>
      </c>
      <c r="M179" s="176" t="s">
        <v>105</v>
      </c>
      <c r="N179" s="173"/>
      <c r="O179" s="174"/>
      <c r="P179" s="33"/>
      <c r="Q179" s="33"/>
      <c r="R179" s="33"/>
      <c r="S179" s="33"/>
      <c r="T179" s="167"/>
      <c r="U179" s="33"/>
      <c r="V179" s="33"/>
      <c r="W179" s="33"/>
      <c r="X179" s="34"/>
      <c r="Y179" s="35"/>
      <c r="Z179" s="35"/>
      <c r="AA179" s="35"/>
      <c r="AB179" s="36"/>
      <c r="AC179" s="36"/>
      <c r="AD179" s="26"/>
    </row>
    <row r="180" spans="1:30" ht="58" hidden="1" outlineLevel="2" x14ac:dyDescent="0.35">
      <c r="A180" s="93" t="s">
        <v>0</v>
      </c>
      <c r="B180" s="21"/>
      <c r="C180" s="85"/>
      <c r="D180" s="85"/>
      <c r="E180" s="85"/>
      <c r="F180" s="86"/>
      <c r="G180" s="22" t="s">
        <v>23</v>
      </c>
      <c r="H180" s="22" t="s">
        <v>23</v>
      </c>
      <c r="I180" s="23" t="s">
        <v>23</v>
      </c>
      <c r="J180" s="22" t="s">
        <v>23</v>
      </c>
      <c r="K180" s="38"/>
      <c r="L180" s="22"/>
      <c r="M180" s="286" t="str">
        <f ca="1">IFERROR(OFFSET(M180,-1,,1,1)+0.1,OFFSET(M180,-1,-1,1,1)&amp;".1")</f>
        <v>10.1</v>
      </c>
      <c r="N180" s="23" t="s">
        <v>593</v>
      </c>
      <c r="O180" s="23"/>
      <c r="P180" s="23"/>
      <c r="Q180" s="144"/>
      <c r="R180" s="137"/>
      <c r="S180" s="169">
        <f>CEILING((IF(J180="Yes", 0, IF(H180="-",AA180,AA180+AA180*VLOOKUP(H180,BUFFERS_BY_TYPE,2,FALSE)))) +
   (IF(J180="Yes", 0, IF(H180="-",AA180,AA180+AA180*VLOOKUP(H180,BUFFERS_BY_TYPE,2,FALSE))))*VLOOKUP($S$5, SALES_CALL_SCALE_ARRAY, 2,FALSE),0.25)</f>
        <v>5</v>
      </c>
      <c r="T180" s="170"/>
      <c r="U180" s="24">
        <v>0</v>
      </c>
      <c r="V180" s="24">
        <v>1</v>
      </c>
      <c r="W180" s="24">
        <v>0</v>
      </c>
      <c r="X180" s="168">
        <v>5</v>
      </c>
      <c r="Y180" s="169">
        <f>CEILING((IF(P180=AS_DEV_EFFORT, DEV_EFFORT*Q180%,
                           IF(P180=AS_DURATION_EFFORT, (MANUAL_DURATION*5)*Q180%,
                                    (IF(Q180&lt;=1,X180,
                                          IF(SUM(U180:W180)=0,(Q180*X180),
                                               (((Q180*U180)*(X180+(X180*EXTRA_FOR_H)))+
                                               ((Q180*V180)*X180)+
                                               ((Q180*W180)*(X180-(X180*LESS_FOR_L)))
                                    )*IF(R180=0,1,R180))))))+Z180), 0.25)</f>
        <v>5</v>
      </c>
      <c r="Z180" s="25"/>
      <c r="AA180" s="169">
        <f>Y180+Y180*VLOOKUP(I180,EXTRAS_ARRAY,2,FALSE)</f>
        <v>5</v>
      </c>
      <c r="AB180" s="23"/>
      <c r="AC180" s="37"/>
      <c r="AD180" s="26" t="str">
        <f>IF(J180&lt;&gt;"Yes",
IF(S180&lt;=0,"Error: Effort value is not defined or is invalid.",
IF(AND(SUM(U180:W180)&gt;0,SUM(U180:W180)&lt;&gt;1),"Error: Complexity % distribution should sum to 100%.",
IF(AND(P180=AS_DEV_EFFORT,X180&lt;&gt;0),"Error: PDs should not be defined when defining as dev effort %.",
IF(AND(P180=AS_DURATION_EFFORT,X180&lt;&gt;0),"Error: PDs should not be defined when defining as duration effort %.","")))))</f>
        <v/>
      </c>
    </row>
    <row r="181" spans="1:30" s="11" customFormat="1" ht="7.5" hidden="1" customHeight="1" outlineLevel="2" x14ac:dyDescent="0.35">
      <c r="A181" s="93" t="s">
        <v>132</v>
      </c>
      <c r="B181" s="18"/>
      <c r="C181" s="78"/>
      <c r="D181" s="78"/>
      <c r="E181" s="78"/>
      <c r="F181" s="78"/>
      <c r="G181" s="10"/>
      <c r="H181" s="10"/>
      <c r="I181" s="10"/>
      <c r="J181" s="10"/>
      <c r="K181" s="10"/>
      <c r="L181" s="10"/>
      <c r="M181" s="287"/>
      <c r="N181" s="10"/>
      <c r="O181" s="10"/>
      <c r="P181" s="10"/>
      <c r="Q181" s="10"/>
      <c r="R181" s="10"/>
      <c r="S181" s="10"/>
      <c r="T181" s="18"/>
      <c r="U181" s="10"/>
      <c r="V181" s="10"/>
      <c r="W181" s="10"/>
      <c r="X181" s="18"/>
      <c r="Y181" s="10"/>
      <c r="Z181" s="10"/>
      <c r="AA181" s="10"/>
      <c r="AB181" s="60"/>
      <c r="AC181" s="60"/>
      <c r="AD181" s="12"/>
    </row>
    <row r="182" spans="1:30" s="17" customFormat="1" ht="15.5" hidden="1" outlineLevel="1" collapsed="1" x14ac:dyDescent="0.35">
      <c r="A182" s="93" t="s">
        <v>100</v>
      </c>
      <c r="B182" s="21"/>
      <c r="C182" s="84"/>
      <c r="D182" s="84"/>
      <c r="E182" s="84"/>
      <c r="F182" s="83"/>
      <c r="G182" s="32"/>
      <c r="H182" s="32"/>
      <c r="I182" s="32"/>
      <c r="J182" s="32"/>
      <c r="K182" s="32"/>
      <c r="L182" s="20">
        <f ca="1">LOOKUP(1000,INDIRECT("L1:"&amp;CELL("address",INDIRECT("R[-1]C",FALSE))))+1</f>
        <v>11</v>
      </c>
      <c r="M182" s="317" t="s">
        <v>594</v>
      </c>
      <c r="N182" s="317"/>
      <c r="O182" s="5"/>
      <c r="P182" s="33"/>
      <c r="Q182" s="33"/>
      <c r="R182" s="33"/>
      <c r="S182" s="33"/>
      <c r="T182" s="167">
        <f>IF($S$6="Exclude", SUMIFS(S183:S187, J183:J187, "&lt;&gt;Yes", G183:G187, "&lt;&gt;Yes"), SUMIFS(S183:S187, J183:J187, "&lt;&gt;Yes"))</f>
        <v>5.25</v>
      </c>
      <c r="U182" s="33"/>
      <c r="V182" s="33"/>
      <c r="W182" s="33"/>
      <c r="X182" s="34"/>
      <c r="Y182" s="35"/>
      <c r="Z182" s="35"/>
      <c r="AA182" s="35"/>
      <c r="AB182" s="240"/>
      <c r="AC182" s="36"/>
      <c r="AD182" s="26" t="str">
        <f>IF(M182="", "Error: Task name cannot be empty.", "")</f>
        <v/>
      </c>
    </row>
    <row r="183" spans="1:30" s="15" customFormat="1" ht="1.5" hidden="1" customHeight="1" outlineLevel="2" x14ac:dyDescent="0.35">
      <c r="A183" s="93" t="s">
        <v>101</v>
      </c>
      <c r="B183" s="21"/>
      <c r="C183" s="84"/>
      <c r="D183" s="84"/>
      <c r="E183" s="84"/>
      <c r="F183" s="83"/>
      <c r="G183" s="32"/>
      <c r="H183" s="32"/>
      <c r="I183" s="32"/>
      <c r="J183" s="32"/>
      <c r="K183" s="32"/>
      <c r="L183" s="175">
        <f ca="1">L182</f>
        <v>11</v>
      </c>
      <c r="M183" s="176" t="s">
        <v>105</v>
      </c>
      <c r="N183" s="173"/>
      <c r="O183" s="174"/>
      <c r="P183" s="33"/>
      <c r="Q183" s="33"/>
      <c r="R183" s="33"/>
      <c r="S183" s="33"/>
      <c r="T183" s="167"/>
      <c r="U183" s="33"/>
      <c r="V183" s="33"/>
      <c r="W183" s="33"/>
      <c r="X183" s="34"/>
      <c r="Y183" s="35"/>
      <c r="Z183" s="35"/>
      <c r="AA183" s="35"/>
      <c r="AB183" s="36"/>
      <c r="AC183" s="36"/>
      <c r="AD183" s="26"/>
    </row>
    <row r="184" spans="1:30" ht="58" hidden="1" outlineLevel="2" x14ac:dyDescent="0.35">
      <c r="A184" s="93" t="s">
        <v>0</v>
      </c>
      <c r="B184" s="21"/>
      <c r="C184" s="85"/>
      <c r="D184" s="85"/>
      <c r="E184" s="85"/>
      <c r="F184" s="86"/>
      <c r="G184" s="22" t="s">
        <v>23</v>
      </c>
      <c r="H184" s="22" t="s">
        <v>23</v>
      </c>
      <c r="I184" s="23" t="s">
        <v>23</v>
      </c>
      <c r="J184" s="22" t="s">
        <v>23</v>
      </c>
      <c r="K184" s="38"/>
      <c r="L184" s="22"/>
      <c r="M184" s="286" t="str">
        <f ca="1">IFERROR(OFFSET(M184,-1,,1,1)+0.1,OFFSET(M184,-1,-1,1,1)&amp;".1")</f>
        <v>11.1</v>
      </c>
      <c r="N184" s="23" t="s">
        <v>595</v>
      </c>
      <c r="O184" s="23"/>
      <c r="P184" s="23"/>
      <c r="Q184" s="144"/>
      <c r="R184" s="137"/>
      <c r="S184" s="169">
        <f>CEILING((IF(J184="Yes", 0, IF(H184="-",AA184,AA184+AA184*VLOOKUP(H184,BUFFERS_BY_TYPE,2,FALSE)))) +
   (IF(J184="Yes", 0, IF(H184="-",AA184,AA184+AA184*VLOOKUP(H184,BUFFERS_BY_TYPE,2,FALSE))))*VLOOKUP($S$5, SALES_CALL_SCALE_ARRAY, 2,FALSE),0.25)</f>
        <v>0.5</v>
      </c>
      <c r="T184" s="170"/>
      <c r="U184" s="24">
        <v>0</v>
      </c>
      <c r="V184" s="24">
        <v>1</v>
      </c>
      <c r="W184" s="24">
        <v>0</v>
      </c>
      <c r="X184" s="168">
        <v>0.5</v>
      </c>
      <c r="Y184" s="169">
        <f>CEILING((IF(P184=AS_DEV_EFFORT, DEV_EFFORT*Q184%,
                           IF(P184=AS_DURATION_EFFORT, (MANUAL_DURATION*5)*Q184%,
                                    (IF(Q184&lt;=1,X184,
                                          IF(SUM(U184:W184)=0,(Q184*X184),
                                               (((Q184*U184)*(X184+(X184*EXTRA_FOR_H)))+
                                               ((Q184*V184)*X184)+
                                               ((Q184*W184)*(X184-(X184*LESS_FOR_L)))
                                    )*IF(R184=0,1,R184))))))+Z184), 0.25)</f>
        <v>0.5</v>
      </c>
      <c r="Z184" s="25"/>
      <c r="AA184" s="169">
        <f>Y184+Y184*VLOOKUP(I184,EXTRAS_ARRAY,2,FALSE)</f>
        <v>0.5</v>
      </c>
      <c r="AB184" s="23"/>
      <c r="AC184" s="37"/>
      <c r="AD184" s="26" t="str">
        <f>IF(J184&lt;&gt;"Yes",
IF(S184&lt;=0,"Error: Effort value is not defined or is invalid.",
IF(AND(SUM(U184:W184)&gt;0,SUM(U184:W184)&lt;&gt;1),"Error: Complexity % distribution should sum to 100%.",
IF(AND(P184=AS_DEV_EFFORT,X184&lt;&gt;0),"Error: PDs should not be defined when defining as dev effort %.",
IF(AND(P184=AS_DURATION_EFFORT,X184&lt;&gt;0),"Error: PDs should not be defined when defining as duration effort %.","")))))</f>
        <v/>
      </c>
    </row>
    <row r="185" spans="1:30" ht="43.5" hidden="1" outlineLevel="2" x14ac:dyDescent="0.35">
      <c r="A185" s="93" t="s">
        <v>0</v>
      </c>
      <c r="B185" s="21"/>
      <c r="C185" s="85"/>
      <c r="D185" s="85"/>
      <c r="E185" s="85"/>
      <c r="F185" s="86"/>
      <c r="G185" s="22" t="s">
        <v>23</v>
      </c>
      <c r="H185" s="22" t="s">
        <v>23</v>
      </c>
      <c r="I185" s="23" t="s">
        <v>23</v>
      </c>
      <c r="J185" s="22" t="s">
        <v>23</v>
      </c>
      <c r="K185" s="38"/>
      <c r="L185" s="22"/>
      <c r="M185" s="286">
        <f ca="1">IFERROR(OFFSET(M185,-1,,1,1)+0.1,OFFSET(M185,-1,-1,1,1)&amp;".1")</f>
        <v>11.2</v>
      </c>
      <c r="N185" s="23" t="s">
        <v>660</v>
      </c>
      <c r="O185" s="23"/>
      <c r="P185" s="23"/>
      <c r="Q185" s="144"/>
      <c r="R185" s="137"/>
      <c r="S185" s="169">
        <f>CEILING((IF(J185="Yes", 0, IF(H185="-",AA185,AA185+AA185*VLOOKUP(H185,BUFFERS_BY_TYPE,2,FALSE)))) +
   (IF(J185="Yes", 0, IF(H185="-",AA185,AA185+AA185*VLOOKUP(H185,BUFFERS_BY_TYPE,2,FALSE))))*VLOOKUP($S$5, SALES_CALL_SCALE_ARRAY, 2,FALSE),0.25)</f>
        <v>1.75</v>
      </c>
      <c r="T185" s="170"/>
      <c r="U185" s="24">
        <v>0</v>
      </c>
      <c r="V185" s="24">
        <v>1</v>
      </c>
      <c r="W185" s="24">
        <v>0</v>
      </c>
      <c r="X185" s="168">
        <v>1.6</v>
      </c>
      <c r="Y185" s="169">
        <f>CEILING((IF(P185=AS_DEV_EFFORT, DEV_EFFORT*Q185%,
                           IF(P185=AS_DURATION_EFFORT, (MANUAL_DURATION*5)*Q185%,
                                    (IF(Q185&lt;=1,X185,
                                          IF(SUM(U185:W185)=0,(Q185*X185),
                                               (((Q185*U185)*(X185+(X185*EXTRA_FOR_H)))+
                                               ((Q185*V185)*X185)+
                                               ((Q185*W185)*(X185-(X185*LESS_FOR_L)))
                                    )*IF(R185=0,1,R185))))))+Z185), 0.25)</f>
        <v>1.75</v>
      </c>
      <c r="Z185" s="25"/>
      <c r="AA185" s="169">
        <f>Y185+Y185*VLOOKUP(I185,EXTRAS_ARRAY,2,FALSE)</f>
        <v>1.75</v>
      </c>
      <c r="AB185" s="23"/>
      <c r="AC185" s="37"/>
      <c r="AD185" s="26" t="str">
        <f>IF(J185&lt;&gt;"Yes",
IF(S185&lt;=0,"Error: Effort value is not defined or is invalid.",
IF(AND(SUM(U185:W185)&gt;0,SUM(U185:W185)&lt;&gt;1),"Error: Complexity % distribution should sum to 100%.",
IF(AND(P185=AS_DEV_EFFORT,X185&lt;&gt;0),"Error: PDs should not be defined when defining as dev effort %.",
IF(AND(P185=AS_DURATION_EFFORT,X185&lt;&gt;0),"Error: PDs should not be defined when defining as duration effort %.","")))))</f>
        <v/>
      </c>
    </row>
    <row r="186" spans="1:30" ht="29" hidden="1" outlineLevel="2" x14ac:dyDescent="0.35">
      <c r="A186" s="93" t="s">
        <v>0</v>
      </c>
      <c r="B186" s="21"/>
      <c r="C186" s="85"/>
      <c r="D186" s="85"/>
      <c r="E186" s="85"/>
      <c r="F186" s="86"/>
      <c r="G186" s="22" t="s">
        <v>23</v>
      </c>
      <c r="H186" s="22" t="s">
        <v>23</v>
      </c>
      <c r="I186" s="23" t="s">
        <v>23</v>
      </c>
      <c r="J186" s="22" t="s">
        <v>23</v>
      </c>
      <c r="K186" s="38"/>
      <c r="L186" s="22"/>
      <c r="M186" s="286">
        <f ca="1">IFERROR(OFFSET(M186,-1,,1,1)+0.1,OFFSET(M186,-1,-1,1,1)&amp;".1")</f>
        <v>11.299999999999999</v>
      </c>
      <c r="N186" s="23" t="s">
        <v>661</v>
      </c>
      <c r="O186" s="23"/>
      <c r="P186" s="23"/>
      <c r="Q186" s="144"/>
      <c r="R186" s="137"/>
      <c r="S186" s="169">
        <f>CEILING((IF(J186="Yes", 0, IF(H186="-",AA186,AA186+AA186*VLOOKUP(H186,BUFFERS_BY_TYPE,2,FALSE)))) +
   (IF(J186="Yes", 0, IF(H186="-",AA186,AA186+AA186*VLOOKUP(H186,BUFFERS_BY_TYPE,2,FALSE))))*VLOOKUP($S$5, SALES_CALL_SCALE_ARRAY, 2,FALSE),0.25)</f>
        <v>3</v>
      </c>
      <c r="T186" s="170"/>
      <c r="U186" s="24">
        <v>0</v>
      </c>
      <c r="V186" s="24">
        <v>1</v>
      </c>
      <c r="W186" s="24">
        <v>0</v>
      </c>
      <c r="X186" s="168">
        <v>3</v>
      </c>
      <c r="Y186" s="169">
        <f>CEILING((IF(P186=AS_DEV_EFFORT, DEV_EFFORT*Q186%,
                           IF(P186=AS_DURATION_EFFORT, (MANUAL_DURATION*5)*Q186%,
                                    (IF(Q186&lt;=1,X186,
                                          IF(SUM(U186:W186)=0,(Q186*X186),
                                               (((Q186*U186)*(X186+(X186*EXTRA_FOR_H)))+
                                               ((Q186*V186)*X186)+
                                               ((Q186*W186)*(X186-(X186*LESS_FOR_L)))
                                    )*IF(R186=0,1,R186))))))+Z186), 0.25)</f>
        <v>3</v>
      </c>
      <c r="Z186" s="25"/>
      <c r="AA186" s="169">
        <f>Y186+Y186*VLOOKUP(I186,EXTRAS_ARRAY,2,FALSE)</f>
        <v>3</v>
      </c>
      <c r="AB186" s="23"/>
      <c r="AC186" s="37"/>
      <c r="AD186" s="26" t="str">
        <f>IF(J186&lt;&gt;"Yes",
IF(S186&lt;=0,"Error: Effort value is not defined or is invalid.",
IF(AND(SUM(U186:W186)&gt;0,SUM(U186:W186)&lt;&gt;1),"Error: Complexity % distribution should sum to 100%.",
IF(AND(P186=AS_DEV_EFFORT,X186&lt;&gt;0),"Error: PDs should not be defined when defining as dev effort %.",
IF(AND(P186=AS_DURATION_EFFORT,X186&lt;&gt;0),"Error: PDs should not be defined when defining as duration effort %.","")))))</f>
        <v/>
      </c>
    </row>
    <row r="187" spans="1:30" s="11" customFormat="1" ht="7.5" hidden="1" customHeight="1" outlineLevel="2" x14ac:dyDescent="0.35">
      <c r="A187" s="93" t="s">
        <v>132</v>
      </c>
      <c r="B187" s="18"/>
      <c r="C187" s="78"/>
      <c r="D187" s="78"/>
      <c r="E187" s="78"/>
      <c r="F187" s="78"/>
      <c r="G187" s="10"/>
      <c r="H187" s="10"/>
      <c r="I187" s="10"/>
      <c r="J187" s="10"/>
      <c r="K187" s="10"/>
      <c r="L187" s="10"/>
      <c r="M187" s="287"/>
      <c r="N187" s="10"/>
      <c r="O187" s="10"/>
      <c r="P187" s="10"/>
      <c r="Q187" s="10"/>
      <c r="R187" s="10"/>
      <c r="S187" s="10"/>
      <c r="T187" s="18"/>
      <c r="U187" s="10"/>
      <c r="V187" s="10"/>
      <c r="W187" s="10"/>
      <c r="X187" s="18"/>
      <c r="Y187" s="10"/>
      <c r="Z187" s="10"/>
      <c r="AA187" s="10"/>
      <c r="AB187" s="60"/>
      <c r="AC187" s="60"/>
      <c r="AD187" s="12"/>
    </row>
    <row r="188" spans="1:30" s="17" customFormat="1" ht="15.5" hidden="1" outlineLevel="1" collapsed="1" x14ac:dyDescent="0.35">
      <c r="A188" s="93" t="s">
        <v>100</v>
      </c>
      <c r="B188" s="21"/>
      <c r="C188" s="84"/>
      <c r="D188" s="84"/>
      <c r="E188" s="84"/>
      <c r="F188" s="83"/>
      <c r="G188" s="32"/>
      <c r="H188" s="32"/>
      <c r="I188" s="32"/>
      <c r="J188" s="32"/>
      <c r="K188" s="32"/>
      <c r="L188" s="20">
        <f ca="1">LOOKUP(1000,INDIRECT("L1:"&amp;CELL("address",INDIRECT("R[-1]C",FALSE))))+1</f>
        <v>12</v>
      </c>
      <c r="M188" s="317" t="s">
        <v>596</v>
      </c>
      <c r="N188" s="317"/>
      <c r="O188" s="5"/>
      <c r="P188" s="33"/>
      <c r="Q188" s="33"/>
      <c r="R188" s="33"/>
      <c r="S188" s="33"/>
      <c r="T188" s="167">
        <f>IF($S$6="Exclude", SUMIFS(S189:S192, J189:J192, "&lt;&gt;Yes", G189:G192, "&lt;&gt;Yes"), SUMIFS(S189:S192, J189:J192, "&lt;&gt;Yes"))</f>
        <v>6.25</v>
      </c>
      <c r="U188" s="33"/>
      <c r="V188" s="33"/>
      <c r="W188" s="33"/>
      <c r="X188" s="34"/>
      <c r="Y188" s="35"/>
      <c r="Z188" s="35"/>
      <c r="AA188" s="35"/>
      <c r="AB188" s="240"/>
      <c r="AC188" s="36"/>
      <c r="AD188" s="26" t="str">
        <f>IF(M188="", "Error: Task name cannot be empty.", "")</f>
        <v/>
      </c>
    </row>
    <row r="189" spans="1:30" s="15" customFormat="1" ht="1.5" hidden="1" customHeight="1" outlineLevel="2" x14ac:dyDescent="0.35">
      <c r="A189" s="93" t="s">
        <v>101</v>
      </c>
      <c r="B189" s="21"/>
      <c r="C189" s="84"/>
      <c r="D189" s="84"/>
      <c r="E189" s="84"/>
      <c r="F189" s="83"/>
      <c r="G189" s="32"/>
      <c r="H189" s="32"/>
      <c r="I189" s="32"/>
      <c r="J189" s="32"/>
      <c r="K189" s="32"/>
      <c r="L189" s="175">
        <f ca="1">L188</f>
        <v>12</v>
      </c>
      <c r="M189" s="176" t="s">
        <v>105</v>
      </c>
      <c r="N189" s="173"/>
      <c r="O189" s="174"/>
      <c r="P189" s="33"/>
      <c r="Q189" s="33"/>
      <c r="R189" s="33"/>
      <c r="S189" s="33"/>
      <c r="T189" s="167"/>
      <c r="U189" s="33"/>
      <c r="V189" s="33"/>
      <c r="W189" s="33"/>
      <c r="X189" s="34"/>
      <c r="Y189" s="35"/>
      <c r="Z189" s="35"/>
      <c r="AA189" s="35"/>
      <c r="AB189" s="36"/>
      <c r="AC189" s="36"/>
      <c r="AD189" s="26"/>
    </row>
    <row r="190" spans="1:30" ht="72.5" hidden="1" outlineLevel="2" x14ac:dyDescent="0.35">
      <c r="A190" s="93" t="s">
        <v>0</v>
      </c>
      <c r="B190" s="21"/>
      <c r="C190" s="85"/>
      <c r="D190" s="85"/>
      <c r="E190" s="85"/>
      <c r="F190" s="86"/>
      <c r="G190" s="22" t="s">
        <v>23</v>
      </c>
      <c r="H190" s="22" t="s">
        <v>23</v>
      </c>
      <c r="I190" s="23" t="s">
        <v>23</v>
      </c>
      <c r="J190" s="22" t="s">
        <v>23</v>
      </c>
      <c r="K190" s="38"/>
      <c r="L190" s="22"/>
      <c r="M190" s="286" t="str">
        <f ca="1">IFERROR(OFFSET(M190,-1,,1,1)+0.1,OFFSET(M190,-1,-1,1,1)&amp;".1")</f>
        <v>12.1</v>
      </c>
      <c r="N190" s="23" t="s">
        <v>662</v>
      </c>
      <c r="O190" s="23"/>
      <c r="P190" s="23"/>
      <c r="Q190" s="144"/>
      <c r="R190" s="137"/>
      <c r="S190" s="169">
        <f>CEILING((IF(J190="Yes", 0, IF(H190="-",AA190,AA190+AA190*VLOOKUP(H190,BUFFERS_BY_TYPE,2,FALSE)))) +
   (IF(J190="Yes", 0, IF(H190="-",AA190,AA190+AA190*VLOOKUP(H190,BUFFERS_BY_TYPE,2,FALSE))))*VLOOKUP($S$5, SALES_CALL_SCALE_ARRAY, 2,FALSE),0.25)</f>
        <v>5</v>
      </c>
      <c r="T190" s="170"/>
      <c r="U190" s="24">
        <v>0</v>
      </c>
      <c r="V190" s="24">
        <v>1</v>
      </c>
      <c r="W190" s="24">
        <v>0</v>
      </c>
      <c r="X190" s="168">
        <v>5</v>
      </c>
      <c r="Y190" s="169">
        <f>CEILING((IF(P190=AS_DEV_EFFORT, DEV_EFFORT*Q190%,
                           IF(P190=AS_DURATION_EFFORT, (MANUAL_DURATION*5)*Q190%,
                                    (IF(Q190&lt;=1,X190,
                                          IF(SUM(U190:W190)=0,(Q190*X190),
                                               (((Q190*U190)*(X190+(X190*EXTRA_FOR_H)))+
                                               ((Q190*V190)*X190)+
                                               ((Q190*W190)*(X190-(X190*LESS_FOR_L)))
                                    )*IF(R190=0,1,R190))))))+Z190), 0.25)</f>
        <v>5</v>
      </c>
      <c r="Z190" s="25"/>
      <c r="AA190" s="169">
        <f>Y190+Y190*VLOOKUP(I190,EXTRAS_ARRAY,2,FALSE)</f>
        <v>5</v>
      </c>
      <c r="AB190" s="23"/>
      <c r="AC190" s="37"/>
      <c r="AD190" s="26" t="str">
        <f>IF(J190&lt;&gt;"Yes",
IF(S190&lt;=0,"Error: Effort value is not defined or is invalid.",
IF(AND(SUM(U190:W190)&gt;0,SUM(U190:W190)&lt;&gt;1),"Error: Complexity % distribution should sum to 100%.",
IF(AND(P190=AS_DEV_EFFORT,X190&lt;&gt;0),"Error: PDs should not be defined when defining as dev effort %.",
IF(AND(P190=AS_DURATION_EFFORT,X190&lt;&gt;0),"Error: PDs should not be defined when defining as duration effort %.","")))))</f>
        <v/>
      </c>
    </row>
    <row r="191" spans="1:30" ht="43.5" hidden="1" outlineLevel="2" x14ac:dyDescent="0.35">
      <c r="A191" s="93" t="s">
        <v>0</v>
      </c>
      <c r="B191" s="21"/>
      <c r="C191" s="85"/>
      <c r="D191" s="85"/>
      <c r="E191" s="85"/>
      <c r="F191" s="86"/>
      <c r="G191" s="22" t="s">
        <v>23</v>
      </c>
      <c r="H191" s="22" t="s">
        <v>23</v>
      </c>
      <c r="I191" s="23" t="s">
        <v>23</v>
      </c>
      <c r="J191" s="22" t="s">
        <v>23</v>
      </c>
      <c r="K191" s="38"/>
      <c r="L191" s="22"/>
      <c r="M191" s="286">
        <f ca="1">IFERROR(OFFSET(M191,-1,,1,1)+0.1,OFFSET(M191,-1,-1,1,1)&amp;".1")</f>
        <v>12.2</v>
      </c>
      <c r="N191" s="23" t="s">
        <v>597</v>
      </c>
      <c r="O191" s="23"/>
      <c r="P191" s="23"/>
      <c r="Q191" s="144"/>
      <c r="R191" s="137"/>
      <c r="S191" s="169">
        <f>CEILING((IF(J191="Yes", 0, IF(H191="-",AA191,AA191+AA191*VLOOKUP(H191,BUFFERS_BY_TYPE,2,FALSE)))) +
   (IF(J191="Yes", 0, IF(H191="-",AA191,AA191+AA191*VLOOKUP(H191,BUFFERS_BY_TYPE,2,FALSE))))*VLOOKUP($S$5, SALES_CALL_SCALE_ARRAY, 2,FALSE),0.25)</f>
        <v>1.25</v>
      </c>
      <c r="T191" s="170"/>
      <c r="U191" s="24">
        <v>0</v>
      </c>
      <c r="V191" s="24">
        <v>1</v>
      </c>
      <c r="W191" s="24">
        <v>0</v>
      </c>
      <c r="X191" s="168">
        <v>1.1000000000000001</v>
      </c>
      <c r="Y191" s="169">
        <f>CEILING((IF(P191=AS_DEV_EFFORT, DEV_EFFORT*Q191%,
                           IF(P191=AS_DURATION_EFFORT, (MANUAL_DURATION*5)*Q191%,
                                    (IF(Q191&lt;=1,X191,
                                          IF(SUM(U191:W191)=0,(Q191*X191),
                                               (((Q191*U191)*(X191+(X191*EXTRA_FOR_H)))+
                                               ((Q191*V191)*X191)+
                                               ((Q191*W191)*(X191-(X191*LESS_FOR_L)))
                                    )*IF(R191=0,1,R191))))))+Z191), 0.25)</f>
        <v>1.25</v>
      </c>
      <c r="Z191" s="25"/>
      <c r="AA191" s="169">
        <f>Y191+Y191*VLOOKUP(I191,EXTRAS_ARRAY,2,FALSE)</f>
        <v>1.25</v>
      </c>
      <c r="AB191" s="23"/>
      <c r="AC191" s="37"/>
      <c r="AD191" s="26" t="str">
        <f>IF(J191&lt;&gt;"Yes",
IF(S191&lt;=0,"Error: Effort value is not defined or is invalid.",
IF(AND(SUM(U191:W191)&gt;0,SUM(U191:W191)&lt;&gt;1),"Error: Complexity % distribution should sum to 100%.",
IF(AND(P191=AS_DEV_EFFORT,X191&lt;&gt;0),"Error: PDs should not be defined when defining as dev effort %.",
IF(AND(P191=AS_DURATION_EFFORT,X191&lt;&gt;0),"Error: PDs should not be defined when defining as duration effort %.","")))))</f>
        <v/>
      </c>
    </row>
    <row r="192" spans="1:30" s="11" customFormat="1" ht="7.5" hidden="1" customHeight="1" outlineLevel="2" x14ac:dyDescent="0.35">
      <c r="A192" s="93" t="s">
        <v>132</v>
      </c>
      <c r="B192" s="18"/>
      <c r="C192" s="78"/>
      <c r="D192" s="78"/>
      <c r="E192" s="78"/>
      <c r="F192" s="78"/>
      <c r="G192" s="10"/>
      <c r="H192" s="10"/>
      <c r="I192" s="10"/>
      <c r="J192" s="10"/>
      <c r="K192" s="10"/>
      <c r="L192" s="10"/>
      <c r="M192" s="287"/>
      <c r="N192" s="10"/>
      <c r="O192" s="10"/>
      <c r="P192" s="10"/>
      <c r="Q192" s="10"/>
      <c r="R192" s="10"/>
      <c r="S192" s="10"/>
      <c r="T192" s="18"/>
      <c r="U192" s="10"/>
      <c r="V192" s="10"/>
      <c r="W192" s="10"/>
      <c r="X192" s="18"/>
      <c r="Y192" s="10"/>
      <c r="Z192" s="10"/>
      <c r="AA192" s="10"/>
      <c r="AB192" s="60"/>
      <c r="AC192" s="60"/>
      <c r="AD192" s="12"/>
    </row>
    <row r="193" spans="1:30" s="17" customFormat="1" ht="15.5" hidden="1" outlineLevel="1" x14ac:dyDescent="0.35">
      <c r="A193" s="93" t="s">
        <v>107</v>
      </c>
      <c r="B193" s="21"/>
      <c r="C193" s="84"/>
      <c r="D193" s="84"/>
      <c r="E193" s="84"/>
      <c r="F193" s="83"/>
      <c r="G193" s="185"/>
      <c r="H193" s="185"/>
      <c r="I193" s="185"/>
      <c r="J193" s="185"/>
      <c r="K193" s="185"/>
      <c r="L193" s="92" t="s">
        <v>109</v>
      </c>
      <c r="M193" s="318" t="s">
        <v>670</v>
      </c>
      <c r="N193" s="318"/>
      <c r="O193" s="87"/>
      <c r="P193" s="88"/>
      <c r="Q193" s="88"/>
      <c r="R193" s="88"/>
      <c r="S193" s="319">
        <f>SUMGROUP(ROW(), "T")</f>
        <v>49.25</v>
      </c>
      <c r="T193" s="319"/>
      <c r="U193" s="320"/>
      <c r="V193" s="320"/>
      <c r="W193" s="320"/>
      <c r="X193" s="89"/>
      <c r="Y193" s="90"/>
      <c r="Z193" s="90"/>
      <c r="AA193" s="90"/>
      <c r="AB193" s="243"/>
      <c r="AC193" s="91"/>
      <c r="AD193" s="26" t="str">
        <f>IF(M193="", "Error: Module name cannot be empty.", "")</f>
        <v/>
      </c>
    </row>
    <row r="194" spans="1:30" s="17" customFormat="1" ht="15.5" hidden="1" outlineLevel="1" collapsed="1" x14ac:dyDescent="0.35">
      <c r="A194" s="93" t="s">
        <v>100</v>
      </c>
      <c r="B194" s="21"/>
      <c r="C194" s="84"/>
      <c r="D194" s="84"/>
      <c r="E194" s="84"/>
      <c r="F194" s="83"/>
      <c r="G194" s="32"/>
      <c r="H194" s="32"/>
      <c r="I194" s="32"/>
      <c r="J194" s="32"/>
      <c r="K194" s="32"/>
      <c r="L194" s="20">
        <f ca="1">LOOKUP(1000,INDIRECT("L1:"&amp;CELL("address",INDIRECT("R[-1]C",FALSE))))+1</f>
        <v>13</v>
      </c>
      <c r="M194" s="317" t="s">
        <v>589</v>
      </c>
      <c r="N194" s="317"/>
      <c r="O194" s="5"/>
      <c r="P194" s="33"/>
      <c r="Q194" s="33"/>
      <c r="R194" s="33"/>
      <c r="S194" s="33"/>
      <c r="T194" s="167">
        <f>IF($S$6="Exclude", SUMIFS(S195:S197, J195:J197, "&lt;&gt;Yes", G195:G197, "&lt;&gt;Yes"), SUMIFS(S195:S197, J195:J197, "&lt;&gt;Yes"))</f>
        <v>3.5</v>
      </c>
      <c r="U194" s="33"/>
      <c r="V194" s="33"/>
      <c r="W194" s="33"/>
      <c r="X194" s="34"/>
      <c r="Y194" s="35"/>
      <c r="Z194" s="35"/>
      <c r="AA194" s="35"/>
      <c r="AB194" s="240"/>
      <c r="AC194" s="36"/>
      <c r="AD194" s="26" t="str">
        <f>IF(M194="", "Error: Task name cannot be empty.", "")</f>
        <v/>
      </c>
    </row>
    <row r="195" spans="1:30" s="15" customFormat="1" ht="1.5" hidden="1" customHeight="1" outlineLevel="2" x14ac:dyDescent="0.35">
      <c r="A195" s="93" t="s">
        <v>101</v>
      </c>
      <c r="B195" s="21"/>
      <c r="C195" s="84"/>
      <c r="D195" s="84"/>
      <c r="E195" s="84"/>
      <c r="F195" s="83"/>
      <c r="G195" s="32"/>
      <c r="H195" s="32"/>
      <c r="I195" s="32"/>
      <c r="J195" s="32"/>
      <c r="K195" s="32"/>
      <c r="L195" s="175">
        <f ca="1">L194</f>
        <v>13</v>
      </c>
      <c r="M195" s="176" t="s">
        <v>105</v>
      </c>
      <c r="N195" s="173"/>
      <c r="O195" s="174"/>
      <c r="P195" s="33"/>
      <c r="Q195" s="33"/>
      <c r="R195" s="33"/>
      <c r="S195" s="33"/>
      <c r="T195" s="167"/>
      <c r="U195" s="33"/>
      <c r="V195" s="33"/>
      <c r="W195" s="33"/>
      <c r="X195" s="34"/>
      <c r="Y195" s="35"/>
      <c r="Z195" s="35"/>
      <c r="AA195" s="35"/>
      <c r="AB195" s="36"/>
      <c r="AC195" s="36"/>
      <c r="AD195" s="26"/>
    </row>
    <row r="196" spans="1:30" ht="58" hidden="1" outlineLevel="2" x14ac:dyDescent="0.35">
      <c r="A196" s="93" t="s">
        <v>0</v>
      </c>
      <c r="B196" s="21"/>
      <c r="C196" s="85"/>
      <c r="D196" s="85"/>
      <c r="E196" s="85"/>
      <c r="F196" s="86"/>
      <c r="G196" s="22" t="s">
        <v>23</v>
      </c>
      <c r="H196" s="22" t="s">
        <v>23</v>
      </c>
      <c r="I196" s="23" t="s">
        <v>23</v>
      </c>
      <c r="J196" s="22" t="s">
        <v>23</v>
      </c>
      <c r="K196" s="38"/>
      <c r="L196" s="22"/>
      <c r="M196" s="286" t="str">
        <f ca="1">IFERROR(OFFSET(M196,-1,,1,1)+0.1,OFFSET(M196,-1,-1,1,1)&amp;".1")</f>
        <v>13.1</v>
      </c>
      <c r="N196" s="23" t="s">
        <v>663</v>
      </c>
      <c r="O196" s="23"/>
      <c r="P196" s="23"/>
      <c r="Q196" s="144"/>
      <c r="R196" s="137"/>
      <c r="S196" s="169">
        <f>CEILING((IF(J196="Yes", 0, IF(H196="-",AA196,AA196+AA196*VLOOKUP(H196,BUFFERS_BY_TYPE,2,FALSE)))) +
   (IF(J196="Yes", 0, IF(H196="-",AA196,AA196+AA196*VLOOKUP(H196,BUFFERS_BY_TYPE,2,FALSE))))*VLOOKUP($S$5, SALES_CALL_SCALE_ARRAY, 2,FALSE),0.25)</f>
        <v>3.5</v>
      </c>
      <c r="T196" s="170"/>
      <c r="U196" s="24">
        <v>0</v>
      </c>
      <c r="V196" s="24">
        <v>1</v>
      </c>
      <c r="W196" s="24">
        <v>0</v>
      </c>
      <c r="X196" s="168">
        <v>3.3</v>
      </c>
      <c r="Y196" s="169">
        <f>CEILING((IF(P196=AS_DEV_EFFORT, DEV_EFFORT*Q196%,
                           IF(P196=AS_DURATION_EFFORT, (MANUAL_DURATION*5)*Q196%,
                                    (IF(Q196&lt;=1,X196,
                                          IF(SUM(U196:W196)=0,(Q196*X196),
                                               (((Q196*U196)*(X196+(X196*EXTRA_FOR_H)))+
                                               ((Q196*V196)*X196)+
                                               ((Q196*W196)*(X196-(X196*LESS_FOR_L)))
                                    )*IF(R196=0,1,R196))))))+Z196), 0.25)</f>
        <v>3.5</v>
      </c>
      <c r="Z196" s="25"/>
      <c r="AA196" s="169">
        <f>Y196+Y196*VLOOKUP(I196,EXTRAS_ARRAY,2,FALSE)</f>
        <v>3.5</v>
      </c>
      <c r="AB196" s="23"/>
      <c r="AC196" s="37"/>
      <c r="AD196" s="26" t="str">
        <f>IF(J196&lt;&gt;"Yes",
IF(S196&lt;=0,"Error: Effort value is not defined or is invalid.",
IF(AND(SUM(U196:W196)&gt;0,SUM(U196:W196)&lt;&gt;1),"Error: Complexity % distribution should sum to 100%.",
IF(AND(P196=AS_DEV_EFFORT,X196&lt;&gt;0),"Error: PDs should not be defined when defining as dev effort %.",
IF(AND(P196=AS_DURATION_EFFORT,X196&lt;&gt;0),"Error: PDs should not be defined when defining as duration effort %.","")))))</f>
        <v/>
      </c>
    </row>
    <row r="197" spans="1:30" s="11" customFormat="1" ht="7.5" hidden="1" customHeight="1" outlineLevel="2" x14ac:dyDescent="0.35">
      <c r="A197" s="93" t="s">
        <v>132</v>
      </c>
      <c r="B197" s="18"/>
      <c r="C197" s="78"/>
      <c r="D197" s="78"/>
      <c r="E197" s="78"/>
      <c r="F197" s="78"/>
      <c r="G197" s="10"/>
      <c r="H197" s="10"/>
      <c r="I197" s="10"/>
      <c r="J197" s="10"/>
      <c r="K197" s="10"/>
      <c r="L197" s="10"/>
      <c r="M197" s="287"/>
      <c r="N197" s="10"/>
      <c r="O197" s="10"/>
      <c r="P197" s="10"/>
      <c r="Q197" s="10"/>
      <c r="R197" s="10"/>
      <c r="S197" s="10"/>
      <c r="T197" s="18"/>
      <c r="U197" s="10"/>
      <c r="V197" s="10"/>
      <c r="W197" s="10"/>
      <c r="X197" s="18"/>
      <c r="Y197" s="10"/>
      <c r="Z197" s="10"/>
      <c r="AA197" s="10"/>
      <c r="AB197" s="60"/>
      <c r="AC197" s="60"/>
      <c r="AD197" s="12"/>
    </row>
    <row r="198" spans="1:30" s="17" customFormat="1" ht="15.5" hidden="1" outlineLevel="1" collapsed="1" x14ac:dyDescent="0.35">
      <c r="A198" s="93" t="s">
        <v>100</v>
      </c>
      <c r="B198" s="21"/>
      <c r="C198" s="84"/>
      <c r="D198" s="84"/>
      <c r="E198" s="84"/>
      <c r="F198" s="83"/>
      <c r="G198" s="32"/>
      <c r="H198" s="32"/>
      <c r="I198" s="32"/>
      <c r="J198" s="32"/>
      <c r="K198" s="32"/>
      <c r="L198" s="20">
        <f ca="1">LOOKUP(1000,INDIRECT("L1:"&amp;CELL("address",INDIRECT("R[-1]C",FALSE))))+1</f>
        <v>14</v>
      </c>
      <c r="M198" s="317" t="s">
        <v>598</v>
      </c>
      <c r="N198" s="317"/>
      <c r="O198" s="5"/>
      <c r="P198" s="33"/>
      <c r="Q198" s="33"/>
      <c r="R198" s="33"/>
      <c r="S198" s="33"/>
      <c r="T198" s="167">
        <f>IF($S$6="Exclude", SUMIFS(S199:S201, J199:J201, "&lt;&gt;Yes", G199:G201, "&lt;&gt;Yes"), SUMIFS(S199:S201, J199:J201, "&lt;&gt;Yes"))</f>
        <v>2.5</v>
      </c>
      <c r="U198" s="33"/>
      <c r="V198" s="33"/>
      <c r="W198" s="33"/>
      <c r="X198" s="34"/>
      <c r="Y198" s="35"/>
      <c r="Z198" s="35"/>
      <c r="AA198" s="35"/>
      <c r="AB198" s="240"/>
      <c r="AC198" s="36"/>
      <c r="AD198" s="26" t="str">
        <f>IF(M198="", "Error: Task name cannot be empty.", "")</f>
        <v/>
      </c>
    </row>
    <row r="199" spans="1:30" s="15" customFormat="1" ht="1.5" hidden="1" customHeight="1" outlineLevel="2" x14ac:dyDescent="0.35">
      <c r="A199" s="93" t="s">
        <v>101</v>
      </c>
      <c r="B199" s="21"/>
      <c r="C199" s="84"/>
      <c r="D199" s="84"/>
      <c r="E199" s="84"/>
      <c r="F199" s="83"/>
      <c r="G199" s="32"/>
      <c r="H199" s="32"/>
      <c r="I199" s="32"/>
      <c r="J199" s="32"/>
      <c r="K199" s="32"/>
      <c r="L199" s="175">
        <f ca="1">L198</f>
        <v>14</v>
      </c>
      <c r="M199" s="176" t="s">
        <v>105</v>
      </c>
      <c r="N199" s="173"/>
      <c r="O199" s="174"/>
      <c r="P199" s="33"/>
      <c r="Q199" s="33"/>
      <c r="R199" s="33"/>
      <c r="S199" s="33"/>
      <c r="T199" s="167"/>
      <c r="U199" s="33"/>
      <c r="V199" s="33"/>
      <c r="W199" s="33"/>
      <c r="X199" s="34"/>
      <c r="Y199" s="35"/>
      <c r="Z199" s="35"/>
      <c r="AA199" s="35"/>
      <c r="AB199" s="36"/>
      <c r="AC199" s="36"/>
      <c r="AD199" s="26"/>
    </row>
    <row r="200" spans="1:30" ht="43.5" hidden="1" outlineLevel="2" x14ac:dyDescent="0.35">
      <c r="A200" s="93" t="s">
        <v>0</v>
      </c>
      <c r="B200" s="21"/>
      <c r="C200" s="85"/>
      <c r="D200" s="85"/>
      <c r="E200" s="85"/>
      <c r="F200" s="86"/>
      <c r="G200" s="22" t="s">
        <v>23</v>
      </c>
      <c r="H200" s="22" t="s">
        <v>23</v>
      </c>
      <c r="I200" s="23" t="s">
        <v>23</v>
      </c>
      <c r="J200" s="22" t="s">
        <v>23</v>
      </c>
      <c r="K200" s="38"/>
      <c r="L200" s="22"/>
      <c r="M200" s="286" t="str">
        <f ca="1">IFERROR(OFFSET(M200,-1,,1,1)+0.1,OFFSET(M200,-1,-1,1,1)&amp;".1")</f>
        <v>14.1</v>
      </c>
      <c r="N200" s="23" t="s">
        <v>599</v>
      </c>
      <c r="O200" s="23"/>
      <c r="P200" s="23"/>
      <c r="Q200" s="144"/>
      <c r="R200" s="137"/>
      <c r="S200" s="169">
        <f>CEILING((IF(J200="Yes", 0, IF(H200="-",AA200,AA200+AA200*VLOOKUP(H200,BUFFERS_BY_TYPE,2,FALSE)))) +
   (IF(J200="Yes", 0, IF(H200="-",AA200,AA200+AA200*VLOOKUP(H200,BUFFERS_BY_TYPE,2,FALSE))))*VLOOKUP($S$5, SALES_CALL_SCALE_ARRAY, 2,FALSE),0.25)</f>
        <v>2.5</v>
      </c>
      <c r="T200" s="170"/>
      <c r="U200" s="24">
        <v>0</v>
      </c>
      <c r="V200" s="24">
        <v>1</v>
      </c>
      <c r="W200" s="24">
        <v>0</v>
      </c>
      <c r="X200" s="168">
        <v>2.5</v>
      </c>
      <c r="Y200" s="169">
        <f>CEILING((IF(P200=AS_DEV_EFFORT, DEV_EFFORT*Q200%,
                           IF(P200=AS_DURATION_EFFORT, (MANUAL_DURATION*5)*Q200%,
                                    (IF(Q200&lt;=1,X200,
                                          IF(SUM(U200:W200)=0,(Q200*X200),
                                               (((Q200*U200)*(X200+(X200*EXTRA_FOR_H)))+
                                               ((Q200*V200)*X200)+
                                               ((Q200*W200)*(X200-(X200*LESS_FOR_L)))
                                    )*IF(R200=0,1,R200))))))+Z200), 0.25)</f>
        <v>2.5</v>
      </c>
      <c r="Z200" s="25"/>
      <c r="AA200" s="169">
        <f>Y200+Y200*VLOOKUP(I200,EXTRAS_ARRAY,2,FALSE)</f>
        <v>2.5</v>
      </c>
      <c r="AB200" s="23"/>
      <c r="AC200" s="37"/>
      <c r="AD200" s="26" t="str">
        <f>IF(J200&lt;&gt;"Yes",
IF(S200&lt;=0,"Error: Effort value is not defined or is invalid.",
IF(AND(SUM(U200:W200)&gt;0,SUM(U200:W200)&lt;&gt;1),"Error: Complexity % distribution should sum to 100%.",
IF(AND(P200=AS_DEV_EFFORT,X200&lt;&gt;0),"Error: PDs should not be defined when defining as dev effort %.",
IF(AND(P200=AS_DURATION_EFFORT,X200&lt;&gt;0),"Error: PDs should not be defined when defining as duration effort %.","")))))</f>
        <v/>
      </c>
    </row>
    <row r="201" spans="1:30" s="11" customFormat="1" ht="7.5" hidden="1" customHeight="1" outlineLevel="2" x14ac:dyDescent="0.35">
      <c r="A201" s="93" t="s">
        <v>132</v>
      </c>
      <c r="B201" s="18"/>
      <c r="C201" s="78"/>
      <c r="D201" s="78"/>
      <c r="E201" s="78"/>
      <c r="F201" s="78"/>
      <c r="G201" s="10"/>
      <c r="H201" s="10"/>
      <c r="I201" s="10"/>
      <c r="J201" s="10"/>
      <c r="K201" s="10"/>
      <c r="L201" s="10"/>
      <c r="M201" s="287"/>
      <c r="N201" s="10"/>
      <c r="O201" s="10"/>
      <c r="P201" s="10"/>
      <c r="Q201" s="10"/>
      <c r="R201" s="10"/>
      <c r="S201" s="10"/>
      <c r="T201" s="18"/>
      <c r="U201" s="10"/>
      <c r="V201" s="10"/>
      <c r="W201" s="10"/>
      <c r="X201" s="18"/>
      <c r="Y201" s="10"/>
      <c r="Z201" s="10"/>
      <c r="AA201" s="10"/>
      <c r="AB201" s="60"/>
      <c r="AC201" s="60"/>
      <c r="AD201" s="12"/>
    </row>
    <row r="202" spans="1:30" s="17" customFormat="1" ht="15.5" hidden="1" outlineLevel="1" collapsed="1" x14ac:dyDescent="0.35">
      <c r="A202" s="93" t="s">
        <v>100</v>
      </c>
      <c r="B202" s="21"/>
      <c r="C202" s="84"/>
      <c r="D202" s="84"/>
      <c r="E202" s="84"/>
      <c r="F202" s="83"/>
      <c r="G202" s="32"/>
      <c r="H202" s="32"/>
      <c r="I202" s="32"/>
      <c r="J202" s="32"/>
      <c r="K202" s="32"/>
      <c r="L202" s="20">
        <f ca="1">LOOKUP(1000,INDIRECT("L1:"&amp;CELL("address",INDIRECT("R[-1]C",FALSE))))+1</f>
        <v>15</v>
      </c>
      <c r="M202" s="317" t="s">
        <v>600</v>
      </c>
      <c r="N202" s="317"/>
      <c r="O202" s="5"/>
      <c r="P202" s="33"/>
      <c r="Q202" s="33"/>
      <c r="R202" s="33"/>
      <c r="S202" s="33"/>
      <c r="T202" s="167">
        <f>IF($S$6="Exclude", SUMIFS(S203:S207, J203:J207, "&lt;&gt;Yes", G203:G207, "&lt;&gt;Yes"), SUMIFS(S203:S207, J203:J207, "&lt;&gt;Yes"))</f>
        <v>11</v>
      </c>
      <c r="U202" s="33"/>
      <c r="V202" s="33"/>
      <c r="W202" s="33"/>
      <c r="X202" s="34"/>
      <c r="Y202" s="35"/>
      <c r="Z202" s="35"/>
      <c r="AA202" s="35"/>
      <c r="AB202" s="240"/>
      <c r="AC202" s="36"/>
      <c r="AD202" s="26" t="str">
        <f>IF(M202="", "Error: Task name cannot be empty.", "")</f>
        <v/>
      </c>
    </row>
    <row r="203" spans="1:30" s="15" customFormat="1" ht="1.5" hidden="1" customHeight="1" outlineLevel="2" x14ac:dyDescent="0.35">
      <c r="A203" s="93" t="s">
        <v>101</v>
      </c>
      <c r="B203" s="21"/>
      <c r="C203" s="84"/>
      <c r="D203" s="84"/>
      <c r="E203" s="84"/>
      <c r="F203" s="83"/>
      <c r="G203" s="32"/>
      <c r="H203" s="32"/>
      <c r="I203" s="32"/>
      <c r="J203" s="32"/>
      <c r="K203" s="32"/>
      <c r="L203" s="175">
        <f ca="1">L202</f>
        <v>15</v>
      </c>
      <c r="M203" s="176" t="s">
        <v>105</v>
      </c>
      <c r="N203" s="173"/>
      <c r="O203" s="174"/>
      <c r="P203" s="33"/>
      <c r="Q203" s="33"/>
      <c r="R203" s="33"/>
      <c r="S203" s="33"/>
      <c r="T203" s="167"/>
      <c r="U203" s="33"/>
      <c r="V203" s="33"/>
      <c r="W203" s="33"/>
      <c r="X203" s="34"/>
      <c r="Y203" s="35"/>
      <c r="Z203" s="35"/>
      <c r="AA203" s="35"/>
      <c r="AB203" s="36"/>
      <c r="AC203" s="36"/>
      <c r="AD203" s="26"/>
    </row>
    <row r="204" spans="1:30" ht="58" hidden="1" outlineLevel="2" x14ac:dyDescent="0.35">
      <c r="A204" s="93" t="s">
        <v>0</v>
      </c>
      <c r="B204" s="21"/>
      <c r="C204" s="85"/>
      <c r="D204" s="85"/>
      <c r="E204" s="85"/>
      <c r="F204" s="86"/>
      <c r="G204" s="22" t="s">
        <v>23</v>
      </c>
      <c r="H204" s="22" t="s">
        <v>23</v>
      </c>
      <c r="I204" s="23" t="s">
        <v>23</v>
      </c>
      <c r="J204" s="22" t="s">
        <v>23</v>
      </c>
      <c r="K204" s="38"/>
      <c r="L204" s="22"/>
      <c r="M204" s="286" t="str">
        <f ca="1">IFERROR(OFFSET(M204,-1,,1,1)+0.1,OFFSET(M204,-1,-1,1,1)&amp;".1")</f>
        <v>15.1</v>
      </c>
      <c r="N204" s="23" t="s">
        <v>601</v>
      </c>
      <c r="O204" s="23"/>
      <c r="P204" s="23"/>
      <c r="Q204" s="144"/>
      <c r="R204" s="137"/>
      <c r="S204" s="169">
        <f>CEILING((IF(J204="Yes", 0, IF(H204="-",AA204,AA204+AA204*VLOOKUP(H204,BUFFERS_BY_TYPE,2,FALSE)))) +
   (IF(J204="Yes", 0, IF(H204="-",AA204,AA204+AA204*VLOOKUP(H204,BUFFERS_BY_TYPE,2,FALSE))))*VLOOKUP($S$5, SALES_CALL_SCALE_ARRAY, 2,FALSE),0.25)</f>
        <v>7</v>
      </c>
      <c r="T204" s="170"/>
      <c r="U204" s="24">
        <v>0</v>
      </c>
      <c r="V204" s="24">
        <v>1</v>
      </c>
      <c r="W204" s="24">
        <v>0</v>
      </c>
      <c r="X204" s="168">
        <v>7</v>
      </c>
      <c r="Y204" s="169">
        <f>CEILING((IF(P204=AS_DEV_EFFORT, DEV_EFFORT*Q204%,
                           IF(P204=AS_DURATION_EFFORT, (MANUAL_DURATION*5)*Q204%,
                                    (IF(Q204&lt;=1,X204,
                                          IF(SUM(U204:W204)=0,(Q204*X204),
                                               (((Q204*U204)*(X204+(X204*EXTRA_FOR_H)))+
                                               ((Q204*V204)*X204)+
                                               ((Q204*W204)*(X204-(X204*LESS_FOR_L)))
                                    )*IF(R204=0,1,R204))))))+Z204), 0.25)</f>
        <v>7</v>
      </c>
      <c r="Z204" s="25"/>
      <c r="AA204" s="169">
        <f>Y204+Y204*VLOOKUP(I204,EXTRAS_ARRAY,2,FALSE)</f>
        <v>7</v>
      </c>
      <c r="AB204" s="23" t="s">
        <v>614</v>
      </c>
      <c r="AC204" s="37"/>
      <c r="AD204" s="26" t="str">
        <f>IF(J204&lt;&gt;"Yes",
IF(S204&lt;=0,"Error: Effort value is not defined or is invalid.",
IF(AND(SUM(U204:W204)&gt;0,SUM(U204:W204)&lt;&gt;1),"Error: Complexity % distribution should sum to 100%.",
IF(AND(P204=AS_DEV_EFFORT,X204&lt;&gt;0),"Error: PDs should not be defined when defining as dev effort %.",
IF(AND(P204=AS_DURATION_EFFORT,X204&lt;&gt;0),"Error: PDs should not be defined when defining as duration effort %.","")))))</f>
        <v/>
      </c>
    </row>
    <row r="205" spans="1:30" ht="43.5" hidden="1" outlineLevel="2" x14ac:dyDescent="0.35">
      <c r="A205" s="93" t="s">
        <v>0</v>
      </c>
      <c r="B205" s="21"/>
      <c r="C205" s="85"/>
      <c r="D205" s="85"/>
      <c r="E205" s="85"/>
      <c r="F205" s="86"/>
      <c r="G205" s="22" t="s">
        <v>23</v>
      </c>
      <c r="H205" s="22" t="s">
        <v>23</v>
      </c>
      <c r="I205" s="23" t="s">
        <v>23</v>
      </c>
      <c r="J205" s="22" t="s">
        <v>23</v>
      </c>
      <c r="K205" s="38"/>
      <c r="L205" s="22"/>
      <c r="M205" s="286">
        <f ca="1">IFERROR(OFFSET(M205,-1,,1,1)+0.1,OFFSET(M205,-1,-1,1,1)&amp;".1")</f>
        <v>15.2</v>
      </c>
      <c r="N205" s="23" t="s">
        <v>603</v>
      </c>
      <c r="O205" s="23"/>
      <c r="P205" s="23"/>
      <c r="Q205" s="144"/>
      <c r="R205" s="137"/>
      <c r="S205" s="169">
        <f>CEILING((IF(J205="Yes", 0, IF(H205="-",AA205,AA205+AA205*VLOOKUP(H205,BUFFERS_BY_TYPE,2,FALSE)))) +
   (IF(J205="Yes", 0, IF(H205="-",AA205,AA205+AA205*VLOOKUP(H205,BUFFERS_BY_TYPE,2,FALSE))))*VLOOKUP($S$5, SALES_CALL_SCALE_ARRAY, 2,FALSE),0.25)</f>
        <v>2.5</v>
      </c>
      <c r="T205" s="170"/>
      <c r="U205" s="24">
        <v>0</v>
      </c>
      <c r="V205" s="24">
        <v>1</v>
      </c>
      <c r="W205" s="24">
        <v>0</v>
      </c>
      <c r="X205" s="168">
        <v>2.5</v>
      </c>
      <c r="Y205" s="169">
        <f>CEILING((IF(P205=AS_DEV_EFFORT, DEV_EFFORT*Q205%,
                           IF(P205=AS_DURATION_EFFORT, (MANUAL_DURATION*5)*Q205%,
                                    (IF(Q205&lt;=1,X205,
                                          IF(SUM(U205:W205)=0,(Q205*X205),
                                               (((Q205*U205)*(X205+(X205*EXTRA_FOR_H)))+
                                               ((Q205*V205)*X205)+
                                               ((Q205*W205)*(X205-(X205*LESS_FOR_L)))
                                    )*IF(R205=0,1,R205))))))+Z205), 0.25)</f>
        <v>2.5</v>
      </c>
      <c r="Z205" s="25"/>
      <c r="AA205" s="169">
        <f>Y205+Y205*VLOOKUP(I205,EXTRAS_ARRAY,2,FALSE)</f>
        <v>2.5</v>
      </c>
      <c r="AB205" s="23"/>
      <c r="AC205" s="37"/>
      <c r="AD205" s="26" t="str">
        <f>IF(J205&lt;&gt;"Yes",
IF(S205&lt;=0,"Error: Effort value is not defined or is invalid.",
IF(AND(SUM(U205:W205)&gt;0,SUM(U205:W205)&lt;&gt;1),"Error: Complexity % distribution should sum to 100%.",
IF(AND(P205=AS_DEV_EFFORT,X205&lt;&gt;0),"Error: PDs should not be defined when defining as dev effort %.",
IF(AND(P205=AS_DURATION_EFFORT,X205&lt;&gt;0),"Error: PDs should not be defined when defining as duration effort %.","")))))</f>
        <v/>
      </c>
    </row>
    <row r="206" spans="1:30" ht="43.5" hidden="1" outlineLevel="2" x14ac:dyDescent="0.35">
      <c r="A206" s="93" t="s">
        <v>0</v>
      </c>
      <c r="B206" s="21"/>
      <c r="C206" s="85"/>
      <c r="D206" s="85"/>
      <c r="E206" s="85"/>
      <c r="F206" s="86"/>
      <c r="G206" s="22" t="s">
        <v>23</v>
      </c>
      <c r="H206" s="22" t="s">
        <v>23</v>
      </c>
      <c r="I206" s="23" t="s">
        <v>23</v>
      </c>
      <c r="J206" s="22" t="s">
        <v>23</v>
      </c>
      <c r="K206" s="38"/>
      <c r="L206" s="22"/>
      <c r="M206" s="286">
        <f ca="1">IFERROR(OFFSET(M206,-1,,1,1)+0.1,OFFSET(M206,-1,-1,1,1)&amp;".1")</f>
        <v>15.299999999999999</v>
      </c>
      <c r="N206" s="23" t="s">
        <v>602</v>
      </c>
      <c r="O206" s="23"/>
      <c r="P206" s="23"/>
      <c r="Q206" s="144"/>
      <c r="R206" s="137"/>
      <c r="S206" s="169">
        <f>CEILING((IF(J206="Yes", 0, IF(H206="-",AA206,AA206+AA206*VLOOKUP(H206,BUFFERS_BY_TYPE,2,FALSE)))) +
   (IF(J206="Yes", 0, IF(H206="-",AA206,AA206+AA206*VLOOKUP(H206,BUFFERS_BY_TYPE,2,FALSE))))*VLOOKUP($S$5, SALES_CALL_SCALE_ARRAY, 2,FALSE),0.25)</f>
        <v>1.5</v>
      </c>
      <c r="T206" s="170"/>
      <c r="U206" s="24">
        <v>0</v>
      </c>
      <c r="V206" s="24">
        <v>1</v>
      </c>
      <c r="W206" s="24">
        <v>0</v>
      </c>
      <c r="X206" s="168">
        <v>1.5</v>
      </c>
      <c r="Y206" s="169">
        <f>CEILING((IF(P206=AS_DEV_EFFORT, DEV_EFFORT*Q206%,
                           IF(P206=AS_DURATION_EFFORT, (MANUAL_DURATION*5)*Q206%,
                                    (IF(Q206&lt;=1,X206,
                                          IF(SUM(U206:W206)=0,(Q206*X206),
                                               (((Q206*U206)*(X206+(X206*EXTRA_FOR_H)))+
                                               ((Q206*V206)*X206)+
                                               ((Q206*W206)*(X206-(X206*LESS_FOR_L)))
                                    )*IF(R206=0,1,R206))))))+Z206), 0.25)</f>
        <v>1.5</v>
      </c>
      <c r="Z206" s="25"/>
      <c r="AA206" s="169">
        <f>Y206+Y206*VLOOKUP(I206,EXTRAS_ARRAY,2,FALSE)</f>
        <v>1.5</v>
      </c>
      <c r="AB206" s="23"/>
      <c r="AC206" s="37"/>
      <c r="AD206" s="26" t="str">
        <f>IF(J206&lt;&gt;"Yes",
IF(S206&lt;=0,"Error: Effort value is not defined or is invalid.",
IF(AND(SUM(U206:W206)&gt;0,SUM(U206:W206)&lt;&gt;1),"Error: Complexity % distribution should sum to 100%.",
IF(AND(P206=AS_DEV_EFFORT,X206&lt;&gt;0),"Error: PDs should not be defined when defining as dev effort %.",
IF(AND(P206=AS_DURATION_EFFORT,X206&lt;&gt;0),"Error: PDs should not be defined when defining as duration effort %.","")))))</f>
        <v/>
      </c>
    </row>
    <row r="207" spans="1:30" s="11" customFormat="1" ht="7.5" hidden="1" customHeight="1" outlineLevel="2" x14ac:dyDescent="0.35">
      <c r="A207" s="93" t="s">
        <v>132</v>
      </c>
      <c r="B207" s="18"/>
      <c r="C207" s="78"/>
      <c r="D207" s="78"/>
      <c r="E207" s="78"/>
      <c r="F207" s="78"/>
      <c r="G207" s="10"/>
      <c r="H207" s="10"/>
      <c r="I207" s="10"/>
      <c r="J207" s="10"/>
      <c r="K207" s="10"/>
      <c r="L207" s="10"/>
      <c r="M207" s="287"/>
      <c r="N207" s="10"/>
      <c r="O207" s="10"/>
      <c r="P207" s="10"/>
      <c r="Q207" s="10"/>
      <c r="R207" s="10"/>
      <c r="S207" s="10"/>
      <c r="T207" s="18"/>
      <c r="U207" s="10"/>
      <c r="V207" s="10"/>
      <c r="W207" s="10"/>
      <c r="X207" s="18"/>
      <c r="Y207" s="10"/>
      <c r="Z207" s="10"/>
      <c r="AA207" s="10"/>
      <c r="AB207" s="60"/>
      <c r="AC207" s="60"/>
      <c r="AD207" s="12"/>
    </row>
    <row r="208" spans="1:30" s="17" customFormat="1" ht="15.5" hidden="1" outlineLevel="1" collapsed="1" x14ac:dyDescent="0.35">
      <c r="A208" s="93" t="s">
        <v>100</v>
      </c>
      <c r="B208" s="21"/>
      <c r="C208" s="84"/>
      <c r="D208" s="84"/>
      <c r="E208" s="84"/>
      <c r="F208" s="83"/>
      <c r="G208" s="32"/>
      <c r="H208" s="32"/>
      <c r="I208" s="32"/>
      <c r="J208" s="32"/>
      <c r="K208" s="32"/>
      <c r="L208" s="20">
        <f ca="1">LOOKUP(1000,INDIRECT("L1:"&amp;CELL("address",INDIRECT("R[-1]C",FALSE))))+1</f>
        <v>16</v>
      </c>
      <c r="M208" s="317" t="s">
        <v>606</v>
      </c>
      <c r="N208" s="317"/>
      <c r="O208" s="5"/>
      <c r="P208" s="33"/>
      <c r="Q208" s="33"/>
      <c r="R208" s="33"/>
      <c r="S208" s="33"/>
      <c r="T208" s="167">
        <f>IF($S$6="Exclude", SUMIFS(S209:S211, J209:J211, "&lt;&gt;Yes", G209:G211, "&lt;&gt;Yes"), SUMIFS(S209:S211, J209:J211, "&lt;&gt;Yes"))</f>
        <v>3</v>
      </c>
      <c r="U208" s="33"/>
      <c r="V208" s="33"/>
      <c r="W208" s="33"/>
      <c r="X208" s="34"/>
      <c r="Y208" s="35"/>
      <c r="Z208" s="35"/>
      <c r="AA208" s="35"/>
      <c r="AB208" s="240"/>
      <c r="AC208" s="36"/>
      <c r="AD208" s="26" t="str">
        <f>IF(M208="", "Error: Task name cannot be empty.", "")</f>
        <v/>
      </c>
    </row>
    <row r="209" spans="1:30" s="15" customFormat="1" ht="1.5" hidden="1" customHeight="1" outlineLevel="2" x14ac:dyDescent="0.35">
      <c r="A209" s="93" t="s">
        <v>101</v>
      </c>
      <c r="B209" s="21"/>
      <c r="C209" s="84"/>
      <c r="D209" s="84"/>
      <c r="E209" s="84"/>
      <c r="F209" s="83"/>
      <c r="G209" s="32"/>
      <c r="H209" s="32"/>
      <c r="I209" s="32"/>
      <c r="J209" s="32"/>
      <c r="K209" s="32"/>
      <c r="L209" s="175">
        <f ca="1">L208</f>
        <v>16</v>
      </c>
      <c r="M209" s="176" t="s">
        <v>105</v>
      </c>
      <c r="N209" s="173"/>
      <c r="O209" s="174"/>
      <c r="P209" s="33"/>
      <c r="Q209" s="33"/>
      <c r="R209" s="33"/>
      <c r="S209" s="33"/>
      <c r="T209" s="167"/>
      <c r="U209" s="33"/>
      <c r="V209" s="33"/>
      <c r="W209" s="33"/>
      <c r="X209" s="34"/>
      <c r="Y209" s="35"/>
      <c r="Z209" s="35"/>
      <c r="AA209" s="35"/>
      <c r="AB209" s="36"/>
      <c r="AC209" s="36"/>
      <c r="AD209" s="26"/>
    </row>
    <row r="210" spans="1:30" ht="43.5" hidden="1" outlineLevel="2" x14ac:dyDescent="0.35">
      <c r="A210" s="93" t="s">
        <v>0</v>
      </c>
      <c r="B210" s="21"/>
      <c r="C210" s="85"/>
      <c r="D210" s="85"/>
      <c r="E210" s="85"/>
      <c r="F210" s="86"/>
      <c r="G210" s="22" t="s">
        <v>23</v>
      </c>
      <c r="H210" s="22" t="s">
        <v>23</v>
      </c>
      <c r="I210" s="23" t="s">
        <v>23</v>
      </c>
      <c r="J210" s="22" t="s">
        <v>23</v>
      </c>
      <c r="K210" s="38"/>
      <c r="L210" s="22"/>
      <c r="M210" s="286" t="str">
        <f ca="1">IFERROR(OFFSET(M210,-1,,1,1)+0.1,OFFSET(M210,-1,-1,1,1)&amp;".1")</f>
        <v>16.1</v>
      </c>
      <c r="N210" s="23" t="s">
        <v>604</v>
      </c>
      <c r="O210" s="23"/>
      <c r="P210" s="23"/>
      <c r="Q210" s="144"/>
      <c r="R210" s="137"/>
      <c r="S210" s="169">
        <f>CEILING((IF(J210="Yes", 0, IF(H210="-",AA210,AA210+AA210*VLOOKUP(H210,BUFFERS_BY_TYPE,2,FALSE)))) +
   (IF(J210="Yes", 0, IF(H210="-",AA210,AA210+AA210*VLOOKUP(H210,BUFFERS_BY_TYPE,2,FALSE))))*VLOOKUP($S$5, SALES_CALL_SCALE_ARRAY, 2,FALSE),0.25)</f>
        <v>3</v>
      </c>
      <c r="T210" s="170"/>
      <c r="U210" s="24">
        <v>0</v>
      </c>
      <c r="V210" s="24">
        <v>1</v>
      </c>
      <c r="W210" s="24">
        <v>0</v>
      </c>
      <c r="X210" s="168">
        <v>3</v>
      </c>
      <c r="Y210" s="169">
        <f>CEILING((IF(P210=AS_DEV_EFFORT, DEV_EFFORT*Q210%,
                           IF(P210=AS_DURATION_EFFORT, (MANUAL_DURATION*5)*Q210%,
                                    (IF(Q210&lt;=1,X210,
                                          IF(SUM(U210:W210)=0,(Q210*X210),
                                               (((Q210*U210)*(X210+(X210*EXTRA_FOR_H)))+
                                               ((Q210*V210)*X210)+
                                               ((Q210*W210)*(X210-(X210*LESS_FOR_L)))
                                    )*IF(R210=0,1,R210))))))+Z210), 0.25)</f>
        <v>3</v>
      </c>
      <c r="Z210" s="25"/>
      <c r="AA210" s="169">
        <f>Y210+Y210*VLOOKUP(I210,EXTRAS_ARRAY,2,FALSE)</f>
        <v>3</v>
      </c>
      <c r="AB210" s="23"/>
      <c r="AC210" s="37"/>
      <c r="AD210" s="26" t="str">
        <f>IF(J210&lt;&gt;"Yes",
IF(S210&lt;=0,"Error: Effort value is not defined or is invalid.",
IF(AND(SUM(U210:W210)&gt;0,SUM(U210:W210)&lt;&gt;1),"Error: Complexity % distribution should sum to 100%.",
IF(AND(P210=AS_DEV_EFFORT,X210&lt;&gt;0),"Error: PDs should not be defined when defining as dev effort %.",
IF(AND(P210=AS_DURATION_EFFORT,X210&lt;&gt;0),"Error: PDs should not be defined when defining as duration effort %.","")))))</f>
        <v/>
      </c>
    </row>
    <row r="211" spans="1:30" s="11" customFormat="1" ht="7.5" hidden="1" customHeight="1" outlineLevel="2" x14ac:dyDescent="0.35">
      <c r="A211" s="93" t="s">
        <v>132</v>
      </c>
      <c r="B211" s="18"/>
      <c r="C211" s="78"/>
      <c r="D211" s="78"/>
      <c r="E211" s="78"/>
      <c r="F211" s="78"/>
      <c r="G211" s="10"/>
      <c r="H211" s="10"/>
      <c r="I211" s="10"/>
      <c r="J211" s="10"/>
      <c r="K211" s="10"/>
      <c r="L211" s="10"/>
      <c r="M211" s="287"/>
      <c r="N211" s="10"/>
      <c r="O211" s="10"/>
      <c r="P211" s="10"/>
      <c r="Q211" s="10"/>
      <c r="R211" s="10"/>
      <c r="S211" s="10"/>
      <c r="T211" s="18"/>
      <c r="U211" s="10"/>
      <c r="V211" s="10"/>
      <c r="W211" s="10"/>
      <c r="X211" s="18"/>
      <c r="Y211" s="10"/>
      <c r="Z211" s="10"/>
      <c r="AA211" s="10"/>
      <c r="AB211" s="60"/>
      <c r="AC211" s="60"/>
      <c r="AD211" s="12"/>
    </row>
    <row r="212" spans="1:30" s="17" customFormat="1" ht="15.5" hidden="1" outlineLevel="1" collapsed="1" x14ac:dyDescent="0.35">
      <c r="A212" s="93" t="s">
        <v>100</v>
      </c>
      <c r="B212" s="21"/>
      <c r="C212" s="84"/>
      <c r="D212" s="84"/>
      <c r="E212" s="84"/>
      <c r="F212" s="83"/>
      <c r="G212" s="32"/>
      <c r="H212" s="32"/>
      <c r="I212" s="32"/>
      <c r="J212" s="32"/>
      <c r="K212" s="32"/>
      <c r="L212" s="20">
        <f ca="1">LOOKUP(1000,INDIRECT("L1:"&amp;CELL("address",INDIRECT("R[-1]C",FALSE))))+1</f>
        <v>17</v>
      </c>
      <c r="M212" s="317" t="s">
        <v>605</v>
      </c>
      <c r="N212" s="317"/>
      <c r="O212" s="5"/>
      <c r="P212" s="33"/>
      <c r="Q212" s="33"/>
      <c r="R212" s="33"/>
      <c r="S212" s="33"/>
      <c r="T212" s="167">
        <f>IF($S$6="Exclude", SUMIFS(S213:S215, J213:J215, "&lt;&gt;Yes", G213:G215, "&lt;&gt;Yes"), SUMIFS(S213:S215, J213:J215, "&lt;&gt;Yes"))</f>
        <v>4</v>
      </c>
      <c r="U212" s="33"/>
      <c r="V212" s="33"/>
      <c r="W212" s="33"/>
      <c r="X212" s="34"/>
      <c r="Y212" s="35"/>
      <c r="Z212" s="35"/>
      <c r="AA212" s="35"/>
      <c r="AB212" s="240"/>
      <c r="AC212" s="36"/>
      <c r="AD212" s="26" t="str">
        <f>IF(M212="", "Error: Task name cannot be empty.", "")</f>
        <v/>
      </c>
    </row>
    <row r="213" spans="1:30" s="15" customFormat="1" ht="1.5" hidden="1" customHeight="1" outlineLevel="2" x14ac:dyDescent="0.35">
      <c r="A213" s="93" t="s">
        <v>101</v>
      </c>
      <c r="B213" s="21"/>
      <c r="C213" s="84"/>
      <c r="D213" s="84"/>
      <c r="E213" s="84"/>
      <c r="F213" s="83"/>
      <c r="G213" s="32"/>
      <c r="H213" s="32"/>
      <c r="I213" s="32"/>
      <c r="J213" s="32"/>
      <c r="K213" s="32"/>
      <c r="L213" s="175">
        <f ca="1">L212</f>
        <v>17</v>
      </c>
      <c r="M213" s="176" t="s">
        <v>105</v>
      </c>
      <c r="N213" s="173"/>
      <c r="O213" s="174"/>
      <c r="P213" s="33"/>
      <c r="Q213" s="33"/>
      <c r="R213" s="33"/>
      <c r="S213" s="33"/>
      <c r="T213" s="167"/>
      <c r="U213" s="33"/>
      <c r="V213" s="33"/>
      <c r="W213" s="33"/>
      <c r="X213" s="34"/>
      <c r="Y213" s="35"/>
      <c r="Z213" s="35"/>
      <c r="AA213" s="35"/>
      <c r="AB213" s="36"/>
      <c r="AC213" s="36"/>
      <c r="AD213" s="26"/>
    </row>
    <row r="214" spans="1:30" ht="43.5" hidden="1" outlineLevel="2" x14ac:dyDescent="0.35">
      <c r="A214" s="93" t="s">
        <v>0</v>
      </c>
      <c r="B214" s="21"/>
      <c r="C214" s="85"/>
      <c r="D214" s="85"/>
      <c r="E214" s="85"/>
      <c r="F214" s="86"/>
      <c r="G214" s="22" t="s">
        <v>23</v>
      </c>
      <c r="H214" s="22" t="s">
        <v>23</v>
      </c>
      <c r="I214" s="23" t="s">
        <v>23</v>
      </c>
      <c r="J214" s="22" t="s">
        <v>23</v>
      </c>
      <c r="K214" s="38"/>
      <c r="L214" s="22"/>
      <c r="M214" s="286" t="str">
        <f ca="1">IFERROR(OFFSET(M214,-1,,1,1)+0.1,OFFSET(M214,-1,-1,1,1)&amp;".1")</f>
        <v>17.1</v>
      </c>
      <c r="N214" s="23" t="s">
        <v>607</v>
      </c>
      <c r="O214" s="23"/>
      <c r="P214" s="23"/>
      <c r="Q214" s="144"/>
      <c r="R214" s="137"/>
      <c r="S214" s="169">
        <f>CEILING((IF(J214="Yes", 0, IF(H214="-",AA214,AA214+AA214*VLOOKUP(H214,BUFFERS_BY_TYPE,2,FALSE)))) +
   (IF(J214="Yes", 0, IF(H214="-",AA214,AA214+AA214*VLOOKUP(H214,BUFFERS_BY_TYPE,2,FALSE))))*VLOOKUP($S$5, SALES_CALL_SCALE_ARRAY, 2,FALSE),0.25)</f>
        <v>4</v>
      </c>
      <c r="T214" s="170"/>
      <c r="U214" s="24">
        <v>0</v>
      </c>
      <c r="V214" s="24">
        <v>1</v>
      </c>
      <c r="W214" s="24">
        <v>0</v>
      </c>
      <c r="X214" s="168">
        <v>4</v>
      </c>
      <c r="Y214" s="169">
        <f>CEILING((IF(P214=AS_DEV_EFFORT, DEV_EFFORT*Q214%,
                           IF(P214=AS_DURATION_EFFORT, (MANUAL_DURATION*5)*Q214%,
                                    (IF(Q214&lt;=1,X214,
                                          IF(SUM(U214:W214)=0,(Q214*X214),
                                               (((Q214*U214)*(X214+(X214*EXTRA_FOR_H)))+
                                               ((Q214*V214)*X214)+
                                               ((Q214*W214)*(X214-(X214*LESS_FOR_L)))
                                    )*IF(R214=0,1,R214))))))+Z214), 0.25)</f>
        <v>4</v>
      </c>
      <c r="Z214" s="25"/>
      <c r="AA214" s="169">
        <f>Y214+Y214*VLOOKUP(I214,EXTRAS_ARRAY,2,FALSE)</f>
        <v>4</v>
      </c>
      <c r="AB214" s="23"/>
      <c r="AC214" s="37"/>
      <c r="AD214" s="26" t="str">
        <f>IF(J214&lt;&gt;"Yes",
IF(S214&lt;=0,"Error: Effort value is not defined or is invalid.",
IF(AND(SUM(U214:W214)&gt;0,SUM(U214:W214)&lt;&gt;1),"Error: Complexity % distribution should sum to 100%.",
IF(AND(P214=AS_DEV_EFFORT,X214&lt;&gt;0),"Error: PDs should not be defined when defining as dev effort %.",
IF(AND(P214=AS_DURATION_EFFORT,X214&lt;&gt;0),"Error: PDs should not be defined when defining as duration effort %.","")))))</f>
        <v/>
      </c>
    </row>
    <row r="215" spans="1:30" s="11" customFormat="1" ht="7.5" hidden="1" customHeight="1" outlineLevel="2" x14ac:dyDescent="0.35">
      <c r="A215" s="93" t="s">
        <v>132</v>
      </c>
      <c r="B215" s="18"/>
      <c r="C215" s="78"/>
      <c r="D215" s="78"/>
      <c r="E215" s="78"/>
      <c r="F215" s="78"/>
      <c r="G215" s="10"/>
      <c r="H215" s="10"/>
      <c r="I215" s="10"/>
      <c r="J215" s="10"/>
      <c r="K215" s="10"/>
      <c r="L215" s="10"/>
      <c r="M215" s="287"/>
      <c r="N215" s="10"/>
      <c r="O215" s="10"/>
      <c r="P215" s="10"/>
      <c r="Q215" s="10"/>
      <c r="R215" s="10"/>
      <c r="S215" s="10"/>
      <c r="T215" s="18"/>
      <c r="U215" s="10"/>
      <c r="V215" s="10"/>
      <c r="W215" s="10"/>
      <c r="X215" s="18"/>
      <c r="Y215" s="10"/>
      <c r="Z215" s="10"/>
      <c r="AA215" s="10"/>
      <c r="AB215" s="60"/>
      <c r="AC215" s="60"/>
      <c r="AD215" s="12"/>
    </row>
    <row r="216" spans="1:30" s="17" customFormat="1" ht="15.5" hidden="1" outlineLevel="1" collapsed="1" x14ac:dyDescent="0.35">
      <c r="A216" s="93" t="s">
        <v>100</v>
      </c>
      <c r="B216" s="21"/>
      <c r="C216" s="84"/>
      <c r="D216" s="84"/>
      <c r="E216" s="84"/>
      <c r="F216" s="83"/>
      <c r="G216" s="32"/>
      <c r="H216" s="32"/>
      <c r="I216" s="32"/>
      <c r="J216" s="32"/>
      <c r="K216" s="32"/>
      <c r="L216" s="20">
        <f ca="1">LOOKUP(1000,INDIRECT("L1:"&amp;CELL("address",INDIRECT("R[-1]C",FALSE))))+1</f>
        <v>18</v>
      </c>
      <c r="M216" s="317" t="s">
        <v>608</v>
      </c>
      <c r="N216" s="317"/>
      <c r="O216" s="5"/>
      <c r="P216" s="33"/>
      <c r="Q216" s="33"/>
      <c r="R216" s="33"/>
      <c r="S216" s="33"/>
      <c r="T216" s="167">
        <f>IF($S$6="Exclude", SUMIFS(S217:S219, J217:J219, "&lt;&gt;Yes", G217:G219, "&lt;&gt;Yes"), SUMIFS(S217:S219, J217:J219, "&lt;&gt;Yes"))</f>
        <v>3.5</v>
      </c>
      <c r="U216" s="33"/>
      <c r="V216" s="33"/>
      <c r="W216" s="33"/>
      <c r="X216" s="34"/>
      <c r="Y216" s="35"/>
      <c r="Z216" s="35"/>
      <c r="AA216" s="35"/>
      <c r="AB216" s="240"/>
      <c r="AC216" s="36"/>
      <c r="AD216" s="26" t="str">
        <f>IF(M216="", "Error: Task name cannot be empty.", "")</f>
        <v/>
      </c>
    </row>
    <row r="217" spans="1:30" s="15" customFormat="1" ht="1.5" hidden="1" customHeight="1" outlineLevel="2" x14ac:dyDescent="0.35">
      <c r="A217" s="93" t="s">
        <v>101</v>
      </c>
      <c r="B217" s="21"/>
      <c r="C217" s="84"/>
      <c r="D217" s="84"/>
      <c r="E217" s="84"/>
      <c r="F217" s="83"/>
      <c r="G217" s="32"/>
      <c r="H217" s="32"/>
      <c r="I217" s="32"/>
      <c r="J217" s="32"/>
      <c r="K217" s="32"/>
      <c r="L217" s="175">
        <f ca="1">L216</f>
        <v>18</v>
      </c>
      <c r="M217" s="176" t="s">
        <v>105</v>
      </c>
      <c r="N217" s="173"/>
      <c r="O217" s="174"/>
      <c r="P217" s="33"/>
      <c r="Q217" s="33"/>
      <c r="R217" s="33"/>
      <c r="S217" s="33"/>
      <c r="T217" s="167"/>
      <c r="U217" s="33"/>
      <c r="V217" s="33"/>
      <c r="W217" s="33"/>
      <c r="X217" s="34"/>
      <c r="Y217" s="35"/>
      <c r="Z217" s="35"/>
      <c r="AA217" s="35"/>
      <c r="AB217" s="36"/>
      <c r="AC217" s="36"/>
      <c r="AD217" s="26"/>
    </row>
    <row r="218" spans="1:30" ht="43.5" hidden="1" outlineLevel="2" x14ac:dyDescent="0.35">
      <c r="A218" s="93" t="s">
        <v>0</v>
      </c>
      <c r="B218" s="21"/>
      <c r="C218" s="85"/>
      <c r="D218" s="85"/>
      <c r="E218" s="85"/>
      <c r="F218" s="86"/>
      <c r="G218" s="22" t="s">
        <v>23</v>
      </c>
      <c r="H218" s="22" t="s">
        <v>23</v>
      </c>
      <c r="I218" s="23" t="s">
        <v>23</v>
      </c>
      <c r="J218" s="22" t="s">
        <v>23</v>
      </c>
      <c r="K218" s="38"/>
      <c r="L218" s="22"/>
      <c r="M218" s="286" t="str">
        <f ca="1">IFERROR(OFFSET(M218,-1,,1,1)+0.1,OFFSET(M218,-1,-1,1,1)&amp;".1")</f>
        <v>18.1</v>
      </c>
      <c r="N218" s="23" t="s">
        <v>664</v>
      </c>
      <c r="O218" s="23"/>
      <c r="P218" s="23"/>
      <c r="Q218" s="144"/>
      <c r="R218" s="137"/>
      <c r="S218" s="169">
        <f>CEILING((IF(J218="Yes", 0, IF(H218="-",AA218,AA218+AA218*VLOOKUP(H218,BUFFERS_BY_TYPE,2,FALSE)))) +
   (IF(J218="Yes", 0, IF(H218="-",AA218,AA218+AA218*VLOOKUP(H218,BUFFERS_BY_TYPE,2,FALSE))))*VLOOKUP($S$5, SALES_CALL_SCALE_ARRAY, 2,FALSE),0.25)</f>
        <v>3.5</v>
      </c>
      <c r="T218" s="170"/>
      <c r="U218" s="24">
        <v>0</v>
      </c>
      <c r="V218" s="24">
        <v>1</v>
      </c>
      <c r="W218" s="24">
        <v>0</v>
      </c>
      <c r="X218" s="168">
        <v>3.5</v>
      </c>
      <c r="Y218" s="169">
        <f>CEILING((IF(P218=AS_DEV_EFFORT, DEV_EFFORT*Q218%,
                           IF(P218=AS_DURATION_EFFORT, (MANUAL_DURATION*5)*Q218%,
                                    (IF(Q218&lt;=1,X218,
                                          IF(SUM(U218:W218)=0,(Q218*X218),
                                               (((Q218*U218)*(X218+(X218*EXTRA_FOR_H)))+
                                               ((Q218*V218)*X218)+
                                               ((Q218*W218)*(X218-(X218*LESS_FOR_L)))
                                    )*IF(R218=0,1,R218))))))+Z218), 0.25)</f>
        <v>3.5</v>
      </c>
      <c r="Z218" s="25"/>
      <c r="AA218" s="169">
        <f>Y218+Y218*VLOOKUP(I218,EXTRAS_ARRAY,2,FALSE)</f>
        <v>3.5</v>
      </c>
      <c r="AB218" s="23"/>
      <c r="AC218" s="37"/>
      <c r="AD218" s="26" t="str">
        <f>IF(J218&lt;&gt;"Yes",
IF(S218&lt;=0,"Error: Effort value is not defined or is invalid.",
IF(AND(SUM(U218:W218)&gt;0,SUM(U218:W218)&lt;&gt;1),"Error: Complexity % distribution should sum to 100%.",
IF(AND(P218=AS_DEV_EFFORT,X218&lt;&gt;0),"Error: PDs should not be defined when defining as dev effort %.",
IF(AND(P218=AS_DURATION_EFFORT,X218&lt;&gt;0),"Error: PDs should not be defined when defining as duration effort %.","")))))</f>
        <v/>
      </c>
    </row>
    <row r="219" spans="1:30" s="11" customFormat="1" ht="7.5" hidden="1" customHeight="1" outlineLevel="2" x14ac:dyDescent="0.35">
      <c r="A219" s="93" t="s">
        <v>132</v>
      </c>
      <c r="B219" s="18"/>
      <c r="C219" s="78"/>
      <c r="D219" s="78"/>
      <c r="E219" s="78"/>
      <c r="F219" s="78"/>
      <c r="G219" s="10"/>
      <c r="H219" s="10"/>
      <c r="I219" s="10"/>
      <c r="J219" s="10"/>
      <c r="K219" s="10"/>
      <c r="L219" s="10"/>
      <c r="M219" s="287"/>
      <c r="N219" s="10"/>
      <c r="O219" s="10"/>
      <c r="P219" s="10"/>
      <c r="Q219" s="10"/>
      <c r="R219" s="10"/>
      <c r="S219" s="10"/>
      <c r="T219" s="18"/>
      <c r="U219" s="10"/>
      <c r="V219" s="10"/>
      <c r="W219" s="10"/>
      <c r="X219" s="18"/>
      <c r="Y219" s="10"/>
      <c r="Z219" s="10"/>
      <c r="AA219" s="10"/>
      <c r="AB219" s="60"/>
      <c r="AC219" s="60"/>
      <c r="AD219" s="12"/>
    </row>
    <row r="220" spans="1:30" s="17" customFormat="1" ht="15.5" hidden="1" outlineLevel="1" collapsed="1" x14ac:dyDescent="0.35">
      <c r="A220" s="93" t="s">
        <v>100</v>
      </c>
      <c r="B220" s="21"/>
      <c r="C220" s="84"/>
      <c r="D220" s="84"/>
      <c r="E220" s="84"/>
      <c r="F220" s="83"/>
      <c r="G220" s="32"/>
      <c r="H220" s="32"/>
      <c r="I220" s="32"/>
      <c r="J220" s="32"/>
      <c r="K220" s="32"/>
      <c r="L220" s="20">
        <f ca="1">LOOKUP(1000,INDIRECT("L1:"&amp;CELL("address",INDIRECT("R[-1]C",FALSE))))+1</f>
        <v>19</v>
      </c>
      <c r="M220" s="317" t="s">
        <v>609</v>
      </c>
      <c r="N220" s="317"/>
      <c r="O220" s="5"/>
      <c r="P220" s="33"/>
      <c r="Q220" s="33"/>
      <c r="R220" s="33"/>
      <c r="S220" s="33"/>
      <c r="T220" s="167">
        <f>IF($S$6="Exclude", SUMIFS(S221:S224, J221:J224, "&lt;&gt;Yes", G221:G224, "&lt;&gt;Yes"), SUMIFS(S221:S224, J221:J224, "&lt;&gt;Yes"))</f>
        <v>10</v>
      </c>
      <c r="U220" s="33"/>
      <c r="V220" s="33"/>
      <c r="W220" s="33"/>
      <c r="X220" s="34"/>
      <c r="Y220" s="35"/>
      <c r="Z220" s="35"/>
      <c r="AA220" s="35"/>
      <c r="AB220" s="240"/>
      <c r="AC220" s="36"/>
      <c r="AD220" s="26" t="str">
        <f>IF(M220="", "Error: Task name cannot be empty.", "")</f>
        <v/>
      </c>
    </row>
    <row r="221" spans="1:30" s="15" customFormat="1" ht="1.5" hidden="1" customHeight="1" outlineLevel="2" x14ac:dyDescent="0.35">
      <c r="A221" s="93" t="s">
        <v>101</v>
      </c>
      <c r="B221" s="21"/>
      <c r="C221" s="84"/>
      <c r="D221" s="84"/>
      <c r="E221" s="84"/>
      <c r="F221" s="83"/>
      <c r="G221" s="32"/>
      <c r="H221" s="32"/>
      <c r="I221" s="32"/>
      <c r="J221" s="32"/>
      <c r="K221" s="32"/>
      <c r="L221" s="175">
        <f ca="1">L220</f>
        <v>19</v>
      </c>
      <c r="M221" s="176" t="s">
        <v>105</v>
      </c>
      <c r="N221" s="173"/>
      <c r="O221" s="174"/>
      <c r="P221" s="33"/>
      <c r="Q221" s="33"/>
      <c r="R221" s="33"/>
      <c r="S221" s="33"/>
      <c r="T221" s="167"/>
      <c r="U221" s="33"/>
      <c r="V221" s="33"/>
      <c r="W221" s="33"/>
      <c r="X221" s="34"/>
      <c r="Y221" s="35"/>
      <c r="Z221" s="35"/>
      <c r="AA221" s="35"/>
      <c r="AB221" s="36"/>
      <c r="AC221" s="36"/>
      <c r="AD221" s="26"/>
    </row>
    <row r="222" spans="1:30" ht="72.5" hidden="1" outlineLevel="2" x14ac:dyDescent="0.35">
      <c r="A222" s="93" t="s">
        <v>0</v>
      </c>
      <c r="B222" s="21"/>
      <c r="C222" s="85"/>
      <c r="D222" s="85"/>
      <c r="E222" s="85"/>
      <c r="F222" s="86"/>
      <c r="G222" s="22" t="s">
        <v>23</v>
      </c>
      <c r="H222" s="22" t="s">
        <v>23</v>
      </c>
      <c r="I222" s="23" t="s">
        <v>23</v>
      </c>
      <c r="J222" s="22" t="s">
        <v>23</v>
      </c>
      <c r="K222" s="38"/>
      <c r="L222" s="22"/>
      <c r="M222" s="286" t="str">
        <f ca="1">IFERROR(OFFSET(M222,-1,,1,1)+0.1,OFFSET(M222,-1,-1,1,1)&amp;".1")</f>
        <v>19.1</v>
      </c>
      <c r="N222" s="23" t="s">
        <v>665</v>
      </c>
      <c r="O222" s="23"/>
      <c r="P222" s="23"/>
      <c r="Q222" s="144"/>
      <c r="R222" s="137"/>
      <c r="S222" s="169">
        <f>CEILING((IF(J222="Yes", 0, IF(H222="-",AA222,AA222+AA222*VLOOKUP(H222,BUFFERS_BY_TYPE,2,FALSE)))) +
   (IF(J222="Yes", 0, IF(H222="-",AA222,AA222+AA222*VLOOKUP(H222,BUFFERS_BY_TYPE,2,FALSE))))*VLOOKUP($S$5, SALES_CALL_SCALE_ARRAY, 2,FALSE),0.25)</f>
        <v>5</v>
      </c>
      <c r="T222" s="170"/>
      <c r="U222" s="24">
        <v>0</v>
      </c>
      <c r="V222" s="24">
        <v>1</v>
      </c>
      <c r="W222" s="24">
        <v>0</v>
      </c>
      <c r="X222" s="168">
        <v>5</v>
      </c>
      <c r="Y222" s="169">
        <f>CEILING((IF(P222=AS_DEV_EFFORT, DEV_EFFORT*Q222%,
                           IF(P222=AS_DURATION_EFFORT, (MANUAL_DURATION*5)*Q222%,
                                    (IF(Q222&lt;=1,X222,
                                          IF(SUM(U222:W222)=0,(Q222*X222),
                                               (((Q222*U222)*(X222+(X222*EXTRA_FOR_H)))+
                                               ((Q222*V222)*X222)+
                                               ((Q222*W222)*(X222-(X222*LESS_FOR_L)))
                                    )*IF(R222=0,1,R222))))))+Z222), 0.25)</f>
        <v>5</v>
      </c>
      <c r="Z222" s="25"/>
      <c r="AA222" s="169">
        <f>Y222+Y222*VLOOKUP(I222,EXTRAS_ARRAY,2,FALSE)</f>
        <v>5</v>
      </c>
      <c r="AB222" s="23"/>
      <c r="AC222" s="37"/>
      <c r="AD222" s="26" t="str">
        <f>IF(J222&lt;&gt;"Yes",
IF(S222&lt;=0,"Error: Effort value is not defined or is invalid.",
IF(AND(SUM(U222:W222)&gt;0,SUM(U222:W222)&lt;&gt;1),"Error: Complexity % distribution should sum to 100%.",
IF(AND(P222=AS_DEV_EFFORT,X222&lt;&gt;0),"Error: PDs should not be defined when defining as dev effort %.",
IF(AND(P222=AS_DURATION_EFFORT,X222&lt;&gt;0),"Error: PDs should not be defined when defining as duration effort %.","")))))</f>
        <v/>
      </c>
    </row>
    <row r="223" spans="1:30" ht="72.5" hidden="1" outlineLevel="2" x14ac:dyDescent="0.35">
      <c r="A223" s="93" t="s">
        <v>0</v>
      </c>
      <c r="B223" s="21"/>
      <c r="C223" s="85"/>
      <c r="D223" s="85"/>
      <c r="E223" s="85"/>
      <c r="F223" s="86"/>
      <c r="G223" s="22" t="s">
        <v>23</v>
      </c>
      <c r="H223" s="22" t="s">
        <v>23</v>
      </c>
      <c r="I223" s="23" t="s">
        <v>23</v>
      </c>
      <c r="J223" s="22" t="s">
        <v>23</v>
      </c>
      <c r="K223" s="38"/>
      <c r="L223" s="22"/>
      <c r="M223" s="286">
        <f ca="1">IFERROR(OFFSET(M223,-1,,1,1)+0.1,OFFSET(M223,-1,-1,1,1)&amp;".1")</f>
        <v>19.200000000000003</v>
      </c>
      <c r="N223" s="23" t="s">
        <v>666</v>
      </c>
      <c r="O223" s="23"/>
      <c r="P223" s="23"/>
      <c r="Q223" s="144"/>
      <c r="R223" s="137"/>
      <c r="S223" s="169">
        <f>CEILING((IF(J223="Yes", 0, IF(H223="-",AA223,AA223+AA223*VLOOKUP(H223,BUFFERS_BY_TYPE,2,FALSE)))) +
   (IF(J223="Yes", 0, IF(H223="-",AA223,AA223+AA223*VLOOKUP(H223,BUFFERS_BY_TYPE,2,FALSE))))*VLOOKUP($S$5, SALES_CALL_SCALE_ARRAY, 2,FALSE),0.25)</f>
        <v>5</v>
      </c>
      <c r="T223" s="170"/>
      <c r="U223" s="24">
        <v>0</v>
      </c>
      <c r="V223" s="24">
        <v>1</v>
      </c>
      <c r="W223" s="24">
        <v>0</v>
      </c>
      <c r="X223" s="168">
        <v>5</v>
      </c>
      <c r="Y223" s="169">
        <f>CEILING((IF(P223=AS_DEV_EFFORT, DEV_EFFORT*Q223%,
                           IF(P223=AS_DURATION_EFFORT, (MANUAL_DURATION*5)*Q223%,
                                    (IF(Q223&lt;=1,X223,
                                          IF(SUM(U223:W223)=0,(Q223*X223),
                                               (((Q223*U223)*(X223+(X223*EXTRA_FOR_H)))+
                                               ((Q223*V223)*X223)+
                                               ((Q223*W223)*(X223-(X223*LESS_FOR_L)))
                                    )*IF(R223=0,1,R223))))))+Z223), 0.25)</f>
        <v>5</v>
      </c>
      <c r="Z223" s="25"/>
      <c r="AA223" s="169">
        <f>Y223+Y223*VLOOKUP(I223,EXTRAS_ARRAY,2,FALSE)</f>
        <v>5</v>
      </c>
      <c r="AB223" s="23"/>
      <c r="AC223" s="37"/>
      <c r="AD223" s="26" t="str">
        <f>IF(J223&lt;&gt;"Yes",
IF(S223&lt;=0,"Error: Effort value is not defined or is invalid.",
IF(AND(SUM(U223:W223)&gt;0,SUM(U223:W223)&lt;&gt;1),"Error: Complexity % distribution should sum to 100%.",
IF(AND(P223=AS_DEV_EFFORT,X223&lt;&gt;0),"Error: PDs should not be defined when defining as dev effort %.",
IF(AND(P223=AS_DURATION_EFFORT,X223&lt;&gt;0),"Error: PDs should not be defined when defining as duration effort %.","")))))</f>
        <v/>
      </c>
    </row>
    <row r="224" spans="1:30" s="11" customFormat="1" ht="7.5" hidden="1" customHeight="1" outlineLevel="2" x14ac:dyDescent="0.35">
      <c r="A224" s="93" t="s">
        <v>132</v>
      </c>
      <c r="B224" s="18"/>
      <c r="C224" s="78"/>
      <c r="D224" s="78"/>
      <c r="E224" s="78"/>
      <c r="F224" s="78"/>
      <c r="G224" s="10"/>
      <c r="H224" s="10"/>
      <c r="I224" s="10"/>
      <c r="J224" s="10"/>
      <c r="K224" s="10"/>
      <c r="L224" s="10"/>
      <c r="M224" s="287"/>
      <c r="N224" s="10"/>
      <c r="O224" s="10"/>
      <c r="P224" s="10"/>
      <c r="Q224" s="10"/>
      <c r="R224" s="10"/>
      <c r="S224" s="10"/>
      <c r="T224" s="18"/>
      <c r="U224" s="10"/>
      <c r="V224" s="10"/>
      <c r="W224" s="10"/>
      <c r="X224" s="18"/>
      <c r="Y224" s="10"/>
      <c r="Z224" s="10"/>
      <c r="AA224" s="10"/>
      <c r="AB224" s="60"/>
      <c r="AC224" s="60"/>
      <c r="AD224" s="12"/>
    </row>
    <row r="225" spans="1:30" s="17" customFormat="1" ht="15.5" hidden="1" outlineLevel="1" collapsed="1" x14ac:dyDescent="0.35">
      <c r="A225" s="93" t="s">
        <v>100</v>
      </c>
      <c r="B225" s="21"/>
      <c r="C225" s="84"/>
      <c r="D225" s="84"/>
      <c r="E225" s="84"/>
      <c r="F225" s="83"/>
      <c r="G225" s="32"/>
      <c r="H225" s="32"/>
      <c r="I225" s="32"/>
      <c r="J225" s="32"/>
      <c r="K225" s="32"/>
      <c r="L225" s="20">
        <f ca="1">LOOKUP(1000,INDIRECT("L1:"&amp;CELL("address",INDIRECT("R[-1]C",FALSE))))+1</f>
        <v>20</v>
      </c>
      <c r="M225" s="317" t="s">
        <v>610</v>
      </c>
      <c r="N225" s="317"/>
      <c r="O225" s="5"/>
      <c r="P225" s="33"/>
      <c r="Q225" s="33"/>
      <c r="R225" s="33"/>
      <c r="S225" s="33"/>
      <c r="T225" s="167">
        <f>IF($S$6="Exclude", SUMIFS(S226:S228, J226:J228, "&lt;&gt;Yes", G226:G228, "&lt;&gt;Yes"), SUMIFS(S226:S228, J226:J228, "&lt;&gt;Yes"))</f>
        <v>3.5</v>
      </c>
      <c r="U225" s="33"/>
      <c r="V225" s="33"/>
      <c r="W225" s="33"/>
      <c r="X225" s="34"/>
      <c r="Y225" s="35"/>
      <c r="Z225" s="35"/>
      <c r="AA225" s="35"/>
      <c r="AB225" s="240"/>
      <c r="AC225" s="36"/>
      <c r="AD225" s="26" t="str">
        <f>IF(M225="", "Error: Task name cannot be empty.", "")</f>
        <v/>
      </c>
    </row>
    <row r="226" spans="1:30" s="15" customFormat="1" ht="1.5" hidden="1" customHeight="1" outlineLevel="2" x14ac:dyDescent="0.35">
      <c r="A226" s="93" t="s">
        <v>101</v>
      </c>
      <c r="B226" s="21"/>
      <c r="C226" s="84"/>
      <c r="D226" s="84"/>
      <c r="E226" s="84"/>
      <c r="F226" s="83"/>
      <c r="G226" s="32"/>
      <c r="H226" s="32"/>
      <c r="I226" s="32"/>
      <c r="J226" s="32"/>
      <c r="K226" s="32"/>
      <c r="L226" s="175">
        <f ca="1">L225</f>
        <v>20</v>
      </c>
      <c r="M226" s="176" t="s">
        <v>105</v>
      </c>
      <c r="N226" s="173"/>
      <c r="O226" s="174"/>
      <c r="P226" s="33"/>
      <c r="Q226" s="33"/>
      <c r="R226" s="33"/>
      <c r="S226" s="33"/>
      <c r="T226" s="167"/>
      <c r="U226" s="33"/>
      <c r="V226" s="33"/>
      <c r="W226" s="33"/>
      <c r="X226" s="34"/>
      <c r="Y226" s="35"/>
      <c r="Z226" s="35"/>
      <c r="AA226" s="35"/>
      <c r="AB226" s="36"/>
      <c r="AC226" s="36"/>
      <c r="AD226" s="26"/>
    </row>
    <row r="227" spans="1:30" ht="58" hidden="1" outlineLevel="2" x14ac:dyDescent="0.35">
      <c r="A227" s="93" t="s">
        <v>0</v>
      </c>
      <c r="B227" s="21"/>
      <c r="C227" s="85"/>
      <c r="D227" s="85"/>
      <c r="E227" s="85"/>
      <c r="F227" s="86"/>
      <c r="G227" s="22" t="s">
        <v>23</v>
      </c>
      <c r="H227" s="22" t="s">
        <v>23</v>
      </c>
      <c r="I227" s="23" t="s">
        <v>23</v>
      </c>
      <c r="J227" s="22" t="s">
        <v>23</v>
      </c>
      <c r="K227" s="38"/>
      <c r="L227" s="22"/>
      <c r="M227" s="286" t="str">
        <f ca="1">IFERROR(OFFSET(M227,-1,,1,1)+0.1,OFFSET(M227,-1,-1,1,1)&amp;".1")</f>
        <v>20.1</v>
      </c>
      <c r="N227" s="23" t="s">
        <v>667</v>
      </c>
      <c r="O227" s="23"/>
      <c r="P227" s="23"/>
      <c r="Q227" s="144"/>
      <c r="R227" s="137"/>
      <c r="S227" s="169">
        <f>CEILING((IF(J227="Yes", 0, IF(H227="-",AA227,AA227+AA227*VLOOKUP(H227,BUFFERS_BY_TYPE,2,FALSE)))) +
   (IF(J227="Yes", 0, IF(H227="-",AA227,AA227+AA227*VLOOKUP(H227,BUFFERS_BY_TYPE,2,FALSE))))*VLOOKUP($S$5, SALES_CALL_SCALE_ARRAY, 2,FALSE),0.25)</f>
        <v>3.5</v>
      </c>
      <c r="T227" s="170"/>
      <c r="U227" s="24">
        <v>0</v>
      </c>
      <c r="V227" s="24">
        <v>1</v>
      </c>
      <c r="W227" s="24">
        <v>0</v>
      </c>
      <c r="X227" s="168">
        <v>3.5</v>
      </c>
      <c r="Y227" s="169">
        <f>CEILING((IF(P227=AS_DEV_EFFORT, DEV_EFFORT*Q227%,
                           IF(P227=AS_DURATION_EFFORT, (MANUAL_DURATION*5)*Q227%,
                                    (IF(Q227&lt;=1,X227,
                                          IF(SUM(U227:W227)=0,(Q227*X227),
                                               (((Q227*U227)*(X227+(X227*EXTRA_FOR_H)))+
                                               ((Q227*V227)*X227)+
                                               ((Q227*W227)*(X227-(X227*LESS_FOR_L)))
                                    )*IF(R227=0,1,R227))))))+Z227), 0.25)</f>
        <v>3.5</v>
      </c>
      <c r="Z227" s="25"/>
      <c r="AA227" s="169">
        <f>Y227+Y227*VLOOKUP(I227,EXTRAS_ARRAY,2,FALSE)</f>
        <v>3.5</v>
      </c>
      <c r="AB227" s="23"/>
      <c r="AC227" s="37"/>
      <c r="AD227" s="26" t="str">
        <f>IF(J227&lt;&gt;"Yes",
IF(S227&lt;=0,"Error: Effort value is not defined or is invalid.",
IF(AND(SUM(U227:W227)&gt;0,SUM(U227:W227)&lt;&gt;1),"Error: Complexity % distribution should sum to 100%.",
IF(AND(P227=AS_DEV_EFFORT,X227&lt;&gt;0),"Error: PDs should not be defined when defining as dev effort %.",
IF(AND(P227=AS_DURATION_EFFORT,X227&lt;&gt;0),"Error: PDs should not be defined when defining as duration effort %.","")))))</f>
        <v/>
      </c>
    </row>
    <row r="228" spans="1:30" s="11" customFormat="1" ht="7.5" hidden="1" customHeight="1" outlineLevel="2" x14ac:dyDescent="0.35">
      <c r="A228" s="93" t="s">
        <v>132</v>
      </c>
      <c r="B228" s="18"/>
      <c r="C228" s="78"/>
      <c r="D228" s="78"/>
      <c r="E228" s="78"/>
      <c r="F228" s="78"/>
      <c r="G228" s="10"/>
      <c r="H228" s="10"/>
      <c r="I228" s="10"/>
      <c r="J228" s="10"/>
      <c r="K228" s="10"/>
      <c r="L228" s="10"/>
      <c r="M228" s="287"/>
      <c r="N228" s="10"/>
      <c r="O228" s="10"/>
      <c r="P228" s="10"/>
      <c r="Q228" s="10"/>
      <c r="R228" s="10"/>
      <c r="S228" s="10"/>
      <c r="T228" s="18"/>
      <c r="U228" s="10"/>
      <c r="V228" s="10"/>
      <c r="W228" s="10"/>
      <c r="X228" s="18"/>
      <c r="Y228" s="10"/>
      <c r="Z228" s="10"/>
      <c r="AA228" s="10"/>
      <c r="AB228" s="60"/>
      <c r="AC228" s="60"/>
      <c r="AD228" s="12"/>
    </row>
    <row r="229" spans="1:30" s="17" customFormat="1" ht="15.5" hidden="1" outlineLevel="1" collapsed="1" x14ac:dyDescent="0.35">
      <c r="A229" s="93" t="s">
        <v>100</v>
      </c>
      <c r="B229" s="21"/>
      <c r="C229" s="84"/>
      <c r="D229" s="84"/>
      <c r="E229" s="84"/>
      <c r="F229" s="83"/>
      <c r="G229" s="32"/>
      <c r="H229" s="32"/>
      <c r="I229" s="32"/>
      <c r="J229" s="32"/>
      <c r="K229" s="32"/>
      <c r="L229" s="20">
        <f ca="1">LOOKUP(1000,INDIRECT("L1:"&amp;CELL("address",INDIRECT("R[-1]C",FALSE))))+1</f>
        <v>21</v>
      </c>
      <c r="M229" s="317" t="s">
        <v>611</v>
      </c>
      <c r="N229" s="317"/>
      <c r="O229" s="5"/>
      <c r="P229" s="33"/>
      <c r="Q229" s="33"/>
      <c r="R229" s="33"/>
      <c r="S229" s="33"/>
      <c r="T229" s="167">
        <f>IF($S$6="Exclude", SUMIFS(S230:S232, J230:J232, "&lt;&gt;Yes", G230:G232, "&lt;&gt;Yes"), SUMIFS(S230:S232, J230:J232, "&lt;&gt;Yes"))</f>
        <v>6</v>
      </c>
      <c r="U229" s="33"/>
      <c r="V229" s="33"/>
      <c r="W229" s="33"/>
      <c r="X229" s="34"/>
      <c r="Y229" s="35"/>
      <c r="Z229" s="35"/>
      <c r="AA229" s="35"/>
      <c r="AB229" s="240"/>
      <c r="AC229" s="36"/>
      <c r="AD229" s="26" t="str">
        <f>IF(M229="", "Error: Task name cannot be empty.", "")</f>
        <v/>
      </c>
    </row>
    <row r="230" spans="1:30" s="15" customFormat="1" ht="1.5" hidden="1" customHeight="1" outlineLevel="2" x14ac:dyDescent="0.35">
      <c r="A230" s="93" t="s">
        <v>101</v>
      </c>
      <c r="B230" s="21"/>
      <c r="C230" s="84"/>
      <c r="D230" s="84"/>
      <c r="E230" s="84"/>
      <c r="F230" s="83"/>
      <c r="G230" s="32"/>
      <c r="H230" s="32"/>
      <c r="I230" s="32"/>
      <c r="J230" s="32"/>
      <c r="K230" s="32"/>
      <c r="L230" s="175">
        <f ca="1">L229</f>
        <v>21</v>
      </c>
      <c r="M230" s="176" t="s">
        <v>105</v>
      </c>
      <c r="N230" s="173"/>
      <c r="O230" s="174"/>
      <c r="P230" s="33"/>
      <c r="Q230" s="33"/>
      <c r="R230" s="33"/>
      <c r="S230" s="33"/>
      <c r="T230" s="167"/>
      <c r="U230" s="33"/>
      <c r="V230" s="33"/>
      <c r="W230" s="33"/>
      <c r="X230" s="34"/>
      <c r="Y230" s="35"/>
      <c r="Z230" s="35"/>
      <c r="AA230" s="35"/>
      <c r="AB230" s="36"/>
      <c r="AC230" s="36"/>
      <c r="AD230" s="26"/>
    </row>
    <row r="231" spans="1:30" ht="72.5" hidden="1" outlineLevel="2" x14ac:dyDescent="0.35">
      <c r="A231" s="93" t="s">
        <v>0</v>
      </c>
      <c r="B231" s="21"/>
      <c r="C231" s="85"/>
      <c r="D231" s="85"/>
      <c r="E231" s="85"/>
      <c r="F231" s="86"/>
      <c r="G231" s="22" t="s">
        <v>23</v>
      </c>
      <c r="H231" s="22" t="s">
        <v>23</v>
      </c>
      <c r="I231" s="23" t="s">
        <v>23</v>
      </c>
      <c r="J231" s="22" t="s">
        <v>23</v>
      </c>
      <c r="K231" s="38"/>
      <c r="L231" s="22"/>
      <c r="M231" s="286" t="str">
        <f ca="1">IFERROR(OFFSET(M231,-1,,1,1)+0.1,OFFSET(M231,-1,-1,1,1)&amp;".1")</f>
        <v>21.1</v>
      </c>
      <c r="N231" s="23" t="s">
        <v>668</v>
      </c>
      <c r="O231" s="23"/>
      <c r="P231" s="23"/>
      <c r="Q231" s="144"/>
      <c r="R231" s="137"/>
      <c r="S231" s="169">
        <f>CEILING((IF(J231="Yes", 0, IF(H231="-",AA231,AA231+AA231*VLOOKUP(H231,BUFFERS_BY_TYPE,2,FALSE)))) +
   (IF(J231="Yes", 0, IF(H231="-",AA231,AA231+AA231*VLOOKUP(H231,BUFFERS_BY_TYPE,2,FALSE))))*VLOOKUP($S$5, SALES_CALL_SCALE_ARRAY, 2,FALSE),0.25)</f>
        <v>6</v>
      </c>
      <c r="T231" s="170"/>
      <c r="U231" s="24">
        <v>0</v>
      </c>
      <c r="V231" s="24">
        <v>1</v>
      </c>
      <c r="W231" s="24">
        <v>0</v>
      </c>
      <c r="X231" s="168">
        <v>6</v>
      </c>
      <c r="Y231" s="169">
        <f>CEILING((IF(P231=AS_DEV_EFFORT, DEV_EFFORT*Q231%,
                           IF(P231=AS_DURATION_EFFORT, (MANUAL_DURATION*5)*Q231%,
                                    (IF(Q231&lt;=1,X231,
                                          IF(SUM(U231:W231)=0,(Q231*X231),
                                               (((Q231*U231)*(X231+(X231*EXTRA_FOR_H)))+
                                               ((Q231*V231)*X231)+
                                               ((Q231*W231)*(X231-(X231*LESS_FOR_L)))
                                    )*IF(R231=0,1,R231))))))+Z231), 0.25)</f>
        <v>6</v>
      </c>
      <c r="Z231" s="25"/>
      <c r="AA231" s="169">
        <f>Y231+Y231*VLOOKUP(I231,EXTRAS_ARRAY,2,FALSE)</f>
        <v>6</v>
      </c>
      <c r="AB231" s="23" t="s">
        <v>615</v>
      </c>
      <c r="AC231" s="37"/>
      <c r="AD231" s="26" t="str">
        <f>IF(J231&lt;&gt;"Yes",
IF(S231&lt;=0,"Error: Effort value is not defined or is invalid.",
IF(AND(SUM(U231:W231)&gt;0,SUM(U231:W231)&lt;&gt;1),"Error: Complexity % distribution should sum to 100%.",
IF(AND(P231=AS_DEV_EFFORT,X231&lt;&gt;0),"Error: PDs should not be defined when defining as dev effort %.",
IF(AND(P231=AS_DURATION_EFFORT,X231&lt;&gt;0),"Error: PDs should not be defined when defining as duration effort %.","")))))</f>
        <v/>
      </c>
    </row>
    <row r="232" spans="1:30" s="11" customFormat="1" ht="7.5" hidden="1" customHeight="1" outlineLevel="2" x14ac:dyDescent="0.35">
      <c r="A232" s="93" t="s">
        <v>132</v>
      </c>
      <c r="B232" s="18"/>
      <c r="C232" s="78"/>
      <c r="D232" s="78"/>
      <c r="E232" s="78"/>
      <c r="F232" s="78"/>
      <c r="G232" s="10"/>
      <c r="H232" s="10"/>
      <c r="I232" s="10"/>
      <c r="J232" s="10"/>
      <c r="K232" s="10"/>
      <c r="L232" s="10"/>
      <c r="M232" s="287"/>
      <c r="N232" s="10"/>
      <c r="O232" s="10"/>
      <c r="P232" s="10"/>
      <c r="Q232" s="10"/>
      <c r="R232" s="10"/>
      <c r="S232" s="10"/>
      <c r="T232" s="18"/>
      <c r="U232" s="10"/>
      <c r="V232" s="10"/>
      <c r="W232" s="10"/>
      <c r="X232" s="18"/>
      <c r="Y232" s="10"/>
      <c r="Z232" s="10"/>
      <c r="AA232" s="10"/>
      <c r="AB232" s="60"/>
      <c r="AC232" s="60"/>
      <c r="AD232" s="12"/>
    </row>
    <row r="233" spans="1:30" s="17" customFormat="1" ht="15.5" hidden="1" outlineLevel="1" collapsed="1" x14ac:dyDescent="0.35">
      <c r="A233" s="93" t="s">
        <v>100</v>
      </c>
      <c r="B233" s="21"/>
      <c r="C233" s="84"/>
      <c r="D233" s="84"/>
      <c r="E233" s="84"/>
      <c r="F233" s="83"/>
      <c r="G233" s="32"/>
      <c r="H233" s="32"/>
      <c r="I233" s="32"/>
      <c r="J233" s="32"/>
      <c r="K233" s="32"/>
      <c r="L233" s="20">
        <f ca="1">LOOKUP(1000,INDIRECT("L1:"&amp;CELL("address",INDIRECT("R[-1]C",FALSE))))+1</f>
        <v>22</v>
      </c>
      <c r="M233" s="317" t="s">
        <v>612</v>
      </c>
      <c r="N233" s="317"/>
      <c r="O233" s="5"/>
      <c r="P233" s="33"/>
      <c r="Q233" s="33"/>
      <c r="R233" s="33"/>
      <c r="S233" s="33"/>
      <c r="T233" s="167">
        <f>IF($S$6="Exclude", SUMIFS(S234:S236, J234:J236, "&lt;&gt;Yes", G234:G236, "&lt;&gt;Yes"), SUMIFS(S234:S236, J234:J236, "&lt;&gt;Yes"))</f>
        <v>2.25</v>
      </c>
      <c r="U233" s="33"/>
      <c r="V233" s="33"/>
      <c r="W233" s="33"/>
      <c r="X233" s="34"/>
      <c r="Y233" s="35"/>
      <c r="Z233" s="35"/>
      <c r="AA233" s="35"/>
      <c r="AB233" s="240"/>
      <c r="AC233" s="36"/>
      <c r="AD233" s="26" t="str">
        <f>IF(M233="", "Error: Task name cannot be empty.", "")</f>
        <v/>
      </c>
    </row>
    <row r="234" spans="1:30" s="15" customFormat="1" ht="1.5" hidden="1" customHeight="1" outlineLevel="2" x14ac:dyDescent="0.35">
      <c r="A234" s="93" t="s">
        <v>101</v>
      </c>
      <c r="B234" s="21"/>
      <c r="C234" s="84"/>
      <c r="D234" s="84"/>
      <c r="E234" s="84"/>
      <c r="F234" s="83"/>
      <c r="G234" s="32"/>
      <c r="H234" s="32"/>
      <c r="I234" s="32"/>
      <c r="J234" s="32"/>
      <c r="K234" s="32"/>
      <c r="L234" s="175">
        <f ca="1">L233</f>
        <v>22</v>
      </c>
      <c r="M234" s="176" t="s">
        <v>105</v>
      </c>
      <c r="N234" s="173"/>
      <c r="O234" s="174"/>
      <c r="P234" s="33"/>
      <c r="Q234" s="33"/>
      <c r="R234" s="33"/>
      <c r="S234" s="33"/>
      <c r="T234" s="167"/>
      <c r="U234" s="33"/>
      <c r="V234" s="33"/>
      <c r="W234" s="33"/>
      <c r="X234" s="34"/>
      <c r="Y234" s="35"/>
      <c r="Z234" s="35"/>
      <c r="AA234" s="35"/>
      <c r="AB234" s="36"/>
      <c r="AC234" s="36"/>
      <c r="AD234" s="26"/>
    </row>
    <row r="235" spans="1:30" ht="43.5" hidden="1" outlineLevel="2" x14ac:dyDescent="0.35">
      <c r="A235" s="93" t="s">
        <v>0</v>
      </c>
      <c r="B235" s="21"/>
      <c r="C235" s="85"/>
      <c r="D235" s="85"/>
      <c r="E235" s="85"/>
      <c r="F235" s="86"/>
      <c r="G235" s="22" t="s">
        <v>23</v>
      </c>
      <c r="H235" s="22" t="s">
        <v>23</v>
      </c>
      <c r="I235" s="23" t="s">
        <v>23</v>
      </c>
      <c r="J235" s="22" t="s">
        <v>23</v>
      </c>
      <c r="K235" s="38"/>
      <c r="L235" s="22"/>
      <c r="M235" s="286" t="str">
        <f ca="1">IFERROR(OFFSET(M235,-1,,1,1)+0.1,OFFSET(M235,-1,-1,1,1)&amp;".1")</f>
        <v>22.1</v>
      </c>
      <c r="N235" s="23" t="s">
        <v>613</v>
      </c>
      <c r="O235" s="23"/>
      <c r="P235" s="23"/>
      <c r="Q235" s="144"/>
      <c r="R235" s="137"/>
      <c r="S235" s="169">
        <f>CEILING((IF(J235="Yes", 0, IF(H235="-",AA235,AA235+AA235*VLOOKUP(H235,BUFFERS_BY_TYPE,2,FALSE)))) +
   (IF(J235="Yes", 0, IF(H235="-",AA235,AA235+AA235*VLOOKUP(H235,BUFFERS_BY_TYPE,2,FALSE))))*VLOOKUP($S$5, SALES_CALL_SCALE_ARRAY, 2,FALSE),0.25)</f>
        <v>2.25</v>
      </c>
      <c r="T235" s="170"/>
      <c r="U235" s="24">
        <v>0</v>
      </c>
      <c r="V235" s="24">
        <v>1</v>
      </c>
      <c r="W235" s="24">
        <v>0</v>
      </c>
      <c r="X235" s="168">
        <v>2.2000000000000002</v>
      </c>
      <c r="Y235" s="169">
        <f>CEILING((IF(P235=AS_DEV_EFFORT, DEV_EFFORT*Q235%,
                           IF(P235=AS_DURATION_EFFORT, (MANUAL_DURATION*5)*Q235%,
                                    (IF(Q235&lt;=1,X235,
                                          IF(SUM(U235:W235)=0,(Q235*X235),
                                               (((Q235*U235)*(X235+(X235*EXTRA_FOR_H)))+
                                               ((Q235*V235)*X235)+
                                               ((Q235*W235)*(X235-(X235*LESS_FOR_L)))
                                    )*IF(R235=0,1,R235))))))+Z235), 0.25)</f>
        <v>2.25</v>
      </c>
      <c r="Z235" s="25"/>
      <c r="AA235" s="169">
        <f>Y235+Y235*VLOOKUP(I235,EXTRAS_ARRAY,2,FALSE)</f>
        <v>2.25</v>
      </c>
      <c r="AB235" s="23"/>
      <c r="AC235" s="37"/>
      <c r="AD235" s="26" t="str">
        <f>IF(J235&lt;&gt;"Yes",
IF(S235&lt;=0,"Error: Effort value is not defined or is invalid.",
IF(AND(SUM(U235:W235)&gt;0,SUM(U235:W235)&lt;&gt;1),"Error: Complexity % distribution should sum to 100%.",
IF(AND(P235=AS_DEV_EFFORT,X235&lt;&gt;0),"Error: PDs should not be defined when defining as dev effort %.",
IF(AND(P235=AS_DURATION_EFFORT,X235&lt;&gt;0),"Error: PDs should not be defined when defining as duration effort %.","")))))</f>
        <v/>
      </c>
    </row>
    <row r="236" spans="1:30" s="11" customFormat="1" ht="7.5" hidden="1" customHeight="1" outlineLevel="2" x14ac:dyDescent="0.35">
      <c r="A236" s="93" t="s">
        <v>132</v>
      </c>
      <c r="B236" s="18"/>
      <c r="C236" s="78"/>
      <c r="D236" s="78"/>
      <c r="E236" s="78"/>
      <c r="F236" s="78"/>
      <c r="G236" s="10"/>
      <c r="H236" s="10"/>
      <c r="I236" s="10"/>
      <c r="J236" s="10"/>
      <c r="K236" s="10"/>
      <c r="L236" s="10"/>
      <c r="M236" s="287"/>
      <c r="N236" s="10"/>
      <c r="O236" s="10"/>
      <c r="P236" s="10"/>
      <c r="Q236" s="10"/>
      <c r="R236" s="10"/>
      <c r="S236" s="10"/>
      <c r="T236" s="18"/>
      <c r="U236" s="10"/>
      <c r="V236" s="10"/>
      <c r="W236" s="10"/>
      <c r="X236" s="18"/>
      <c r="Y236" s="10"/>
      <c r="Z236" s="10"/>
      <c r="AA236" s="10"/>
      <c r="AB236" s="60"/>
      <c r="AC236" s="60"/>
      <c r="AD236" s="12"/>
    </row>
    <row r="237" spans="1:30" s="17" customFormat="1" ht="15.5" hidden="1" outlineLevel="1" x14ac:dyDescent="0.35">
      <c r="A237" s="93" t="s">
        <v>107</v>
      </c>
      <c r="B237" s="21"/>
      <c r="C237" s="84"/>
      <c r="D237" s="84"/>
      <c r="E237" s="84"/>
      <c r="F237" s="83"/>
      <c r="G237" s="185"/>
      <c r="H237" s="185"/>
      <c r="I237" s="185"/>
      <c r="J237" s="185"/>
      <c r="K237" s="185"/>
      <c r="L237" s="92" t="s">
        <v>109</v>
      </c>
      <c r="M237" s="318" t="s">
        <v>671</v>
      </c>
      <c r="N237" s="318"/>
      <c r="O237" s="87"/>
      <c r="P237" s="88"/>
      <c r="Q237" s="88"/>
      <c r="R237" s="88"/>
      <c r="S237" s="319">
        <f>SUMGROUP(ROW(), "T")</f>
        <v>40</v>
      </c>
      <c r="T237" s="319"/>
      <c r="U237" s="320"/>
      <c r="V237" s="320"/>
      <c r="W237" s="320"/>
      <c r="X237" s="89"/>
      <c r="Y237" s="90"/>
      <c r="Z237" s="90"/>
      <c r="AA237" s="90"/>
      <c r="AB237" s="243"/>
      <c r="AC237" s="91"/>
      <c r="AD237" s="26" t="str">
        <f>IF(M237="", "Error: Module name cannot be empty.", "")</f>
        <v/>
      </c>
    </row>
    <row r="238" spans="1:30" s="17" customFormat="1" ht="15.5" hidden="1" outlineLevel="1" collapsed="1" x14ac:dyDescent="0.35">
      <c r="A238" s="93" t="s">
        <v>100</v>
      </c>
      <c r="B238" s="21"/>
      <c r="C238" s="84"/>
      <c r="D238" s="84"/>
      <c r="E238" s="84"/>
      <c r="F238" s="83"/>
      <c r="G238" s="32"/>
      <c r="H238" s="32"/>
      <c r="I238" s="32"/>
      <c r="J238" s="32"/>
      <c r="K238" s="32"/>
      <c r="L238" s="20">
        <f ca="1">LOOKUP(1000,INDIRECT("L1:"&amp;CELL("address",INDIRECT("R[-1]C",FALSE))))+1</f>
        <v>23</v>
      </c>
      <c r="M238" s="317" t="s">
        <v>40</v>
      </c>
      <c r="N238" s="317"/>
      <c r="O238" s="5"/>
      <c r="P238" s="33"/>
      <c r="Q238" s="33"/>
      <c r="R238" s="33"/>
      <c r="S238" s="33"/>
      <c r="T238" s="167">
        <f>IF($S$6="Exclude", SUMIFS(S239:S241, J239:J241, "&lt;&gt;Yes", G239:G241, "&lt;&gt;Yes"), SUMIFS(S239:S241, J239:J241, "&lt;&gt;Yes"))</f>
        <v>40</v>
      </c>
      <c r="U238" s="33"/>
      <c r="V238" s="33"/>
      <c r="W238" s="33"/>
      <c r="X238" s="34"/>
      <c r="Y238" s="35"/>
      <c r="Z238" s="35"/>
      <c r="AA238" s="35"/>
      <c r="AB238" s="240"/>
      <c r="AC238" s="36"/>
      <c r="AD238" s="26" t="str">
        <f>IF(M238="", "Error: Task name cannot be empty.", "")</f>
        <v/>
      </c>
    </row>
    <row r="239" spans="1:30" s="15" customFormat="1" ht="1.5" hidden="1" customHeight="1" outlineLevel="2" x14ac:dyDescent="0.35">
      <c r="A239" s="93" t="s">
        <v>101</v>
      </c>
      <c r="B239" s="21"/>
      <c r="C239" s="84"/>
      <c r="D239" s="84"/>
      <c r="E239" s="84"/>
      <c r="F239" s="83"/>
      <c r="G239" s="32"/>
      <c r="H239" s="32"/>
      <c r="I239" s="32"/>
      <c r="J239" s="32"/>
      <c r="K239" s="32"/>
      <c r="L239" s="175">
        <f ca="1">L238</f>
        <v>23</v>
      </c>
      <c r="M239" s="176" t="s">
        <v>105</v>
      </c>
      <c r="N239" s="173"/>
      <c r="O239" s="174"/>
      <c r="P239" s="33"/>
      <c r="Q239" s="33"/>
      <c r="R239" s="33"/>
      <c r="S239" s="33"/>
      <c r="T239" s="167"/>
      <c r="U239" s="33"/>
      <c r="V239" s="33"/>
      <c r="W239" s="33"/>
      <c r="X239" s="34"/>
      <c r="Y239" s="35"/>
      <c r="Z239" s="35"/>
      <c r="AA239" s="35"/>
      <c r="AB239" s="36"/>
      <c r="AC239" s="36"/>
      <c r="AD239" s="26"/>
    </row>
    <row r="240" spans="1:30" ht="87" hidden="1" outlineLevel="2" x14ac:dyDescent="0.35">
      <c r="A240" s="93" t="s">
        <v>0</v>
      </c>
      <c r="B240" s="21"/>
      <c r="C240" s="85"/>
      <c r="D240" s="85"/>
      <c r="E240" s="85"/>
      <c r="F240" s="86"/>
      <c r="G240" s="22" t="s">
        <v>23</v>
      </c>
      <c r="H240" s="22" t="s">
        <v>23</v>
      </c>
      <c r="I240" s="23" t="s">
        <v>23</v>
      </c>
      <c r="J240" s="22" t="s">
        <v>23</v>
      </c>
      <c r="K240" s="38"/>
      <c r="L240" s="22"/>
      <c r="M240" s="286" t="str">
        <f ca="1">IFERROR(OFFSET(M240,-1,,1,1)+0.1,OFFSET(M240,-1,-1,1,1)&amp;".1")</f>
        <v>23.1</v>
      </c>
      <c r="N240" s="23" t="s">
        <v>669</v>
      </c>
      <c r="O240" s="23"/>
      <c r="P240" s="23"/>
      <c r="Q240" s="144"/>
      <c r="R240" s="137"/>
      <c r="S240" s="169">
        <f>CEILING((IF(J240="Yes", 0, IF(H240="-",AA240,AA240+AA240*VLOOKUP(H240,BUFFERS_BY_TYPE,2,FALSE)))) +
   (IF(J240="Yes", 0, IF(H240="-",AA240,AA240+AA240*VLOOKUP(H240,BUFFERS_BY_TYPE,2,FALSE))))*VLOOKUP($S$5, SALES_CALL_SCALE_ARRAY, 2,FALSE),0.25)</f>
        <v>40</v>
      </c>
      <c r="T240" s="170"/>
      <c r="U240" s="24">
        <v>0</v>
      </c>
      <c r="V240" s="24">
        <v>1</v>
      </c>
      <c r="W240" s="24">
        <v>0</v>
      </c>
      <c r="X240" s="168">
        <v>40</v>
      </c>
      <c r="Y240" s="169">
        <f>CEILING((IF(P240=AS_DEV_EFFORT, DEV_EFFORT*Q240%,
                           IF(P240=AS_DURATION_EFFORT, (MANUAL_DURATION*5)*Q240%,
                                    (IF(Q240&lt;=1,X240,
                                          IF(SUM(U240:W240)=0,(Q240*X240),
                                               (((Q240*U240)*(X240+(X240*EXTRA_FOR_H)))+
                                               ((Q240*V240)*X240)+
                                               ((Q240*W240)*(X240-(X240*LESS_FOR_L)))
                                    )*IF(R240=0,1,R240))))))+Z240), 0.25)</f>
        <v>40</v>
      </c>
      <c r="Z240" s="25"/>
      <c r="AA240" s="169">
        <f>Y240+Y240*VLOOKUP(I240,EXTRAS_ARRAY,2,FALSE)</f>
        <v>40</v>
      </c>
      <c r="AB240" s="23"/>
      <c r="AC240" s="37"/>
      <c r="AD240" s="26" t="str">
        <f>IF(J240&lt;&gt;"Yes",
IF(S240&lt;=0,"Error: Effort value is not defined or is invalid.",
IF(AND(SUM(U240:W240)&gt;0,SUM(U240:W240)&lt;&gt;1),"Error: Complexity % distribution should sum to 100%.",
IF(AND(P240=AS_DEV_EFFORT,X240&lt;&gt;0),"Error: PDs should not be defined when defining as dev effort %.",
IF(AND(P240=AS_DURATION_EFFORT,X240&lt;&gt;0),"Error: PDs should not be defined when defining as duration effort %.","")))))</f>
        <v/>
      </c>
    </row>
    <row r="241" spans="1:30" s="11" customFormat="1" ht="7.5" hidden="1" customHeight="1" outlineLevel="2" x14ac:dyDescent="0.35">
      <c r="A241" s="93" t="s">
        <v>132</v>
      </c>
      <c r="B241" s="18"/>
      <c r="C241" s="78"/>
      <c r="D241" s="78"/>
      <c r="E241" s="78"/>
      <c r="F241" s="78"/>
      <c r="G241" s="10"/>
      <c r="H241" s="10"/>
      <c r="I241" s="10"/>
      <c r="J241" s="10"/>
      <c r="K241" s="10"/>
      <c r="L241" s="10"/>
      <c r="M241" s="287"/>
      <c r="N241" s="10"/>
      <c r="O241" s="10"/>
      <c r="P241" s="10"/>
      <c r="Q241" s="10"/>
      <c r="R241" s="10"/>
      <c r="S241" s="10"/>
      <c r="T241" s="18"/>
      <c r="U241" s="10"/>
      <c r="V241" s="10"/>
      <c r="W241" s="10"/>
      <c r="X241" s="18"/>
      <c r="Y241" s="10"/>
      <c r="Z241" s="10"/>
      <c r="AA241" s="10"/>
      <c r="AB241" s="60"/>
      <c r="AC241" s="60"/>
      <c r="AD241" s="12"/>
    </row>
    <row r="242" spans="1:30" s="17" customFormat="1" ht="15.5" hidden="1" outlineLevel="1" x14ac:dyDescent="0.35">
      <c r="A242" s="93" t="s">
        <v>107</v>
      </c>
      <c r="B242" s="21"/>
      <c r="C242" s="84"/>
      <c r="D242" s="84"/>
      <c r="E242" s="84"/>
      <c r="F242" s="83"/>
      <c r="G242" s="185"/>
      <c r="H242" s="185"/>
      <c r="I242" s="185"/>
      <c r="J242" s="185"/>
      <c r="K242" s="185"/>
      <c r="L242" s="92" t="s">
        <v>109</v>
      </c>
      <c r="M242" s="318" t="s">
        <v>492</v>
      </c>
      <c r="N242" s="318"/>
      <c r="O242" s="87"/>
      <c r="P242" s="88"/>
      <c r="Q242" s="88"/>
      <c r="R242" s="88"/>
      <c r="S242" s="319">
        <f>SUMGROUP(ROW(), "T")</f>
        <v>19</v>
      </c>
      <c r="T242" s="319"/>
      <c r="U242" s="320"/>
      <c r="V242" s="320"/>
      <c r="W242" s="320"/>
      <c r="X242" s="89"/>
      <c r="Y242" s="90"/>
      <c r="Z242" s="90"/>
      <c r="AA242" s="90"/>
      <c r="AB242" s="243"/>
      <c r="AC242" s="91"/>
      <c r="AD242" s="26" t="str">
        <f>IF(M242="", "Error: Module name cannot be empty.", "")</f>
        <v/>
      </c>
    </row>
    <row r="243" spans="1:30" s="17" customFormat="1" ht="15.5" hidden="1" outlineLevel="1" collapsed="1" x14ac:dyDescent="0.35">
      <c r="A243" s="93" t="s">
        <v>100</v>
      </c>
      <c r="B243" s="21"/>
      <c r="C243" s="84"/>
      <c r="D243" s="84"/>
      <c r="E243" s="84"/>
      <c r="F243" s="83"/>
      <c r="G243" s="32"/>
      <c r="H243" s="32"/>
      <c r="I243" s="32"/>
      <c r="J243" s="32"/>
      <c r="K243" s="32"/>
      <c r="L243" s="20">
        <f ca="1">LOOKUP(1000,INDIRECT("L1:"&amp;CELL("address",INDIRECT("R[-1]C",FALSE))))+1</f>
        <v>24</v>
      </c>
      <c r="M243" s="317" t="s">
        <v>492</v>
      </c>
      <c r="N243" s="317"/>
      <c r="O243" s="5"/>
      <c r="P243" s="33"/>
      <c r="Q243" s="33"/>
      <c r="R243" s="33"/>
      <c r="S243" s="33"/>
      <c r="T243" s="167">
        <f>IF($S$6="Exclude", SUMIFS(S244:S250, J244:J250, "&lt;&gt;Yes", G244:G250, "&lt;&gt;Yes"), SUMIFS(S244:S250, J244:J250, "&lt;&gt;Yes"))</f>
        <v>19</v>
      </c>
      <c r="U243" s="33"/>
      <c r="V243" s="33"/>
      <c r="W243" s="33"/>
      <c r="X243" s="34"/>
      <c r="Y243" s="35"/>
      <c r="Z243" s="35"/>
      <c r="AA243" s="35"/>
      <c r="AB243" s="240"/>
      <c r="AC243" s="36"/>
      <c r="AD243" s="26" t="str">
        <f>IF(M243="", "Error: Task name cannot be empty.", "")</f>
        <v/>
      </c>
    </row>
    <row r="244" spans="1:30" s="15" customFormat="1" ht="1.5" hidden="1" customHeight="1" outlineLevel="2" x14ac:dyDescent="0.35">
      <c r="A244" s="93" t="s">
        <v>101</v>
      </c>
      <c r="B244" s="21"/>
      <c r="C244" s="84"/>
      <c r="D244" s="84"/>
      <c r="E244" s="84"/>
      <c r="F244" s="83"/>
      <c r="G244" s="32"/>
      <c r="H244" s="32"/>
      <c r="I244" s="32"/>
      <c r="J244" s="32"/>
      <c r="K244" s="32"/>
      <c r="L244" s="175">
        <f ca="1">L243</f>
        <v>24</v>
      </c>
      <c r="M244" s="176" t="s">
        <v>105</v>
      </c>
      <c r="N244" s="173"/>
      <c r="O244" s="174"/>
      <c r="P244" s="33"/>
      <c r="Q244" s="33"/>
      <c r="R244" s="33"/>
      <c r="S244" s="33"/>
      <c r="T244" s="167"/>
      <c r="U244" s="33"/>
      <c r="V244" s="33"/>
      <c r="W244" s="33"/>
      <c r="X244" s="34"/>
      <c r="Y244" s="35"/>
      <c r="Z244" s="35"/>
      <c r="AA244" s="35"/>
      <c r="AB244" s="36"/>
      <c r="AC244" s="36"/>
      <c r="AD244" s="26"/>
    </row>
    <row r="245" spans="1:30" ht="15.5" hidden="1" outlineLevel="2" x14ac:dyDescent="0.35">
      <c r="A245" s="93" t="s">
        <v>0</v>
      </c>
      <c r="B245" s="21"/>
      <c r="C245" s="85"/>
      <c r="D245" s="85"/>
      <c r="E245" s="85"/>
      <c r="F245" s="86"/>
      <c r="G245" s="22" t="s">
        <v>23</v>
      </c>
      <c r="H245" s="22" t="s">
        <v>23</v>
      </c>
      <c r="I245" s="23" t="s">
        <v>23</v>
      </c>
      <c r="J245" s="22" t="s">
        <v>23</v>
      </c>
      <c r="K245" s="38"/>
      <c r="L245" s="22"/>
      <c r="M245" s="286" t="str">
        <f ca="1">IFERROR(OFFSET(M245,-1,,1,1)+0.1,OFFSET(M245,-1,-1,1,1)&amp;".1")</f>
        <v>24.1</v>
      </c>
      <c r="N245" s="23" t="s">
        <v>566</v>
      </c>
      <c r="O245" s="23"/>
      <c r="P245" s="23" t="s">
        <v>570</v>
      </c>
      <c r="Q245" s="144">
        <v>1</v>
      </c>
      <c r="R245" s="137">
        <v>2</v>
      </c>
      <c r="S245" s="169">
        <f>CEILING((IF(J245="Yes", 0, IF(H245="-",AA245,AA245+AA245*VLOOKUP(H245,BUFFERS_BY_TYPE,2,FALSE)))) +
   (IF(J245="Yes", 0, IF(H245="-",AA245,AA245+AA245*VLOOKUP(H245,BUFFERS_BY_TYPE,2,FALSE))))*VLOOKUP($S$5, SALES_CALL_SCALE_ARRAY, 2,FALSE),0.25)</f>
        <v>3</v>
      </c>
      <c r="T245" s="170"/>
      <c r="U245" s="24">
        <v>0</v>
      </c>
      <c r="V245" s="24">
        <v>1</v>
      </c>
      <c r="W245" s="24">
        <v>0</v>
      </c>
      <c r="X245" s="168">
        <v>3</v>
      </c>
      <c r="Y245" s="169">
        <f>CEILING((IF(P245=AS_DEV_EFFORT, DEV_EFFORT*Q245%,
                           IF(P245=AS_DURATION_EFFORT, (MANUAL_DURATION*5)*Q245%,
                                    (IF(Q245&lt;=1,X245,
                                          IF(SUM(U245:W245)=0,(Q245*X245),
                                               (((Q245*U245)*(X245+(X245*EXTRA_FOR_H)))+
                                               ((Q245*V245)*X245)+
                                               ((Q245*W245)*(X245-(X245*LESS_FOR_L)))
                                    )*IF(R245=0,1,R245))))))+Z245), 0.25)</f>
        <v>3</v>
      </c>
      <c r="Z245" s="25"/>
      <c r="AA245" s="169">
        <f>Y245+Y245*VLOOKUP(I245,EXTRAS_ARRAY,2,FALSE)</f>
        <v>3</v>
      </c>
      <c r="AB245" s="23" t="s">
        <v>673</v>
      </c>
      <c r="AC245" s="37"/>
      <c r="AD245" s="26" t="str">
        <f>IF(J245&lt;&gt;"Yes",
IF(S245&lt;=0,"Error: Effort value is not defined or is invalid.",
IF(AND(SUM(U245:W245)&gt;0,SUM(U245:W245)&lt;&gt;1),"Error: Complexity % distribution should sum to 100%.",
IF(AND(P245=AS_DEV_EFFORT,X245&lt;&gt;0),"Error: PDs should not be defined when defining as dev effort %.",
IF(AND(P245=AS_DURATION_EFFORT,X245&lt;&gt;0),"Error: PDs should not be defined when defining as duration effort %.","")))))</f>
        <v/>
      </c>
    </row>
    <row r="246" spans="1:30" ht="43.5" hidden="1" outlineLevel="2" x14ac:dyDescent="0.35">
      <c r="A246" s="93" t="s">
        <v>0</v>
      </c>
      <c r="B246" s="21"/>
      <c r="C246" s="85"/>
      <c r="D246" s="85"/>
      <c r="E246" s="85"/>
      <c r="F246" s="86"/>
      <c r="G246" s="22" t="s">
        <v>23</v>
      </c>
      <c r="H246" s="22" t="s">
        <v>23</v>
      </c>
      <c r="I246" s="23" t="s">
        <v>23</v>
      </c>
      <c r="J246" s="22" t="s">
        <v>23</v>
      </c>
      <c r="K246" s="38" t="s">
        <v>534</v>
      </c>
      <c r="L246" s="22"/>
      <c r="M246" s="286">
        <f ca="1">IFERROR(OFFSET(M246,-1,,1,1)+0.1,OFFSET(M246,-1,-1,1,1)&amp;".1")</f>
        <v>24.200000000000003</v>
      </c>
      <c r="N246" s="23" t="s">
        <v>567</v>
      </c>
      <c r="O246" s="23"/>
      <c r="P246" s="23" t="s">
        <v>571</v>
      </c>
      <c r="Q246" s="144"/>
      <c r="R246" s="137">
        <v>15</v>
      </c>
      <c r="S246" s="169">
        <f>CEILING((IF(J246="Yes", 0, IF(H246="-",AA246,AA246+AA246*VLOOKUP(H246,BUFFERS_BY_TYPE,2,FALSE)))) +
   (IF(J246="Yes", 0, IF(H246="-",AA246,AA246+AA246*VLOOKUP(H246,BUFFERS_BY_TYPE,2,FALSE))))*VLOOKUP($S$5, SALES_CALL_SCALE_ARRAY, 2,FALSE),0.25)</f>
        <v>3</v>
      </c>
      <c r="T246" s="170"/>
      <c r="U246" s="24">
        <v>0</v>
      </c>
      <c r="V246" s="24">
        <v>1</v>
      </c>
      <c r="W246" s="24">
        <v>0</v>
      </c>
      <c r="X246" s="168">
        <v>3</v>
      </c>
      <c r="Y246" s="169">
        <f>CEILING((IF(P246=AS_DEV_EFFORT, DEV_EFFORT*Q246%,
                           IF(P246=AS_DURATION_EFFORT, (MANUAL_DURATION*5)*Q246%,
                                    (IF(Q246&lt;=1,X246,
                                          IF(SUM(U246:W246)=0,(Q246*X246),
                                               (((Q246*U246)*(X246+(X246*EXTRA_FOR_H)))+
                                               ((Q246*V246)*X246)+
                                               ((Q246*W246)*(X246-(X246*LESS_FOR_L)))
                                    )*IF(R246=0,1,R246))))))+Z246), 0.25)</f>
        <v>3</v>
      </c>
      <c r="Z246" s="25"/>
      <c r="AA246" s="169">
        <f>Y246+Y246*VLOOKUP(I246,EXTRAS_ARRAY,2,FALSE)</f>
        <v>3</v>
      </c>
      <c r="AB246" s="23" t="s">
        <v>575</v>
      </c>
      <c r="AC246" s="37"/>
      <c r="AD246" s="26" t="str">
        <f>IF(J246&lt;&gt;"Yes",
IF(S246&lt;=0,"Error: Effort value is not defined or is invalid.",
IF(AND(SUM(U246:W246)&gt;0,SUM(U246:W246)&lt;&gt;1),"Error: Complexity % distribution should sum to 100%.",
IF(AND(P246=AS_DEV_EFFORT,X246&lt;&gt;0),"Error: PDs should not be defined when defining as dev effort %.",
IF(AND(P246=AS_DURATION_EFFORT,X246&lt;&gt;0),"Error: PDs should not be defined when defining as duration effort %.","")))))</f>
        <v/>
      </c>
    </row>
    <row r="247" spans="1:30" ht="15.5" hidden="1" outlineLevel="2" x14ac:dyDescent="0.35">
      <c r="A247" s="93" t="s">
        <v>0</v>
      </c>
      <c r="B247" s="21"/>
      <c r="C247" s="85"/>
      <c r="D247" s="85"/>
      <c r="E247" s="85"/>
      <c r="F247" s="86"/>
      <c r="G247" s="22" t="s">
        <v>23</v>
      </c>
      <c r="H247" s="22" t="s">
        <v>23</v>
      </c>
      <c r="I247" s="23" t="s">
        <v>23</v>
      </c>
      <c r="J247" s="22" t="s">
        <v>23</v>
      </c>
      <c r="K247" s="38"/>
      <c r="L247" s="22"/>
      <c r="M247" s="286">
        <f ca="1">IFERROR(OFFSET(M247,-1,,1,1)+0.1,OFFSET(M247,-1,-1,1,1)&amp;".1")</f>
        <v>24.300000000000004</v>
      </c>
      <c r="N247" s="23" t="s">
        <v>568</v>
      </c>
      <c r="O247" s="23"/>
      <c r="P247" s="23" t="s">
        <v>571</v>
      </c>
      <c r="Q247" s="144"/>
      <c r="R247" s="137">
        <v>15</v>
      </c>
      <c r="S247" s="169">
        <f>CEILING((IF(J247="Yes", 0, IF(H247="-",AA247,AA247+AA247*VLOOKUP(H247,BUFFERS_BY_TYPE,2,FALSE)))) +
   (IF(J247="Yes", 0, IF(H247="-",AA247,AA247+AA247*VLOOKUP(H247,BUFFERS_BY_TYPE,2,FALSE))))*VLOOKUP($S$5, SALES_CALL_SCALE_ARRAY, 2,FALSE),0.25)</f>
        <v>5</v>
      </c>
      <c r="T247" s="170"/>
      <c r="U247" s="24">
        <v>0</v>
      </c>
      <c r="V247" s="24">
        <v>1</v>
      </c>
      <c r="W247" s="24">
        <v>0</v>
      </c>
      <c r="X247" s="168">
        <v>5</v>
      </c>
      <c r="Y247" s="169">
        <f>CEILING((IF(P247=AS_DEV_EFFORT, DEV_EFFORT*Q247%,
                           IF(P247=AS_DURATION_EFFORT, (MANUAL_DURATION*5)*Q247%,
                                    (IF(Q247&lt;=1,X247,
                                          IF(SUM(U247:W247)=0,(Q247*X247),
                                               (((Q247*U247)*(X247+(X247*EXTRA_FOR_H)))+
                                               ((Q247*V247)*X247)+
                                               ((Q247*W247)*(X247-(X247*LESS_FOR_L)))
                                    )*IF(R247=0,1,R247))))))+Z247), 0.25)</f>
        <v>5</v>
      </c>
      <c r="Z247" s="25"/>
      <c r="AA247" s="169">
        <f>Y247+Y247*VLOOKUP(I247,EXTRAS_ARRAY,2,FALSE)</f>
        <v>5</v>
      </c>
      <c r="AB247" s="23"/>
      <c r="AC247" s="37"/>
      <c r="AD247" s="26" t="str">
        <f>IF(J247&lt;&gt;"Yes",
IF(S247&lt;=0,"Error: Effort value is not defined or is invalid.",
IF(AND(SUM(U247:W247)&gt;0,SUM(U247:W247)&lt;&gt;1),"Error: Complexity % distribution should sum to 100%.",
IF(AND(P247=AS_DEV_EFFORT,X247&lt;&gt;0),"Error: PDs should not be defined when defining as dev effort %.",
IF(AND(P247=AS_DURATION_EFFORT,X247&lt;&gt;0),"Error: PDs should not be defined when defining as duration effort %.","")))))</f>
        <v/>
      </c>
    </row>
    <row r="248" spans="1:30" ht="15.5" hidden="1" outlineLevel="2" x14ac:dyDescent="0.35">
      <c r="A248" s="93" t="s">
        <v>0</v>
      </c>
      <c r="B248" s="21"/>
      <c r="C248" s="85"/>
      <c r="D248" s="85"/>
      <c r="E248" s="85"/>
      <c r="F248" s="86"/>
      <c r="G248" s="22" t="s">
        <v>23</v>
      </c>
      <c r="H248" s="22" t="s">
        <v>23</v>
      </c>
      <c r="I248" s="23" t="s">
        <v>23</v>
      </c>
      <c r="J248" s="22" t="s">
        <v>23</v>
      </c>
      <c r="K248" s="38"/>
      <c r="L248" s="22"/>
      <c r="M248" s="286">
        <f ca="1">IFERROR(OFFSET(M248,-1,,1,1)+0.1,OFFSET(M248,-1,-1,1,1)&amp;".1")</f>
        <v>24.400000000000006</v>
      </c>
      <c r="N248" s="23" t="s">
        <v>572</v>
      </c>
      <c r="O248" s="23"/>
      <c r="P248" s="23"/>
      <c r="Q248" s="144"/>
      <c r="R248" s="137"/>
      <c r="S248" s="169">
        <f>CEILING((IF(J248="Yes", 0, IF(H248="-",AA248,AA248+AA248*VLOOKUP(H248,BUFFERS_BY_TYPE,2,FALSE)))) +
   (IF(J248="Yes", 0, IF(H248="-",AA248,AA248+AA248*VLOOKUP(H248,BUFFERS_BY_TYPE,2,FALSE))))*VLOOKUP($S$5, SALES_CALL_SCALE_ARRAY, 2,FALSE),0.25)</f>
        <v>6</v>
      </c>
      <c r="T248" s="170"/>
      <c r="U248" s="24">
        <v>0</v>
      </c>
      <c r="V248" s="24">
        <v>1</v>
      </c>
      <c r="W248" s="24">
        <v>0</v>
      </c>
      <c r="X248" s="168">
        <v>6</v>
      </c>
      <c r="Y248" s="169">
        <f>CEILING((IF(P248=AS_DEV_EFFORT, DEV_EFFORT*Q248%,
                           IF(P248=AS_DURATION_EFFORT, (MANUAL_DURATION*5)*Q248%,
                                    (IF(Q248&lt;=1,X248,
                                          IF(SUM(U248:W248)=0,(Q248*X248),
                                               (((Q248*U248)*(X248+(X248*EXTRA_FOR_H)))+
                                               ((Q248*V248)*X248)+
                                               ((Q248*W248)*(X248-(X248*LESS_FOR_L)))
                                    )*IF(R248=0,1,R248))))))+Z248), 0.25)</f>
        <v>6</v>
      </c>
      <c r="Z248" s="25"/>
      <c r="AA248" s="169">
        <f>Y248+Y248*VLOOKUP(I248,EXTRAS_ARRAY,2,FALSE)</f>
        <v>6</v>
      </c>
      <c r="AB248" s="23"/>
      <c r="AC248" s="37"/>
      <c r="AD248" s="26" t="str">
        <f>IF(J248&lt;&gt;"Yes",
IF(S248&lt;=0,"Error: Effort value is not defined or is invalid.",
IF(AND(SUM(U248:W248)&gt;0,SUM(U248:W248)&lt;&gt;1),"Error: Complexity % distribution should sum to 100%.",
IF(AND(P248=AS_DEV_EFFORT,X248&lt;&gt;0),"Error: PDs should not be defined when defining as dev effort %.",
IF(AND(P248=AS_DURATION_EFFORT,X248&lt;&gt;0),"Error: PDs should not be defined when defining as duration effort %.","")))))</f>
        <v/>
      </c>
    </row>
    <row r="249" spans="1:30" ht="58" hidden="1" outlineLevel="2" x14ac:dyDescent="0.35">
      <c r="A249" s="93" t="s">
        <v>0</v>
      </c>
      <c r="B249" s="21"/>
      <c r="C249" s="85"/>
      <c r="D249" s="85"/>
      <c r="E249" s="85"/>
      <c r="F249" s="86"/>
      <c r="G249" s="22" t="s">
        <v>23</v>
      </c>
      <c r="H249" s="22" t="s">
        <v>23</v>
      </c>
      <c r="I249" s="23" t="s">
        <v>23</v>
      </c>
      <c r="J249" s="22" t="s">
        <v>23</v>
      </c>
      <c r="K249" s="38"/>
      <c r="L249" s="22"/>
      <c r="M249" s="286">
        <f ca="1">IFERROR(OFFSET(M249,-1,,1,1)+0.1,OFFSET(M249,-1,-1,1,1)&amp;".1")</f>
        <v>24.500000000000007</v>
      </c>
      <c r="N249" s="23" t="s">
        <v>569</v>
      </c>
      <c r="O249" s="23"/>
      <c r="P249" s="23" t="s">
        <v>573</v>
      </c>
      <c r="Q249" s="144"/>
      <c r="R249" s="137">
        <v>5</v>
      </c>
      <c r="S249" s="169">
        <f>CEILING((IF(J249="Yes", 0, IF(H249="-",AA249,AA249+AA249*VLOOKUP(H249,BUFFERS_BY_TYPE,2,FALSE)))) +
   (IF(J249="Yes", 0, IF(H249="-",AA249,AA249+AA249*VLOOKUP(H249,BUFFERS_BY_TYPE,2,FALSE))))*VLOOKUP($S$5, SALES_CALL_SCALE_ARRAY, 2,FALSE),0.25)</f>
        <v>2</v>
      </c>
      <c r="T249" s="170"/>
      <c r="U249" s="24">
        <v>0</v>
      </c>
      <c r="V249" s="24">
        <v>1</v>
      </c>
      <c r="W249" s="24">
        <v>0</v>
      </c>
      <c r="X249" s="168">
        <v>2</v>
      </c>
      <c r="Y249" s="169">
        <f>CEILING((IF(P249=AS_DEV_EFFORT, DEV_EFFORT*Q249%,
                           IF(P249=AS_DURATION_EFFORT, (MANUAL_DURATION*5)*Q249%,
                                    (IF(Q249&lt;=1,X249,
                                          IF(SUM(U249:W249)=0,(Q249*X249),
                                               (((Q249*U249)*(X249+(X249*EXTRA_FOR_H)))+
                                               ((Q249*V249)*X249)+
                                               ((Q249*W249)*(X249-(X249*LESS_FOR_L)))
                                    )*IF(R249=0,1,R249))))))+Z249), 0.25)</f>
        <v>2</v>
      </c>
      <c r="Z249" s="25"/>
      <c r="AA249" s="169">
        <f>Y249+Y249*VLOOKUP(I249,EXTRAS_ARRAY,2,FALSE)</f>
        <v>2</v>
      </c>
      <c r="AB249" s="23" t="s">
        <v>574</v>
      </c>
      <c r="AC249" s="37"/>
      <c r="AD249" s="26" t="str">
        <f>IF(J249&lt;&gt;"Yes",
IF(S249&lt;=0,"Error: Effort value is not defined or is invalid.",
IF(AND(SUM(U249:W249)&gt;0,SUM(U249:W249)&lt;&gt;1),"Error: Complexity % distribution should sum to 100%.",
IF(AND(P249=AS_DEV_EFFORT,X249&lt;&gt;0),"Error: PDs should not be defined when defining as dev effort %.",
IF(AND(P249=AS_DURATION_EFFORT,X249&lt;&gt;0),"Error: PDs should not be defined when defining as duration effort %.","")))))</f>
        <v/>
      </c>
    </row>
    <row r="250" spans="1:30" s="11" customFormat="1" ht="7.5" hidden="1" customHeight="1" outlineLevel="2" x14ac:dyDescent="0.35">
      <c r="A250" s="93" t="s">
        <v>132</v>
      </c>
      <c r="B250" s="18"/>
      <c r="C250" s="78"/>
      <c r="D250" s="78"/>
      <c r="E250" s="78"/>
      <c r="F250" s="78"/>
      <c r="G250" s="10"/>
      <c r="H250" s="10"/>
      <c r="I250" s="10"/>
      <c r="J250" s="10"/>
      <c r="K250" s="10"/>
      <c r="L250" s="10"/>
      <c r="M250" s="287"/>
      <c r="N250" s="10"/>
      <c r="O250" s="10"/>
      <c r="P250" s="10"/>
      <c r="Q250" s="10"/>
      <c r="R250" s="10"/>
      <c r="S250" s="10"/>
      <c r="T250" s="18"/>
      <c r="U250" s="10"/>
      <c r="V250" s="10"/>
      <c r="W250" s="10"/>
      <c r="X250" s="18"/>
      <c r="Y250" s="10"/>
      <c r="Z250" s="10"/>
      <c r="AA250" s="10"/>
      <c r="AB250" s="60"/>
      <c r="AC250" s="60"/>
      <c r="AD250" s="12"/>
    </row>
    <row r="251" spans="1:30" s="11" customFormat="1" ht="3" hidden="1" customHeight="1" outlineLevel="1" x14ac:dyDescent="0.35">
      <c r="A251" s="93" t="s">
        <v>102</v>
      </c>
      <c r="B251" s="10"/>
      <c r="C251" s="78"/>
      <c r="D251" s="78"/>
      <c r="E251" s="78"/>
      <c r="F251" s="78"/>
      <c r="G251" s="59"/>
      <c r="H251" s="59"/>
      <c r="I251" s="59"/>
      <c r="J251" s="59"/>
      <c r="K251" s="59"/>
      <c r="L251" s="61"/>
      <c r="M251" s="288"/>
      <c r="N251" s="62"/>
      <c r="O251" s="62"/>
      <c r="P251" s="61"/>
      <c r="Q251" s="61"/>
      <c r="R251" s="61"/>
      <c r="S251" s="61"/>
      <c r="T251" s="61"/>
      <c r="U251" s="61"/>
      <c r="V251" s="61"/>
      <c r="W251" s="61"/>
      <c r="X251" s="61"/>
      <c r="Y251" s="61"/>
      <c r="Z251" s="61"/>
      <c r="AA251" s="61"/>
      <c r="AB251" s="62"/>
      <c r="AC251" s="62"/>
      <c r="AD251" s="12"/>
    </row>
    <row r="252" spans="1:30" s="17" customFormat="1" ht="18.5" x14ac:dyDescent="0.35">
      <c r="A252" s="93" t="s">
        <v>98</v>
      </c>
      <c r="B252" s="14"/>
      <c r="C252" s="79"/>
      <c r="D252" s="79"/>
      <c r="E252" s="79"/>
      <c r="F252" s="78"/>
      <c r="G252" s="55"/>
      <c r="H252" s="55"/>
      <c r="I252" s="55"/>
      <c r="J252" s="55"/>
      <c r="K252" s="55"/>
      <c r="L252" s="55" t="s">
        <v>70</v>
      </c>
      <c r="M252" s="284" t="s">
        <v>74</v>
      </c>
      <c r="N252" s="56"/>
      <c r="O252" s="57"/>
      <c r="P252" s="58"/>
      <c r="Q252" s="58"/>
      <c r="R252" s="58"/>
      <c r="S252" s="339">
        <f>CEILING(SUMIF(J253:J293, "&lt;&gt;Yes", T253:T293),1)</f>
        <v>263</v>
      </c>
      <c r="T252" s="339"/>
      <c r="U252" s="58"/>
      <c r="V252" s="58"/>
      <c r="W252" s="58"/>
      <c r="X252" s="58"/>
      <c r="Y252" s="58"/>
      <c r="Z252" s="58"/>
      <c r="AA252" s="58"/>
      <c r="AB252" s="58"/>
      <c r="AC252" s="58"/>
      <c r="AD252" s="16"/>
    </row>
    <row r="253" spans="1:30" s="11" customFormat="1" ht="3" customHeight="1" outlineLevel="1" x14ac:dyDescent="0.35">
      <c r="A253" s="93" t="s">
        <v>99</v>
      </c>
      <c r="B253" s="18"/>
      <c r="C253" s="78"/>
      <c r="D253" s="78"/>
      <c r="E253" s="78"/>
      <c r="F253" s="78"/>
      <c r="G253" s="28"/>
      <c r="H253" s="28"/>
      <c r="I253" s="28"/>
      <c r="J253" s="28"/>
      <c r="K253" s="28"/>
      <c r="L253" s="29">
        <v>0</v>
      </c>
      <c r="M253" s="285"/>
      <c r="N253" s="28"/>
      <c r="O253" s="28"/>
      <c r="P253" s="28"/>
      <c r="Q253" s="28"/>
      <c r="R253" s="28"/>
      <c r="S253" s="28"/>
      <c r="T253" s="30"/>
      <c r="U253" s="28"/>
      <c r="V253" s="28"/>
      <c r="W253" s="28"/>
      <c r="X253" s="30"/>
      <c r="Y253" s="28"/>
      <c r="Z253" s="28"/>
      <c r="AA253" s="28"/>
      <c r="AB253" s="31"/>
      <c r="AC253" s="31"/>
      <c r="AD253" s="12"/>
    </row>
    <row r="254" spans="1:30" s="17" customFormat="1" ht="15.5" outlineLevel="1" x14ac:dyDescent="0.35">
      <c r="A254" s="93" t="s">
        <v>107</v>
      </c>
      <c r="B254" s="21"/>
      <c r="C254" s="84"/>
      <c r="D254" s="84"/>
      <c r="E254" s="84"/>
      <c r="F254" s="83"/>
      <c r="G254" s="185"/>
      <c r="H254" s="185"/>
      <c r="I254" s="185"/>
      <c r="J254" s="185"/>
      <c r="K254" s="185"/>
      <c r="L254" s="92" t="s">
        <v>109</v>
      </c>
      <c r="M254" s="318" t="s">
        <v>535</v>
      </c>
      <c r="N254" s="318"/>
      <c r="O254" s="87"/>
      <c r="P254" s="88"/>
      <c r="Q254" s="88"/>
      <c r="R254" s="88"/>
      <c r="S254" s="319">
        <f>SUMGROUP(ROW(), "T")</f>
        <v>10</v>
      </c>
      <c r="T254" s="319"/>
      <c r="U254" s="320"/>
      <c r="V254" s="320"/>
      <c r="W254" s="320"/>
      <c r="X254" s="89"/>
      <c r="Y254" s="90"/>
      <c r="Z254" s="90"/>
      <c r="AA254" s="90"/>
      <c r="AB254" s="243"/>
      <c r="AC254" s="91"/>
      <c r="AD254" s="26" t="str">
        <f>IF(M254="", "Error: Module name cannot be empty.", "")</f>
        <v/>
      </c>
    </row>
    <row r="255" spans="1:30" s="17" customFormat="1" ht="15.5" outlineLevel="1" collapsed="1" x14ac:dyDescent="0.35">
      <c r="A255" s="93" t="s">
        <v>100</v>
      </c>
      <c r="B255" s="21"/>
      <c r="C255" s="84"/>
      <c r="D255" s="84"/>
      <c r="E255" s="84"/>
      <c r="F255" s="83"/>
      <c r="G255" s="32"/>
      <c r="H255" s="32"/>
      <c r="I255" s="32"/>
      <c r="J255" s="32"/>
      <c r="K255" s="32"/>
      <c r="L255" s="20">
        <f ca="1">LOOKUP(1000,INDIRECT("L1:"&amp;CELL("address",INDIRECT("R[-1]C",FALSE))))+1</f>
        <v>1</v>
      </c>
      <c r="M255" s="317" t="s">
        <v>536</v>
      </c>
      <c r="N255" s="317"/>
      <c r="O255" s="5"/>
      <c r="P255" s="33"/>
      <c r="Q255" s="33"/>
      <c r="R255" s="33"/>
      <c r="S255" s="33"/>
      <c r="T255" s="167">
        <f>IF($S$6="Exclude", SUMIFS(S256:S259, J256:J259, "&lt;&gt;Yes", G256:G259, "&lt;&gt;Yes"), SUMIFS(S256:S259, J256:J259, "&lt;&gt;Yes"))</f>
        <v>10</v>
      </c>
      <c r="U255" s="33"/>
      <c r="V255" s="33"/>
      <c r="W255" s="33"/>
      <c r="X255" s="34"/>
      <c r="Y255" s="35"/>
      <c r="Z255" s="35"/>
      <c r="AA255" s="35"/>
      <c r="AB255" s="240"/>
      <c r="AC255" s="36"/>
      <c r="AD255" s="26" t="str">
        <f>IF(M255="", "Error: Task name cannot be empty.", "")</f>
        <v/>
      </c>
    </row>
    <row r="256" spans="1:30" s="15" customFormat="1" ht="1.5" hidden="1" customHeight="1" outlineLevel="2" x14ac:dyDescent="0.35">
      <c r="A256" s="93" t="s">
        <v>101</v>
      </c>
      <c r="B256" s="21"/>
      <c r="C256" s="84"/>
      <c r="D256" s="84"/>
      <c r="E256" s="84"/>
      <c r="F256" s="83"/>
      <c r="G256" s="32"/>
      <c r="H256" s="32"/>
      <c r="I256" s="32"/>
      <c r="J256" s="32"/>
      <c r="K256" s="32"/>
      <c r="L256" s="175">
        <f ca="1">L255</f>
        <v>1</v>
      </c>
      <c r="M256" s="176" t="s">
        <v>105</v>
      </c>
      <c r="N256" s="173"/>
      <c r="O256" s="174"/>
      <c r="P256" s="33"/>
      <c r="Q256" s="33"/>
      <c r="R256" s="33"/>
      <c r="S256" s="33"/>
      <c r="T256" s="167"/>
      <c r="U256" s="33"/>
      <c r="V256" s="33"/>
      <c r="W256" s="33"/>
      <c r="X256" s="34"/>
      <c r="Y256" s="35"/>
      <c r="Z256" s="35"/>
      <c r="AA256" s="35"/>
      <c r="AB256" s="36"/>
      <c r="AC256" s="36"/>
      <c r="AD256" s="26"/>
    </row>
    <row r="257" spans="1:30" ht="15.5" hidden="1" outlineLevel="2" x14ac:dyDescent="0.35">
      <c r="A257" s="93" t="s">
        <v>0</v>
      </c>
      <c r="B257" s="21"/>
      <c r="C257" s="85"/>
      <c r="D257" s="85"/>
      <c r="E257" s="85"/>
      <c r="F257" s="86"/>
      <c r="G257" s="22" t="s">
        <v>23</v>
      </c>
      <c r="H257" s="22" t="s">
        <v>23</v>
      </c>
      <c r="I257" s="23" t="s">
        <v>23</v>
      </c>
      <c r="J257" s="22" t="s">
        <v>23</v>
      </c>
      <c r="K257" s="38"/>
      <c r="L257" s="22"/>
      <c r="M257" s="286" t="str">
        <f ca="1">IFERROR(OFFSET(M257,-1,,1,1)+0.1,OFFSET(M257,-1,-1,1,1)&amp;".1")</f>
        <v>1.1</v>
      </c>
      <c r="N257" s="23" t="s">
        <v>537</v>
      </c>
      <c r="O257" s="23"/>
      <c r="P257" s="23"/>
      <c r="Q257" s="144"/>
      <c r="R257" s="137"/>
      <c r="S257" s="169">
        <f>CEILING((IF(J257="Yes", 0, IF(H257="-",AA257,AA257+AA257*VLOOKUP(H257,BUFFERS_BY_TYPE,2,FALSE)))) +
   (IF(J257="Yes", 0, IF(H257="-",AA257,AA257+AA257*VLOOKUP(H257,BUFFERS_BY_TYPE,2,FALSE))))*VLOOKUP($S$5, SALES_CALL_SCALE_ARRAY, 2,FALSE),0.25)</f>
        <v>5</v>
      </c>
      <c r="T257" s="170"/>
      <c r="U257" s="24">
        <v>0</v>
      </c>
      <c r="V257" s="24">
        <v>1</v>
      </c>
      <c r="W257" s="24">
        <v>0</v>
      </c>
      <c r="X257" s="168">
        <v>5</v>
      </c>
      <c r="Y257" s="169">
        <f>CEILING((IF(P257=AS_DEV_EFFORT, DEV_EFFORT*Q257%,
                           IF(P257=AS_DURATION_EFFORT, (MANUAL_DURATION*5)*Q257%,
                                    (IF(Q257&lt;=1,X257,
                                          IF(SUM(U257:W257)=0,(Q257*X257),
                                               (((Q257*U257)*(X257+(X257*EXTRA_FOR_H)))+
                                               ((Q257*V257)*X257)+
                                               ((Q257*W257)*(X257-(X257*LESS_FOR_L)))
                                    )*IF(R257=0,1,R257))))))+Z257), 0.25)</f>
        <v>5</v>
      </c>
      <c r="Z257" s="25"/>
      <c r="AA257" s="169">
        <f>Y257+Y257*VLOOKUP(I257,EXTRAS_ARRAY,2,FALSE)</f>
        <v>5</v>
      </c>
      <c r="AB257" s="23"/>
      <c r="AC257" s="37"/>
      <c r="AD257" s="26" t="str">
        <f>IF(J257&lt;&gt;"Yes",
IF(S257&lt;=0,"Error: Effort value is not defined or is invalid.",
IF(AND(SUM(U257:W257)&gt;0,SUM(U257:W257)&lt;&gt;1),"Error: Complexity % distribution should sum to 100%.",
IF(AND(P257=AS_DEV_EFFORT,X257&lt;&gt;0),"Error: PDs should not be defined when defining as dev effort %.",
IF(AND(P257=AS_DURATION_EFFORT,X257&lt;&gt;0),"Error: PDs should not be defined when defining as duration effort %.","")))))</f>
        <v/>
      </c>
    </row>
    <row r="258" spans="1:30" ht="29" hidden="1" outlineLevel="2" x14ac:dyDescent="0.35">
      <c r="A258" s="93" t="s">
        <v>0</v>
      </c>
      <c r="B258" s="21"/>
      <c r="C258" s="85"/>
      <c r="D258" s="85"/>
      <c r="E258" s="85"/>
      <c r="F258" s="86"/>
      <c r="G258" s="22" t="s">
        <v>23</v>
      </c>
      <c r="H258" s="22" t="s">
        <v>23</v>
      </c>
      <c r="I258" s="23" t="s">
        <v>23</v>
      </c>
      <c r="J258" s="22" t="s">
        <v>23</v>
      </c>
      <c r="K258" s="38"/>
      <c r="L258" s="22"/>
      <c r="M258" s="286">
        <f ca="1">IFERROR(OFFSET(M258,-1,,1,1)+0.1,OFFSET(M258,-1,-1,1,1)&amp;".1")</f>
        <v>1.2000000000000002</v>
      </c>
      <c r="N258" s="23" t="s">
        <v>538</v>
      </c>
      <c r="O258" s="23"/>
      <c r="P258" s="23" t="s">
        <v>539</v>
      </c>
      <c r="Q258" s="144">
        <v>50</v>
      </c>
      <c r="R258" s="137"/>
      <c r="S258" s="169">
        <f>CEILING((IF(J258="Yes", 0, IF(H258="-",AA258,AA258+AA258*VLOOKUP(H258,BUFFERS_BY_TYPE,2,FALSE)))) +
   (IF(J258="Yes", 0, IF(H258="-",AA258,AA258+AA258*VLOOKUP(H258,BUFFERS_BY_TYPE,2,FALSE))))*VLOOKUP($S$5, SALES_CALL_SCALE_ARRAY, 2,FALSE),0.25)</f>
        <v>5</v>
      </c>
      <c r="T258" s="170"/>
      <c r="U258" s="24">
        <v>0</v>
      </c>
      <c r="V258" s="24">
        <v>1</v>
      </c>
      <c r="W258" s="24">
        <v>0</v>
      </c>
      <c r="X258" s="168">
        <v>0.1</v>
      </c>
      <c r="Y258" s="169">
        <f>CEILING((IF(P258=AS_DEV_EFFORT, DEV_EFFORT*Q258%,
                           IF(P258=AS_DURATION_EFFORT, (MANUAL_DURATION*5)*Q258%,
                                    (IF(Q258&lt;=1,X258,
                                          IF(SUM(U258:W258)=0,(Q258*X258),
                                               (((Q258*U258)*(X258+(X258*EXTRA_FOR_H)))+
                                               ((Q258*V258)*X258)+
                                               ((Q258*W258)*(X258-(X258*LESS_FOR_L)))
                                    )*IF(R258=0,1,R258))))))+Z258), 0.25)</f>
        <v>5</v>
      </c>
      <c r="Z258" s="25"/>
      <c r="AA258" s="169">
        <f>Y258+Y258*VLOOKUP(I258,EXTRAS_ARRAY,2,FALSE)</f>
        <v>5</v>
      </c>
      <c r="AB258" s="23"/>
      <c r="AC258" s="37"/>
      <c r="AD258" s="26" t="str">
        <f>IF(J258&lt;&gt;"Yes",
IF(S258&lt;=0,"Error: Effort value is not defined or is invalid.",
IF(AND(SUM(U258:W258)&gt;0,SUM(U258:W258)&lt;&gt;1),"Error: Complexity % distribution should sum to 100%.",
IF(AND(P258=AS_DEV_EFFORT,X258&lt;&gt;0),"Error: PDs should not be defined when defining as dev effort %.",
IF(AND(P258=AS_DURATION_EFFORT,X258&lt;&gt;0),"Error: PDs should not be defined when defining as duration effort %.","")))))</f>
        <v/>
      </c>
    </row>
    <row r="259" spans="1:30" s="11" customFormat="1" ht="7.5" hidden="1" customHeight="1" outlineLevel="2" x14ac:dyDescent="0.35">
      <c r="A259" s="93" t="s">
        <v>132</v>
      </c>
      <c r="B259" s="18"/>
      <c r="C259" s="78"/>
      <c r="D259" s="78"/>
      <c r="E259" s="78"/>
      <c r="F259" s="78"/>
      <c r="G259" s="10"/>
      <c r="H259" s="10"/>
      <c r="I259" s="10"/>
      <c r="J259" s="10"/>
      <c r="K259" s="10"/>
      <c r="L259" s="10"/>
      <c r="M259" s="287"/>
      <c r="N259" s="10"/>
      <c r="O259" s="10"/>
      <c r="P259" s="10"/>
      <c r="Q259" s="10"/>
      <c r="R259" s="10"/>
      <c r="S259" s="10"/>
      <c r="T259" s="18"/>
      <c r="U259" s="10"/>
      <c r="V259" s="10"/>
      <c r="W259" s="10"/>
      <c r="X259" s="18"/>
      <c r="Y259" s="10"/>
      <c r="Z259" s="10"/>
      <c r="AA259" s="10"/>
      <c r="AB259" s="60"/>
      <c r="AC259" s="60"/>
      <c r="AD259" s="12"/>
    </row>
    <row r="260" spans="1:30" s="17" customFormat="1" ht="15.5" outlineLevel="1" x14ac:dyDescent="0.35">
      <c r="A260" s="93" t="s">
        <v>107</v>
      </c>
      <c r="B260" s="21"/>
      <c r="C260" s="84"/>
      <c r="D260" s="84"/>
      <c r="E260" s="84"/>
      <c r="F260" s="83"/>
      <c r="G260" s="185"/>
      <c r="H260" s="185"/>
      <c r="I260" s="185"/>
      <c r="J260" s="185"/>
      <c r="K260" s="185"/>
      <c r="L260" s="92" t="s">
        <v>109</v>
      </c>
      <c r="M260" s="318" t="s">
        <v>540</v>
      </c>
      <c r="N260" s="318"/>
      <c r="O260" s="87"/>
      <c r="P260" s="88"/>
      <c r="Q260" s="88"/>
      <c r="R260" s="88"/>
      <c r="S260" s="319">
        <f>SUMGROUP(ROW(), "T")</f>
        <v>253</v>
      </c>
      <c r="T260" s="319"/>
      <c r="U260" s="320"/>
      <c r="V260" s="320"/>
      <c r="W260" s="320"/>
      <c r="X260" s="89"/>
      <c r="Y260" s="90"/>
      <c r="Z260" s="90"/>
      <c r="AA260" s="90"/>
      <c r="AB260" s="243"/>
      <c r="AC260" s="91"/>
      <c r="AD260" s="26" t="str">
        <f>IF(M260="", "Error: Module name cannot be empty.", "")</f>
        <v/>
      </c>
    </row>
    <row r="261" spans="1:30" s="17" customFormat="1" ht="15.5" outlineLevel="1" collapsed="1" x14ac:dyDescent="0.35">
      <c r="A261" s="93" t="s">
        <v>100</v>
      </c>
      <c r="B261" s="21"/>
      <c r="C261" s="84"/>
      <c r="D261" s="84"/>
      <c r="E261" s="84"/>
      <c r="F261" s="83"/>
      <c r="G261" s="32"/>
      <c r="H261" s="32"/>
      <c r="I261" s="32"/>
      <c r="J261" s="32"/>
      <c r="K261" s="32"/>
      <c r="L261" s="20">
        <f ca="1">LOOKUP(1000,INDIRECT("L1:"&amp;CELL("address",INDIRECT("R[-1]C",FALSE))))+1</f>
        <v>2</v>
      </c>
      <c r="M261" s="317" t="s">
        <v>461</v>
      </c>
      <c r="N261" s="317"/>
      <c r="O261" s="5"/>
      <c r="P261" s="33"/>
      <c r="Q261" s="33"/>
      <c r="R261" s="33"/>
      <c r="S261" s="33"/>
      <c r="T261" s="167">
        <f>IF($S$6="Exclude", SUMIFS(S262:S267, J262:J267, "&lt;&gt;Yes", G262:G267, "&lt;&gt;Yes"), SUMIFS(S262:S267, J262:J267, "&lt;&gt;Yes"))</f>
        <v>141</v>
      </c>
      <c r="U261" s="33"/>
      <c r="V261" s="33"/>
      <c r="W261" s="33"/>
      <c r="X261" s="34"/>
      <c r="Y261" s="35"/>
      <c r="Z261" s="35"/>
      <c r="AA261" s="35"/>
      <c r="AB261" s="240"/>
      <c r="AC261" s="36"/>
      <c r="AD261" s="26" t="str">
        <f>IF(M261="", "Error: Task name cannot be empty.", "")</f>
        <v/>
      </c>
    </row>
    <row r="262" spans="1:30" s="15" customFormat="1" ht="1.5" hidden="1" customHeight="1" outlineLevel="2" x14ac:dyDescent="0.35">
      <c r="A262" s="93" t="s">
        <v>101</v>
      </c>
      <c r="B262" s="21"/>
      <c r="C262" s="84"/>
      <c r="D262" s="84"/>
      <c r="E262" s="84"/>
      <c r="F262" s="83"/>
      <c r="G262" s="32"/>
      <c r="H262" s="32"/>
      <c r="I262" s="32"/>
      <c r="J262" s="32"/>
      <c r="K262" s="32"/>
      <c r="L262" s="175">
        <f ca="1">L261</f>
        <v>2</v>
      </c>
      <c r="M262" s="176" t="s">
        <v>105</v>
      </c>
      <c r="N262" s="173"/>
      <c r="O262" s="174"/>
      <c r="P262" s="33"/>
      <c r="Q262" s="33"/>
      <c r="R262" s="33"/>
      <c r="S262" s="33"/>
      <c r="T262" s="167"/>
      <c r="U262" s="33"/>
      <c r="V262" s="33"/>
      <c r="W262" s="33"/>
      <c r="X262" s="34"/>
      <c r="Y262" s="35"/>
      <c r="Z262" s="35"/>
      <c r="AA262" s="35"/>
      <c r="AB262" s="36"/>
      <c r="AC262" s="36"/>
      <c r="AD262" s="26"/>
    </row>
    <row r="263" spans="1:30" ht="29" hidden="1" outlineLevel="2" x14ac:dyDescent="0.35">
      <c r="A263" s="93" t="s">
        <v>0</v>
      </c>
      <c r="B263" s="21"/>
      <c r="C263" s="85"/>
      <c r="D263" s="85"/>
      <c r="E263" s="85"/>
      <c r="F263" s="86"/>
      <c r="G263" s="22" t="s">
        <v>23</v>
      </c>
      <c r="H263" s="22" t="s">
        <v>23</v>
      </c>
      <c r="I263" s="23" t="s">
        <v>23</v>
      </c>
      <c r="J263" s="22" t="s">
        <v>23</v>
      </c>
      <c r="K263" s="38"/>
      <c r="L263" s="22"/>
      <c r="M263" s="286" t="str">
        <f ca="1">IFERROR(OFFSET(M263,-1,,1,1)+0.1,OFFSET(M263,-1,-1,1,1)&amp;".1")</f>
        <v>2.1</v>
      </c>
      <c r="N263" s="23" t="s">
        <v>468</v>
      </c>
      <c r="O263" s="23" t="s">
        <v>576</v>
      </c>
      <c r="P263" s="23"/>
      <c r="Q263" s="144">
        <v>2</v>
      </c>
      <c r="R263" s="137">
        <v>2</v>
      </c>
      <c r="S263" s="169">
        <f>CEILING((IF(J263="Yes", 0, IF(H263="-",AA263,AA263+AA263*VLOOKUP(H263,BUFFERS_BY_TYPE,2,FALSE)))) +
   (IF(J263="Yes", 0, IF(H263="-",AA263,AA263+AA263*VLOOKUP(H263,BUFFERS_BY_TYPE,2,FALSE))))*VLOOKUP($S$5, SALES_CALL_SCALE_ARRAY, 2,FALSE),0.25)</f>
        <v>3</v>
      </c>
      <c r="T263" s="170"/>
      <c r="U263" s="24">
        <v>0</v>
      </c>
      <c r="V263" s="24">
        <v>1</v>
      </c>
      <c r="W263" s="24">
        <v>0</v>
      </c>
      <c r="X263" s="168">
        <v>0.75</v>
      </c>
      <c r="Y263" s="169">
        <f>CEILING((IF(P263=AS_DEV_EFFORT, DEV_EFFORT*Q263%,
                           IF(P263=AS_DURATION_EFFORT, (MANUAL_DURATION*5)*Q263%,
                                    (IF(Q263&lt;=1,X263,
                                          IF(SUM(U263:W263)=0,(Q263*X263),
                                               (((Q263*U263)*(X263+(X263*EXTRA_FOR_H)))+
                                               ((Q263*V263)*X263)+
                                               ((Q263*W263)*(X263-(X263*LESS_FOR_L)))
                                    )*IF(R263=0,1,R263))))))+Z263), 0.25)</f>
        <v>3</v>
      </c>
      <c r="Z263" s="25"/>
      <c r="AA263" s="169">
        <f>Y263+Y263*VLOOKUP(I263,EXTRAS_ARRAY,2,FALSE)</f>
        <v>3</v>
      </c>
      <c r="AB263" s="23"/>
      <c r="AC263" s="37"/>
      <c r="AD263" s="26" t="str">
        <f>IF(J263&lt;&gt;"Yes",
IF(S263&lt;=0,"Error: Effort value is not defined or is invalid.",
IF(AND(SUM(U263:W263)&gt;0,SUM(U263:W263)&lt;&gt;1),"Error: Complexity % distribution should sum to 100%.",
IF(AND(P263=AS_DEV_EFFORT,X263&lt;&gt;0),"Error: PDs should not be defined when defining as dev effort %.",
IF(AND(P263=AS_DURATION_EFFORT,X263&lt;&gt;0),"Error: PDs should not be defined when defining as duration effort %.","")))))</f>
        <v/>
      </c>
    </row>
    <row r="264" spans="1:30" ht="87" hidden="1" outlineLevel="2" x14ac:dyDescent="0.35">
      <c r="A264" s="93" t="s">
        <v>0</v>
      </c>
      <c r="B264" s="21"/>
      <c r="C264" s="85"/>
      <c r="D264" s="85"/>
      <c r="E264" s="85"/>
      <c r="F264" s="86"/>
      <c r="G264" s="22" t="s">
        <v>23</v>
      </c>
      <c r="H264" s="22" t="s">
        <v>23</v>
      </c>
      <c r="I264" s="23" t="s">
        <v>23</v>
      </c>
      <c r="J264" s="22" t="s">
        <v>23</v>
      </c>
      <c r="K264" s="38" t="s">
        <v>472</v>
      </c>
      <c r="L264" s="22"/>
      <c r="M264" s="286">
        <f ca="1">IFERROR(OFFSET(M264,-1,,1,1)+0.1,OFFSET(M264,-1,-1,1,1)&amp;".1")</f>
        <v>2.2000000000000002</v>
      </c>
      <c r="N264" s="23" t="s">
        <v>469</v>
      </c>
      <c r="O264" s="23" t="s">
        <v>541</v>
      </c>
      <c r="P264" s="23"/>
      <c r="Q264" s="144">
        <v>50</v>
      </c>
      <c r="R264" s="137">
        <v>4</v>
      </c>
      <c r="S264" s="169">
        <f>CEILING((IF(J264="Yes", 0, IF(H264="-",AA264,AA264+AA264*VLOOKUP(H264,BUFFERS_BY_TYPE,2,FALSE)))) +
   (IF(J264="Yes", 0, IF(H264="-",AA264,AA264+AA264*VLOOKUP(H264,BUFFERS_BY_TYPE,2,FALSE))))*VLOOKUP($S$5, SALES_CALL_SCALE_ARRAY, 2,FALSE),0.25)</f>
        <v>100</v>
      </c>
      <c r="T264" s="170"/>
      <c r="U264" s="24">
        <v>0</v>
      </c>
      <c r="V264" s="24">
        <v>1</v>
      </c>
      <c r="W264" s="24">
        <v>0</v>
      </c>
      <c r="X264" s="168">
        <v>0.5</v>
      </c>
      <c r="Y264" s="169">
        <f>CEILING((IF(P264=AS_DEV_EFFORT, DEV_EFFORT*Q264%,
                           IF(P264=AS_DURATION_EFFORT, (MANUAL_DURATION*5)*Q264%,
                                    (IF(Q264&lt;=1,X264,
                                          IF(SUM(U264:W264)=0,(Q264*X264),
                                               (((Q264*U264)*(X264+(X264*EXTRA_FOR_H)))+
                                               ((Q264*V264)*X264)+
                                               ((Q264*W264)*(X264-(X264*LESS_FOR_L)))
                                    )*IF(R264=0,1,R264))))))+Z264), 0.25)</f>
        <v>100</v>
      </c>
      <c r="Z264" s="25"/>
      <c r="AA264" s="169">
        <f>Y264+Y264*VLOOKUP(I264,EXTRAS_ARRAY,2,FALSE)</f>
        <v>100</v>
      </c>
      <c r="AB264" s="23"/>
      <c r="AC264" s="37"/>
      <c r="AD264" s="26" t="str">
        <f>IF(J264&lt;&gt;"Yes",
IF(S264&lt;=0,"Error: Effort value is not defined or is invalid.",
IF(AND(SUM(U264:W264)&gt;0,SUM(U264:W264)&lt;&gt;1),"Error: Complexity % distribution should sum to 100%.",
IF(AND(P264=AS_DEV_EFFORT,X264&lt;&gt;0),"Error: PDs should not be defined when defining as dev effort %.",
IF(AND(P264=AS_DURATION_EFFORT,X264&lt;&gt;0),"Error: PDs should not be defined when defining as duration effort %.","")))))</f>
        <v/>
      </c>
    </row>
    <row r="265" spans="1:30" ht="87" hidden="1" outlineLevel="2" x14ac:dyDescent="0.35">
      <c r="A265" s="93" t="s">
        <v>0</v>
      </c>
      <c r="B265" s="21"/>
      <c r="C265" s="85"/>
      <c r="D265" s="85"/>
      <c r="E265" s="85"/>
      <c r="F265" s="86"/>
      <c r="G265" s="22" t="s">
        <v>23</v>
      </c>
      <c r="H265" s="22" t="s">
        <v>23</v>
      </c>
      <c r="I265" s="23" t="s">
        <v>23</v>
      </c>
      <c r="J265" s="22" t="s">
        <v>23</v>
      </c>
      <c r="K265" s="38" t="s">
        <v>473</v>
      </c>
      <c r="L265" s="22"/>
      <c r="M265" s="286">
        <f ca="1">IFERROR(OFFSET(M265,-1,,1,1)+0.1,OFFSET(M265,-1,-1,1,1)&amp;".1")</f>
        <v>2.3000000000000003</v>
      </c>
      <c r="N265" s="23" t="s">
        <v>470</v>
      </c>
      <c r="O265" s="23" t="s">
        <v>541</v>
      </c>
      <c r="P265" s="23"/>
      <c r="Q265" s="144">
        <v>50</v>
      </c>
      <c r="R265" s="137">
        <v>2</v>
      </c>
      <c r="S265" s="169">
        <f>CEILING((IF(J265="Yes", 0, IF(H265="-",AA265,AA265+AA265*VLOOKUP(H265,BUFFERS_BY_TYPE,2,FALSE)))) +
   (IF(J265="Yes", 0, IF(H265="-",AA265,AA265+AA265*VLOOKUP(H265,BUFFERS_BY_TYPE,2,FALSE))))*VLOOKUP($S$5, SALES_CALL_SCALE_ARRAY, 2,FALSE),0.25)</f>
        <v>30</v>
      </c>
      <c r="T265" s="170"/>
      <c r="U265" s="24">
        <v>0</v>
      </c>
      <c r="V265" s="24">
        <v>1</v>
      </c>
      <c r="W265" s="24">
        <v>0</v>
      </c>
      <c r="X265" s="168">
        <v>0.3</v>
      </c>
      <c r="Y265" s="169">
        <f>CEILING((IF(P265=AS_DEV_EFFORT, DEV_EFFORT*Q265%,
                           IF(P265=AS_DURATION_EFFORT, (MANUAL_DURATION*5)*Q265%,
                                    (IF(Q265&lt;=1,X265,
                                          IF(SUM(U265:W265)=0,(Q265*X265),
                                               (((Q265*U265)*(X265+(X265*EXTRA_FOR_H)))+
                                               ((Q265*V265)*X265)+
                                               ((Q265*W265)*(X265-(X265*LESS_FOR_L)))
                                    )*IF(R265=0,1,R265))))))+Z265), 0.25)</f>
        <v>30</v>
      </c>
      <c r="Z265" s="25"/>
      <c r="AA265" s="169">
        <f>Y265+Y265*VLOOKUP(I265,EXTRAS_ARRAY,2,FALSE)</f>
        <v>30</v>
      </c>
      <c r="AB265" s="23"/>
      <c r="AC265" s="37"/>
      <c r="AD265" s="26" t="str">
        <f>IF(J265&lt;&gt;"Yes",
IF(S265&lt;=0,"Error: Effort value is not defined or is invalid.",
IF(AND(SUM(U265:W265)&gt;0,SUM(U265:W265)&lt;&gt;1),"Error: Complexity % distribution should sum to 100%.",
IF(AND(P265=AS_DEV_EFFORT,X265&lt;&gt;0),"Error: PDs should not be defined when defining as dev effort %.",
IF(AND(P265=AS_DURATION_EFFORT,X265&lt;&gt;0),"Error: PDs should not be defined when defining as duration effort %.","")))))</f>
        <v/>
      </c>
    </row>
    <row r="266" spans="1:30" ht="43.5" hidden="1" outlineLevel="2" x14ac:dyDescent="0.35">
      <c r="A266" s="93" t="s">
        <v>0</v>
      </c>
      <c r="B266" s="21"/>
      <c r="C266" s="85"/>
      <c r="D266" s="85"/>
      <c r="E266" s="85"/>
      <c r="F266" s="86"/>
      <c r="G266" s="22" t="s">
        <v>23</v>
      </c>
      <c r="H266" s="22" t="s">
        <v>23</v>
      </c>
      <c r="I266" s="23" t="s">
        <v>23</v>
      </c>
      <c r="J266" s="22" t="s">
        <v>23</v>
      </c>
      <c r="K266" s="38"/>
      <c r="L266" s="22"/>
      <c r="M266" s="286">
        <f ca="1">IFERROR(OFFSET(M266,-1,,1,1)+0.1,OFFSET(M266,-1,-1,1,1)&amp;".1")</f>
        <v>2.4000000000000004</v>
      </c>
      <c r="N266" s="23" t="s">
        <v>471</v>
      </c>
      <c r="O266" s="23"/>
      <c r="P266" s="23"/>
      <c r="Q266" s="144"/>
      <c r="R266" s="137"/>
      <c r="S266" s="169">
        <f>CEILING((IF(J266="Yes", 0, IF(H266="-",AA266,AA266+AA266*VLOOKUP(H266,BUFFERS_BY_TYPE,2,FALSE)))) +
   (IF(J266="Yes", 0, IF(H266="-",AA266,AA266+AA266*VLOOKUP(H266,BUFFERS_BY_TYPE,2,FALSE))))*VLOOKUP($S$5, SALES_CALL_SCALE_ARRAY, 2,FALSE),0.25)</f>
        <v>8</v>
      </c>
      <c r="T266" s="170"/>
      <c r="U266" s="24">
        <v>0</v>
      </c>
      <c r="V266" s="24">
        <v>1</v>
      </c>
      <c r="W266" s="24">
        <v>0</v>
      </c>
      <c r="X266" s="168">
        <v>8</v>
      </c>
      <c r="Y266" s="169">
        <f>CEILING((IF(P266=AS_DEV_EFFORT, DEV_EFFORT*Q266%,
                           IF(P266=AS_DURATION_EFFORT, (MANUAL_DURATION*5)*Q266%,
                                    (IF(Q266&lt;=1,X266,
                                          IF(SUM(U266:W266)=0,(Q266*X266),
                                               (((Q266*U266)*(X266+(X266*EXTRA_FOR_H)))+
                                               ((Q266*V266)*X266)+
                                               ((Q266*W266)*(X266-(X266*LESS_FOR_L)))
                                    )*IF(R266=0,1,R266))))))+Z266), 0.25)</f>
        <v>8</v>
      </c>
      <c r="Z266" s="25"/>
      <c r="AA266" s="169">
        <f>Y266+Y266*VLOOKUP(I266,EXTRAS_ARRAY,2,FALSE)</f>
        <v>8</v>
      </c>
      <c r="AB266" s="23" t="s">
        <v>676</v>
      </c>
      <c r="AC266" s="37"/>
      <c r="AD266" s="26" t="str">
        <f>IF(J266&lt;&gt;"Yes",
IF(S266&lt;=0,"Error: Effort value is not defined or is invalid.",
IF(AND(SUM(U266:W266)&gt;0,SUM(U266:W266)&lt;&gt;1),"Error: Complexity % distribution should sum to 100%.",
IF(AND(P266=AS_DEV_EFFORT,X266&lt;&gt;0),"Error: PDs should not be defined when defining as dev effort %.",
IF(AND(P266=AS_DURATION_EFFORT,X266&lt;&gt;0),"Error: PDs should not be defined when defining as duration effort %.","")))))</f>
        <v/>
      </c>
    </row>
    <row r="267" spans="1:30" s="11" customFormat="1" ht="7.5" hidden="1" customHeight="1" outlineLevel="2" x14ac:dyDescent="0.35">
      <c r="A267" s="93" t="s">
        <v>132</v>
      </c>
      <c r="B267" s="18"/>
      <c r="C267" s="78"/>
      <c r="D267" s="78"/>
      <c r="E267" s="78"/>
      <c r="F267" s="78"/>
      <c r="G267" s="10"/>
      <c r="H267" s="10"/>
      <c r="I267" s="10"/>
      <c r="J267" s="10"/>
      <c r="K267" s="10"/>
      <c r="L267" s="10"/>
      <c r="M267" s="287"/>
      <c r="N267" s="10"/>
      <c r="O267" s="10"/>
      <c r="P267" s="10"/>
      <c r="Q267" s="10"/>
      <c r="R267" s="10"/>
      <c r="S267" s="10"/>
      <c r="T267" s="18"/>
      <c r="U267" s="10"/>
      <c r="V267" s="10"/>
      <c r="W267" s="10"/>
      <c r="X267" s="18"/>
      <c r="Y267" s="10"/>
      <c r="Z267" s="10"/>
      <c r="AA267" s="10"/>
      <c r="AB267" s="60"/>
      <c r="AC267" s="60"/>
      <c r="AD267" s="12"/>
    </row>
    <row r="268" spans="1:30" s="17" customFormat="1" ht="15.5" outlineLevel="1" collapsed="1" x14ac:dyDescent="0.35">
      <c r="A268" s="93" t="s">
        <v>100</v>
      </c>
      <c r="B268" s="21"/>
      <c r="C268" s="84"/>
      <c r="D268" s="84"/>
      <c r="E268" s="84"/>
      <c r="F268" s="83"/>
      <c r="G268" s="32"/>
      <c r="H268" s="32"/>
      <c r="I268" s="32"/>
      <c r="J268" s="32"/>
      <c r="K268" s="32"/>
      <c r="L268" s="20">
        <f ca="1">LOOKUP(1000,INDIRECT("L1:"&amp;CELL("address",INDIRECT("R[-1]C",FALSE))))+1</f>
        <v>3</v>
      </c>
      <c r="M268" s="317" t="s">
        <v>481</v>
      </c>
      <c r="N268" s="317"/>
      <c r="O268" s="5"/>
      <c r="P268" s="33"/>
      <c r="Q268" s="33"/>
      <c r="R268" s="33"/>
      <c r="S268" s="33"/>
      <c r="T268" s="167">
        <f>IF($S$6="Exclude", SUMIFS(S269:S272, J269:J272, "&lt;&gt;Yes", G269:G272, "&lt;&gt;Yes"), SUMIFS(S269:S272, J269:J272, "&lt;&gt;Yes"))</f>
        <v>58</v>
      </c>
      <c r="U268" s="33"/>
      <c r="V268" s="33"/>
      <c r="W268" s="33"/>
      <c r="X268" s="34"/>
      <c r="Y268" s="35"/>
      <c r="Z268" s="35"/>
      <c r="AA268" s="35"/>
      <c r="AB268" s="240"/>
      <c r="AC268" s="36"/>
      <c r="AD268" s="26" t="str">
        <f>IF(M268="", "Error: Task name cannot be empty.", "")</f>
        <v/>
      </c>
    </row>
    <row r="269" spans="1:30" s="15" customFormat="1" ht="1.5" hidden="1" customHeight="1" outlineLevel="2" x14ac:dyDescent="0.35">
      <c r="A269" s="93" t="s">
        <v>101</v>
      </c>
      <c r="B269" s="21"/>
      <c r="C269" s="84"/>
      <c r="D269" s="84"/>
      <c r="E269" s="84"/>
      <c r="F269" s="83"/>
      <c r="G269" s="32"/>
      <c r="H269" s="32"/>
      <c r="I269" s="32"/>
      <c r="J269" s="32"/>
      <c r="K269" s="32"/>
      <c r="L269" s="175">
        <f ca="1">L268</f>
        <v>3</v>
      </c>
      <c r="M269" s="176" t="s">
        <v>105</v>
      </c>
      <c r="N269" s="173"/>
      <c r="O269" s="174"/>
      <c r="P269" s="33"/>
      <c r="Q269" s="33"/>
      <c r="R269" s="33"/>
      <c r="S269" s="33"/>
      <c r="T269" s="167"/>
      <c r="U269" s="33"/>
      <c r="V269" s="33"/>
      <c r="W269" s="33"/>
      <c r="X269" s="34"/>
      <c r="Y269" s="35"/>
      <c r="Z269" s="35"/>
      <c r="AA269" s="35"/>
      <c r="AB269" s="36"/>
      <c r="AC269" s="36"/>
      <c r="AD269" s="26"/>
    </row>
    <row r="270" spans="1:30" ht="15.5" hidden="1" outlineLevel="2" x14ac:dyDescent="0.35">
      <c r="A270" s="93" t="s">
        <v>0</v>
      </c>
      <c r="B270" s="21"/>
      <c r="C270" s="85"/>
      <c r="D270" s="85"/>
      <c r="E270" s="85"/>
      <c r="F270" s="86"/>
      <c r="G270" s="22" t="s">
        <v>23</v>
      </c>
      <c r="H270" s="22" t="s">
        <v>23</v>
      </c>
      <c r="I270" s="23" t="s">
        <v>23</v>
      </c>
      <c r="J270" s="22" t="s">
        <v>23</v>
      </c>
      <c r="K270" s="38"/>
      <c r="L270" s="22"/>
      <c r="M270" s="286" t="str">
        <f ca="1">IFERROR(OFFSET(M270,-1,,1,1)+0.1,OFFSET(M270,-1,-1,1,1)&amp;".1")</f>
        <v>3.1</v>
      </c>
      <c r="N270" s="23" t="s">
        <v>482</v>
      </c>
      <c r="O270" s="23"/>
      <c r="P270" s="23"/>
      <c r="Q270" s="144"/>
      <c r="R270" s="137">
        <v>3</v>
      </c>
      <c r="S270" s="169">
        <f>CEILING((IF(J270="Yes", 0, IF(H270="-",AA270,AA270+AA270*VLOOKUP(H270,BUFFERS_BY_TYPE,2,FALSE)))) +
   (IF(J270="Yes", 0, IF(H270="-",AA270,AA270+AA270*VLOOKUP(H270,BUFFERS_BY_TYPE,2,FALSE))))*VLOOKUP($S$5, SALES_CALL_SCALE_ARRAY, 2,FALSE),0.25)</f>
        <v>2</v>
      </c>
      <c r="T270" s="170"/>
      <c r="U270" s="24">
        <v>0</v>
      </c>
      <c r="V270" s="24">
        <v>1</v>
      </c>
      <c r="W270" s="24">
        <v>0</v>
      </c>
      <c r="X270" s="168">
        <v>2</v>
      </c>
      <c r="Y270" s="169">
        <f>CEILING((IF(P270=AS_DEV_EFFORT, DEV_EFFORT*Q270%,
                           IF(P270=AS_DURATION_EFFORT, (MANUAL_DURATION*5)*Q270%,
                                    (IF(Q270&lt;=1,X270,
                                          IF(SUM(U270:W270)=0,(Q270*X270),
                                               (((Q270*U270)*(X270+(X270*EXTRA_FOR_H)))+
                                               ((Q270*V270)*X270)+
                                               ((Q270*W270)*(X270-(X270*LESS_FOR_L)))
                                    )*IF(R270=0,1,R270))))))+Z270), 0.25)</f>
        <v>2</v>
      </c>
      <c r="Z270" s="25"/>
      <c r="AA270" s="169">
        <f>Y270+Y270*VLOOKUP(I270,EXTRAS_ARRAY,2,FALSE)</f>
        <v>2</v>
      </c>
      <c r="AB270" s="23" t="s">
        <v>622</v>
      </c>
      <c r="AC270" s="37"/>
      <c r="AD270" s="26" t="str">
        <f>IF(J270&lt;&gt;"Yes",
IF(S270&lt;=0,"Error: Effort value is not defined or is invalid.",
IF(AND(SUM(U270:W270)&gt;0,SUM(U270:W270)&lt;&gt;1),"Error: Complexity % distribution should sum to 100%.",
IF(AND(P270=AS_DEV_EFFORT,X270&lt;&gt;0),"Error: PDs should not be defined when defining as dev effort %.",
IF(AND(P270=AS_DURATION_EFFORT,X270&lt;&gt;0),"Error: PDs should not be defined when defining as duration effort %.","")))))</f>
        <v/>
      </c>
    </row>
    <row r="271" spans="1:30" ht="29" hidden="1" outlineLevel="2" x14ac:dyDescent="0.35">
      <c r="A271" s="93" t="s">
        <v>0</v>
      </c>
      <c r="B271" s="21"/>
      <c r="C271" s="85"/>
      <c r="D271" s="85"/>
      <c r="E271" s="85"/>
      <c r="F271" s="86"/>
      <c r="G271" s="22" t="s">
        <v>23</v>
      </c>
      <c r="H271" s="22" t="s">
        <v>23</v>
      </c>
      <c r="I271" s="23" t="s">
        <v>23</v>
      </c>
      <c r="J271" s="22" t="s">
        <v>23</v>
      </c>
      <c r="K271" s="38" t="s">
        <v>542</v>
      </c>
      <c r="L271" s="22"/>
      <c r="M271" s="286">
        <f ca="1">IFERROR(OFFSET(M271,-1,,1,1)+0.1,OFFSET(M271,-1,-1,1,1)&amp;".1")</f>
        <v>3.2</v>
      </c>
      <c r="N271" s="23" t="s">
        <v>483</v>
      </c>
      <c r="O271" s="23" t="s">
        <v>623</v>
      </c>
      <c r="P271" s="274">
        <v>0.1</v>
      </c>
      <c r="Q271" s="144">
        <v>50</v>
      </c>
      <c r="R271" s="137">
        <v>4</v>
      </c>
      <c r="S271" s="169">
        <f>CEILING((IF(J271="Yes", 0, IF(H271="-",AA271,AA271+AA271*VLOOKUP(H271,BUFFERS_BY_TYPE,2,FALSE)))) +
   (IF(J271="Yes", 0, IF(H271="-",AA271,AA271+AA271*VLOOKUP(H271,BUFFERS_BY_TYPE,2,FALSE))))*VLOOKUP($S$5, SALES_CALL_SCALE_ARRAY, 2,FALSE),0.25)</f>
        <v>56</v>
      </c>
      <c r="T271" s="170"/>
      <c r="U271" s="24">
        <v>0</v>
      </c>
      <c r="V271" s="24">
        <v>1</v>
      </c>
      <c r="W271" s="24">
        <v>0</v>
      </c>
      <c r="X271" s="168">
        <v>0.28000000000000003</v>
      </c>
      <c r="Y271" s="169">
        <f>CEILING((IF(P271=AS_DEV_EFFORT, DEV_EFFORT*Q271%,
                           IF(P271=AS_DURATION_EFFORT, (MANUAL_DURATION*5)*Q271%,
                                    (IF(Q271&lt;=1,X271,
                                          IF(SUM(U271:W271)=0,(Q271*X271),
                                               (((Q271*U271)*(X271+(X271*EXTRA_FOR_H)))+
                                               ((Q271*V271)*X271)+
                                               ((Q271*W271)*(X271-(X271*LESS_FOR_L)))
                                    )*IF(R271=0,1,R271))))))+Z271), 0.25)</f>
        <v>56</v>
      </c>
      <c r="Z271" s="25"/>
      <c r="AA271" s="169">
        <f>Y271+Y271*VLOOKUP(I271,EXTRAS_ARRAY,2,FALSE)</f>
        <v>56</v>
      </c>
      <c r="AB271" s="23"/>
      <c r="AC271" s="37"/>
      <c r="AD271" s="26" t="str">
        <f>IF(J271&lt;&gt;"Yes",
IF(S271&lt;=0,"Error: Effort value is not defined or is invalid.",
IF(AND(SUM(U271:W271)&gt;0,SUM(U271:W271)&lt;&gt;1),"Error: Complexity % distribution should sum to 100%.",
IF(AND(P271=AS_DEV_EFFORT,X271&lt;&gt;0),"Error: PDs should not be defined when defining as dev effort %.",
IF(AND(P271=AS_DURATION_EFFORT,X271&lt;&gt;0),"Error: PDs should not be defined when defining as duration effort %.","")))))</f>
        <v/>
      </c>
    </row>
    <row r="272" spans="1:30" s="11" customFormat="1" ht="7.5" hidden="1" customHeight="1" outlineLevel="2" x14ac:dyDescent="0.35">
      <c r="A272" s="93" t="s">
        <v>132</v>
      </c>
      <c r="B272" s="18"/>
      <c r="C272" s="78"/>
      <c r="D272" s="78"/>
      <c r="E272" s="78"/>
      <c r="F272" s="78"/>
      <c r="G272" s="10"/>
      <c r="H272" s="10"/>
      <c r="I272" s="10"/>
      <c r="J272" s="10"/>
      <c r="K272" s="10"/>
      <c r="L272" s="10"/>
      <c r="M272" s="287"/>
      <c r="N272" s="10"/>
      <c r="O272" s="10"/>
      <c r="P272" s="10"/>
      <c r="Q272" s="10"/>
      <c r="R272" s="10"/>
      <c r="S272" s="10"/>
      <c r="T272" s="18"/>
      <c r="U272" s="10"/>
      <c r="V272" s="10"/>
      <c r="W272" s="10"/>
      <c r="X272" s="18"/>
      <c r="Y272" s="10"/>
      <c r="Z272" s="10"/>
      <c r="AA272" s="10"/>
      <c r="AB272" s="60"/>
      <c r="AC272" s="60"/>
      <c r="AD272" s="12"/>
    </row>
    <row r="273" spans="1:30" s="17" customFormat="1" ht="15.5" outlineLevel="1" collapsed="1" x14ac:dyDescent="0.35">
      <c r="A273" s="93" t="s">
        <v>100</v>
      </c>
      <c r="B273" s="21"/>
      <c r="C273" s="84"/>
      <c r="D273" s="84"/>
      <c r="E273" s="84"/>
      <c r="F273" s="83"/>
      <c r="G273" s="32"/>
      <c r="H273" s="32"/>
      <c r="I273" s="32"/>
      <c r="J273" s="32"/>
      <c r="K273" s="32"/>
      <c r="L273" s="20">
        <f ca="1">LOOKUP(1000,INDIRECT("L1:"&amp;CELL("address",INDIRECT("R[-1]C",FALSE))))+1</f>
        <v>4</v>
      </c>
      <c r="M273" s="317" t="s">
        <v>698</v>
      </c>
      <c r="N273" s="317"/>
      <c r="O273" s="5"/>
      <c r="P273" s="33"/>
      <c r="Q273" s="33"/>
      <c r="R273" s="33"/>
      <c r="S273" s="33"/>
      <c r="T273" s="167">
        <f>IF($S$6="Exclude", SUMIFS(S274:S278, J274:J278, "&lt;&gt;Yes", G274:G278, "&lt;&gt;Yes"), SUMIFS(S274:S278, J274:J278, "&lt;&gt;Yes"))</f>
        <v>11</v>
      </c>
      <c r="U273" s="33"/>
      <c r="V273" s="33"/>
      <c r="W273" s="33"/>
      <c r="X273" s="34"/>
      <c r="Y273" s="35"/>
      <c r="Z273" s="35"/>
      <c r="AA273" s="35"/>
      <c r="AB273" s="240" t="s">
        <v>443</v>
      </c>
      <c r="AC273" s="36"/>
      <c r="AD273" s="26" t="str">
        <f>IF(M273="", "Error: Task name cannot be empty.", "")</f>
        <v/>
      </c>
    </row>
    <row r="274" spans="1:30" s="15" customFormat="1" ht="1.5" hidden="1" customHeight="1" outlineLevel="2" x14ac:dyDescent="0.35">
      <c r="A274" s="93" t="s">
        <v>101</v>
      </c>
      <c r="B274" s="21"/>
      <c r="C274" s="84"/>
      <c r="D274" s="84"/>
      <c r="E274" s="84"/>
      <c r="F274" s="83"/>
      <c r="G274" s="32"/>
      <c r="H274" s="32"/>
      <c r="I274" s="32"/>
      <c r="J274" s="32"/>
      <c r="K274" s="32"/>
      <c r="L274" s="175">
        <f ca="1">L273</f>
        <v>4</v>
      </c>
      <c r="M274" s="176" t="s">
        <v>105</v>
      </c>
      <c r="N274" s="173"/>
      <c r="O274" s="174"/>
      <c r="P274" s="33"/>
      <c r="Q274" s="33"/>
      <c r="R274" s="33"/>
      <c r="S274" s="33"/>
      <c r="T274" s="167"/>
      <c r="U274" s="33"/>
      <c r="V274" s="33"/>
      <c r="W274" s="33"/>
      <c r="X274" s="34"/>
      <c r="Y274" s="35"/>
      <c r="Z274" s="35"/>
      <c r="AA274" s="35"/>
      <c r="AB274" s="36"/>
      <c r="AC274" s="36"/>
      <c r="AD274" s="26"/>
    </row>
    <row r="275" spans="1:30" ht="43.5" hidden="1" outlineLevel="2" x14ac:dyDescent="0.35">
      <c r="A275" s="93" t="s">
        <v>0</v>
      </c>
      <c r="B275" s="21"/>
      <c r="C275" s="85"/>
      <c r="D275" s="85"/>
      <c r="E275" s="85"/>
      <c r="F275" s="86"/>
      <c r="G275" s="22" t="s">
        <v>23</v>
      </c>
      <c r="H275" s="22" t="s">
        <v>23</v>
      </c>
      <c r="I275" s="23" t="s">
        <v>23</v>
      </c>
      <c r="J275" s="22" t="s">
        <v>23</v>
      </c>
      <c r="K275" s="38"/>
      <c r="L275" s="22"/>
      <c r="M275" s="286" t="str">
        <f ca="1">IFERROR(OFFSET(M275,-1,,1,1)+0.1,OFFSET(M275,-1,-1,1,1)&amp;".1")</f>
        <v>4.1</v>
      </c>
      <c r="N275" s="23" t="s">
        <v>486</v>
      </c>
      <c r="O275" s="23"/>
      <c r="P275" s="23"/>
      <c r="Q275" s="144">
        <v>1</v>
      </c>
      <c r="R275" s="137">
        <v>40</v>
      </c>
      <c r="S275" s="169">
        <f>CEILING((IF(J275="Yes", 0, IF(H275="-",AA275,AA275+AA275*VLOOKUP(H275,BUFFERS_BY_TYPE,2,FALSE)))) +
   (IF(J275="Yes", 0, IF(H275="-",AA275,AA275+AA275*VLOOKUP(H275,BUFFERS_BY_TYPE,2,FALSE))))*VLOOKUP($S$5, SALES_CALL_SCALE_ARRAY, 2,FALSE),0.25)</f>
        <v>7</v>
      </c>
      <c r="T275" s="170"/>
      <c r="U275" s="24">
        <v>0</v>
      </c>
      <c r="V275" s="24">
        <v>1</v>
      </c>
      <c r="W275" s="24">
        <v>0</v>
      </c>
      <c r="X275" s="168">
        <v>7</v>
      </c>
      <c r="Y275" s="169">
        <f>CEILING((IF(P275=AS_DEV_EFFORT, DEV_EFFORT*Q275%,
                           IF(P275=AS_DURATION_EFFORT, (MANUAL_DURATION*5)*Q275%,
                                    (IF(Q275&lt;=1,X275,
                                          IF(SUM(U275:W275)=0,(Q275*X275),
                                               (((Q275*U275)*(X275+(X275*EXTRA_FOR_H)))+
                                               ((Q275*V275)*X275)+
                                               ((Q275*W275)*(X275-(X275*LESS_FOR_L)))
                                    )*IF(R275=0,1,R275))))))+Z275), 0.25)</f>
        <v>7</v>
      </c>
      <c r="Z275" s="25"/>
      <c r="AA275" s="169">
        <f>Y275+Y275*VLOOKUP(I275,EXTRAS_ARRAY,2,FALSE)</f>
        <v>7</v>
      </c>
      <c r="AB275" s="23"/>
      <c r="AC275" s="37"/>
      <c r="AD275" s="26" t="str">
        <f>IF(J275&lt;&gt;"Yes",
IF(S275&lt;=0,"Error: Effort value is not defined or is invalid.",
IF(AND(SUM(U275:W275)&gt;0,SUM(U275:W275)&lt;&gt;1),"Error: Complexity % distribution should sum to 100%.",
IF(AND(P275=AS_DEV_EFFORT,X275&lt;&gt;0),"Error: PDs should not be defined when defining as dev effort %.",
IF(AND(P275=AS_DURATION_EFFORT,X275&lt;&gt;0),"Error: PDs should not be defined when defining as duration effort %.","")))))</f>
        <v/>
      </c>
    </row>
    <row r="276" spans="1:30" ht="43.5" hidden="1" outlineLevel="2" x14ac:dyDescent="0.35">
      <c r="A276" s="93" t="s">
        <v>0</v>
      </c>
      <c r="B276" s="21"/>
      <c r="C276" s="85"/>
      <c r="D276" s="85"/>
      <c r="E276" s="85"/>
      <c r="F276" s="86"/>
      <c r="G276" s="22" t="s">
        <v>23</v>
      </c>
      <c r="H276" s="22" t="s">
        <v>23</v>
      </c>
      <c r="I276" s="23" t="s">
        <v>23</v>
      </c>
      <c r="J276" s="22" t="s">
        <v>23</v>
      </c>
      <c r="K276" s="38"/>
      <c r="L276" s="22"/>
      <c r="M276" s="286">
        <f ca="1">IFERROR(OFFSET(M276,-1,,1,1)+0.1,OFFSET(M276,-1,-1,1,1)&amp;".1")</f>
        <v>4.1999999999999993</v>
      </c>
      <c r="N276" s="23" t="s">
        <v>487</v>
      </c>
      <c r="O276" s="23"/>
      <c r="P276" s="23"/>
      <c r="Q276" s="144">
        <v>1</v>
      </c>
      <c r="R276" s="137">
        <v>40</v>
      </c>
      <c r="S276" s="169">
        <f>CEILING((IF(J276="Yes", 0, IF(H276="-",AA276,AA276+AA276*VLOOKUP(H276,BUFFERS_BY_TYPE,2,FALSE)))) +
   (IF(J276="Yes", 0, IF(H276="-",AA276,AA276+AA276*VLOOKUP(H276,BUFFERS_BY_TYPE,2,FALSE))))*VLOOKUP($S$5, SALES_CALL_SCALE_ARRAY, 2,FALSE),0.25)</f>
        <v>3</v>
      </c>
      <c r="T276" s="170"/>
      <c r="U276" s="24">
        <v>0</v>
      </c>
      <c r="V276" s="24">
        <v>1</v>
      </c>
      <c r="W276" s="24">
        <v>0</v>
      </c>
      <c r="X276" s="168">
        <v>3</v>
      </c>
      <c r="Y276" s="169">
        <f>CEILING((IF(P276=AS_DEV_EFFORT, DEV_EFFORT*Q276%,
                           IF(P276=AS_DURATION_EFFORT, (MANUAL_DURATION*5)*Q276%,
                                    (IF(Q276&lt;=1,X276,
                                          IF(SUM(U276:W276)=0,(Q276*X276),
                                               (((Q276*U276)*(X276+(X276*EXTRA_FOR_H)))+
                                               ((Q276*V276)*X276)+
                                               ((Q276*W276)*(X276-(X276*LESS_FOR_L)))
                                    )*IF(R276=0,1,R276))))))+Z276), 0.25)</f>
        <v>3</v>
      </c>
      <c r="Z276" s="25"/>
      <c r="AA276" s="169">
        <f>Y276+Y276*VLOOKUP(I276,EXTRAS_ARRAY,2,FALSE)</f>
        <v>3</v>
      </c>
      <c r="AB276" s="23"/>
      <c r="AC276" s="37"/>
      <c r="AD276" s="26" t="str">
        <f>IF(J276&lt;&gt;"Yes",
IF(S276&lt;=0,"Error: Effort value is not defined or is invalid.",
IF(AND(SUM(U276:W276)&gt;0,SUM(U276:W276)&lt;&gt;1),"Error: Complexity % distribution should sum to 100%.",
IF(AND(P276=AS_DEV_EFFORT,X276&lt;&gt;0),"Error: PDs should not be defined when defining as dev effort %.",
IF(AND(P276=AS_DURATION_EFFORT,X276&lt;&gt;0),"Error: PDs should not be defined when defining as duration effort %.","")))))</f>
        <v/>
      </c>
    </row>
    <row r="277" spans="1:30" ht="43.5" hidden="1" outlineLevel="2" x14ac:dyDescent="0.35">
      <c r="A277" s="93" t="s">
        <v>0</v>
      </c>
      <c r="B277" s="21"/>
      <c r="C277" s="85"/>
      <c r="D277" s="85"/>
      <c r="E277" s="85"/>
      <c r="F277" s="86"/>
      <c r="G277" s="22" t="s">
        <v>23</v>
      </c>
      <c r="H277" s="22" t="s">
        <v>23</v>
      </c>
      <c r="I277" s="23" t="s">
        <v>23</v>
      </c>
      <c r="J277" s="22" t="s">
        <v>23</v>
      </c>
      <c r="K277" s="38"/>
      <c r="L277" s="22"/>
      <c r="M277" s="286">
        <f ca="1">IFERROR(OFFSET(M277,-1,,1,1)+0.1,OFFSET(M277,-1,-1,1,1)&amp;".1")</f>
        <v>4.2999999999999989</v>
      </c>
      <c r="N277" s="23" t="s">
        <v>488</v>
      </c>
      <c r="O277" s="23"/>
      <c r="P277" s="23"/>
      <c r="Q277" s="144"/>
      <c r="R277" s="137"/>
      <c r="S277" s="169">
        <f>CEILING((IF(J277="Yes", 0, IF(H277="-",AA277,AA277+AA277*VLOOKUP(H277,BUFFERS_BY_TYPE,2,FALSE)))) +
   (IF(J277="Yes", 0, IF(H277="-",AA277,AA277+AA277*VLOOKUP(H277,BUFFERS_BY_TYPE,2,FALSE))))*VLOOKUP($S$5, SALES_CALL_SCALE_ARRAY, 2,FALSE),0.25)</f>
        <v>1</v>
      </c>
      <c r="T277" s="170"/>
      <c r="U277" s="24">
        <v>0</v>
      </c>
      <c r="V277" s="24">
        <v>1</v>
      </c>
      <c r="W277" s="24">
        <v>0</v>
      </c>
      <c r="X277" s="168">
        <v>1</v>
      </c>
      <c r="Y277" s="169">
        <f>CEILING((IF(P277=AS_DEV_EFFORT, DEV_EFFORT*Q277%,
                           IF(P277=AS_DURATION_EFFORT, (MANUAL_DURATION*5)*Q277%,
                                    (IF(Q277&lt;=1,X277,
                                          IF(SUM(U277:W277)=0,(Q277*X277),
                                               (((Q277*U277)*(X277+(X277*EXTRA_FOR_H)))+
                                               ((Q277*V277)*X277)+
                                               ((Q277*W277)*(X277-(X277*LESS_FOR_L)))
                                    )*IF(R277=0,1,R277))))))+Z277), 0.25)</f>
        <v>1</v>
      </c>
      <c r="Z277" s="25"/>
      <c r="AA277" s="169">
        <f>Y277+Y277*VLOOKUP(I277,EXTRAS_ARRAY,2,FALSE)</f>
        <v>1</v>
      </c>
      <c r="AB277" s="23"/>
      <c r="AC277" s="37"/>
      <c r="AD277" s="26" t="str">
        <f>IF(J277&lt;&gt;"Yes",
IF(S277&lt;=0,"Error: Effort value is not defined or is invalid.",
IF(AND(SUM(U277:W277)&gt;0,SUM(U277:W277)&lt;&gt;1),"Error: Complexity % distribution should sum to 100%.",
IF(AND(P277=AS_DEV_EFFORT,X277&lt;&gt;0),"Error: PDs should not be defined when defining as dev effort %.",
IF(AND(P277=AS_DURATION_EFFORT,X277&lt;&gt;0),"Error: PDs should not be defined when defining as duration effort %.","")))))</f>
        <v/>
      </c>
    </row>
    <row r="278" spans="1:30" s="11" customFormat="1" ht="7.5" hidden="1" customHeight="1" outlineLevel="2" x14ac:dyDescent="0.35">
      <c r="A278" s="93" t="s">
        <v>132</v>
      </c>
      <c r="B278" s="18"/>
      <c r="C278" s="78"/>
      <c r="D278" s="78"/>
      <c r="E278" s="78"/>
      <c r="F278" s="78"/>
      <c r="G278" s="10"/>
      <c r="H278" s="10"/>
      <c r="I278" s="10"/>
      <c r="J278" s="10"/>
      <c r="K278" s="10"/>
      <c r="L278" s="10"/>
      <c r="M278" s="287"/>
      <c r="N278" s="10"/>
      <c r="O278" s="10"/>
      <c r="P278" s="10"/>
      <c r="Q278" s="10"/>
      <c r="R278" s="10"/>
      <c r="S278" s="10"/>
      <c r="T278" s="18"/>
      <c r="U278" s="10"/>
      <c r="V278" s="10"/>
      <c r="W278" s="10"/>
      <c r="X278" s="18"/>
      <c r="Y278" s="10"/>
      <c r="Z278" s="10"/>
      <c r="AA278" s="10"/>
      <c r="AB278" s="60"/>
      <c r="AC278" s="60"/>
      <c r="AD278" s="12"/>
    </row>
    <row r="279" spans="1:30" s="17" customFormat="1" ht="15.5" outlineLevel="1" collapsed="1" x14ac:dyDescent="0.35">
      <c r="A279" s="93" t="s">
        <v>100</v>
      </c>
      <c r="B279" s="21"/>
      <c r="C279" s="84"/>
      <c r="D279" s="84"/>
      <c r="E279" s="84"/>
      <c r="F279" s="83"/>
      <c r="G279" s="32"/>
      <c r="H279" s="32"/>
      <c r="I279" s="32"/>
      <c r="J279" s="32"/>
      <c r="K279" s="32"/>
      <c r="L279" s="20">
        <f ca="1">LOOKUP(1000,INDIRECT("L1:"&amp;CELL("address",INDIRECT("R[-1]C",FALSE))))+1</f>
        <v>5</v>
      </c>
      <c r="M279" s="317" t="s">
        <v>484</v>
      </c>
      <c r="N279" s="317"/>
      <c r="O279" s="5"/>
      <c r="P279" s="33"/>
      <c r="Q279" s="33"/>
      <c r="R279" s="33"/>
      <c r="S279" s="33"/>
      <c r="T279" s="167">
        <f>IF($S$6="Exclude", SUMIFS(S280:S285, J280:J285, "&lt;&gt;Yes", G280:G285, "&lt;&gt;Yes"), SUMIFS(S280:S285, J280:J285, "&lt;&gt;Yes"))</f>
        <v>11</v>
      </c>
      <c r="U279" s="33"/>
      <c r="V279" s="33"/>
      <c r="W279" s="33"/>
      <c r="X279" s="34"/>
      <c r="Y279" s="35"/>
      <c r="Z279" s="35"/>
      <c r="AA279" s="35"/>
      <c r="AB279" s="240"/>
      <c r="AC279" s="36"/>
      <c r="AD279" s="26" t="str">
        <f>IF(M279="", "Error: Task name cannot be empty.", "")</f>
        <v/>
      </c>
    </row>
    <row r="280" spans="1:30" s="15" customFormat="1" ht="1.5" hidden="1" customHeight="1" outlineLevel="2" x14ac:dyDescent="0.35">
      <c r="A280" s="93" t="s">
        <v>101</v>
      </c>
      <c r="B280" s="21"/>
      <c r="C280" s="84"/>
      <c r="D280" s="84"/>
      <c r="E280" s="84"/>
      <c r="F280" s="83"/>
      <c r="G280" s="32"/>
      <c r="H280" s="32"/>
      <c r="I280" s="32"/>
      <c r="J280" s="32"/>
      <c r="K280" s="32"/>
      <c r="L280" s="175">
        <f ca="1">L279</f>
        <v>5</v>
      </c>
      <c r="M280" s="176" t="s">
        <v>105</v>
      </c>
      <c r="N280" s="173"/>
      <c r="O280" s="174"/>
      <c r="P280" s="33"/>
      <c r="Q280" s="33"/>
      <c r="R280" s="33"/>
      <c r="S280" s="33"/>
      <c r="T280" s="167"/>
      <c r="U280" s="33"/>
      <c r="V280" s="33"/>
      <c r="W280" s="33"/>
      <c r="X280" s="34"/>
      <c r="Y280" s="35"/>
      <c r="Z280" s="35"/>
      <c r="AA280" s="35"/>
      <c r="AB280" s="36"/>
      <c r="AC280" s="36"/>
      <c r="AD280" s="26"/>
    </row>
    <row r="281" spans="1:30" ht="15.5" hidden="1" outlineLevel="2" x14ac:dyDescent="0.35">
      <c r="A281" s="93" t="s">
        <v>0</v>
      </c>
      <c r="B281" s="21"/>
      <c r="C281" s="85"/>
      <c r="D281" s="85"/>
      <c r="E281" s="85"/>
      <c r="F281" s="86"/>
      <c r="G281" s="22" t="s">
        <v>23</v>
      </c>
      <c r="H281" s="22" t="s">
        <v>23</v>
      </c>
      <c r="I281" s="23" t="s">
        <v>23</v>
      </c>
      <c r="J281" s="22" t="s">
        <v>23</v>
      </c>
      <c r="K281" s="38"/>
      <c r="L281" s="22"/>
      <c r="M281" s="286" t="str">
        <f ca="1">IFERROR(OFFSET(M281,-1,,1,1)+0.1,OFFSET(M281,-1,-1,1,1)&amp;".1")</f>
        <v>5.1</v>
      </c>
      <c r="N281" s="23" t="s">
        <v>485</v>
      </c>
      <c r="O281" s="23"/>
      <c r="P281" s="23" t="s">
        <v>489</v>
      </c>
      <c r="Q281" s="144">
        <v>2</v>
      </c>
      <c r="R281" s="137"/>
      <c r="S281" s="169">
        <f>CEILING((IF(J281="Yes", 0, IF(H281="-",AA281,AA281+AA281*VLOOKUP(H281,BUFFERS_BY_TYPE,2,FALSE)))) +
   (IF(J281="Yes", 0, IF(H281="-",AA281,AA281+AA281*VLOOKUP(H281,BUFFERS_BY_TYPE,2,FALSE))))*VLOOKUP($S$5, SALES_CALL_SCALE_ARRAY, 2,FALSE),0.25)</f>
        <v>1</v>
      </c>
      <c r="T281" s="170"/>
      <c r="U281" s="24">
        <v>0</v>
      </c>
      <c r="V281" s="24">
        <v>1</v>
      </c>
      <c r="W281" s="24">
        <v>0</v>
      </c>
      <c r="X281" s="168">
        <v>0.4</v>
      </c>
      <c r="Y281" s="169">
        <f>CEILING((IF(P281=AS_DEV_EFFORT, DEV_EFFORT*Q281%,
                           IF(P281=AS_DURATION_EFFORT, (MANUAL_DURATION*5)*Q281%,
                                    (IF(Q281&lt;=1,X281,
                                          IF(SUM(U281:W281)=0,(Q281*X281),
                                               (((Q281*U281)*(X281+(X281*EXTRA_FOR_H)))+
                                               ((Q281*V281)*X281)+
                                               ((Q281*W281)*(X281-(X281*LESS_FOR_L)))
                                    )*IF(R281=0,1,R281))))))+Z281), 0.25)</f>
        <v>1</v>
      </c>
      <c r="Z281" s="25"/>
      <c r="AA281" s="169">
        <f>Y281+Y281*VLOOKUP(I281,EXTRAS_ARRAY,2,FALSE)</f>
        <v>1</v>
      </c>
      <c r="AB281" s="23" t="s">
        <v>674</v>
      </c>
      <c r="AC281" s="37"/>
      <c r="AD281" s="26" t="str">
        <f>IF(J281&lt;&gt;"Yes",
IF(S281&lt;=0,"Error: Effort value is not defined or is invalid.",
IF(AND(SUM(U281:W281)&gt;0,SUM(U281:W281)&lt;&gt;1),"Error: Complexity % distribution should sum to 100%.",
IF(AND(P281=AS_DEV_EFFORT,X281&lt;&gt;0),"Error: PDs should not be defined when defining as dev effort %.",
IF(AND(P281=AS_DURATION_EFFORT,X281&lt;&gt;0),"Error: PDs should not be defined when defining as duration effort %.","")))))</f>
        <v/>
      </c>
    </row>
    <row r="282" spans="1:30" ht="29" hidden="1" outlineLevel="2" x14ac:dyDescent="0.35">
      <c r="A282" s="93" t="s">
        <v>0</v>
      </c>
      <c r="B282" s="21"/>
      <c r="C282" s="85"/>
      <c r="D282" s="85"/>
      <c r="E282" s="85"/>
      <c r="F282" s="86"/>
      <c r="G282" s="22" t="s">
        <v>23</v>
      </c>
      <c r="H282" s="22" t="s">
        <v>23</v>
      </c>
      <c r="I282" s="23" t="s">
        <v>23</v>
      </c>
      <c r="J282" s="22" t="s">
        <v>23</v>
      </c>
      <c r="K282" s="38"/>
      <c r="L282" s="22"/>
      <c r="M282" s="286">
        <f ca="1">IFERROR(OFFSET(M282,-1,,1,1)+0.1,OFFSET(M282,-1,-1,1,1)&amp;".1")</f>
        <v>5.1999999999999993</v>
      </c>
      <c r="N282" s="23" t="s">
        <v>486</v>
      </c>
      <c r="O282" s="23"/>
      <c r="P282" s="23" t="s">
        <v>474</v>
      </c>
      <c r="Q282" s="144">
        <v>10</v>
      </c>
      <c r="R282" s="137"/>
      <c r="S282" s="169">
        <f>CEILING((IF(J282="Yes", 0, IF(H282="-",AA282,AA282+AA282*VLOOKUP(H282,BUFFERS_BY_TYPE,2,FALSE)))) +
   (IF(J282="Yes", 0, IF(H282="-",AA282,AA282+AA282*VLOOKUP(H282,BUFFERS_BY_TYPE,2,FALSE))))*VLOOKUP($S$5, SALES_CALL_SCALE_ARRAY, 2,FALSE),0.25)</f>
        <v>4</v>
      </c>
      <c r="T282" s="170"/>
      <c r="U282" s="24">
        <v>0</v>
      </c>
      <c r="V282" s="24">
        <v>1</v>
      </c>
      <c r="W282" s="24">
        <v>0</v>
      </c>
      <c r="X282" s="168">
        <v>0.4</v>
      </c>
      <c r="Y282" s="169">
        <f>CEILING((IF(P282=AS_DEV_EFFORT, DEV_EFFORT*Q282%,
                           IF(P282=AS_DURATION_EFFORT, (MANUAL_DURATION*5)*Q282%,
                                    (IF(Q282&lt;=1,X282,
                                          IF(SUM(U282:W282)=0,(Q282*X282),
                                               (((Q282*U282)*(X282+(X282*EXTRA_FOR_H)))+
                                               ((Q282*V282)*X282)+
                                               ((Q282*W282)*(X282-(X282*LESS_FOR_L)))
                                    )*IF(R282=0,1,R282))))))+Z282), 0.25)</f>
        <v>4</v>
      </c>
      <c r="Z282" s="25"/>
      <c r="AA282" s="169">
        <f>Y282+Y282*VLOOKUP(I282,EXTRAS_ARRAY,2,FALSE)</f>
        <v>4</v>
      </c>
      <c r="AB282" s="23" t="s">
        <v>624</v>
      </c>
      <c r="AC282" s="37"/>
      <c r="AD282" s="26" t="str">
        <f>IF(J282&lt;&gt;"Yes",
IF(S282&lt;=0,"Error: Effort value is not defined or is invalid.",
IF(AND(SUM(U282:W282)&gt;0,SUM(U282:W282)&lt;&gt;1),"Error: Complexity % distribution should sum to 100%.",
IF(AND(P282=AS_DEV_EFFORT,X282&lt;&gt;0),"Error: PDs should not be defined when defining as dev effort %.",
IF(AND(P282=AS_DURATION_EFFORT,X282&lt;&gt;0),"Error: PDs should not be defined when defining as duration effort %.","")))))</f>
        <v/>
      </c>
    </row>
    <row r="283" spans="1:30" ht="15.5" hidden="1" outlineLevel="2" x14ac:dyDescent="0.35">
      <c r="A283" s="93" t="s">
        <v>0</v>
      </c>
      <c r="B283" s="21"/>
      <c r="C283" s="85"/>
      <c r="D283" s="85"/>
      <c r="E283" s="85"/>
      <c r="F283" s="86"/>
      <c r="G283" s="22" t="s">
        <v>23</v>
      </c>
      <c r="H283" s="22" t="s">
        <v>23</v>
      </c>
      <c r="I283" s="23" t="s">
        <v>23</v>
      </c>
      <c r="J283" s="22" t="s">
        <v>23</v>
      </c>
      <c r="K283" s="38"/>
      <c r="L283" s="22"/>
      <c r="M283" s="286">
        <f ca="1">IFERROR(OFFSET(M283,-1,,1,1)+0.1,OFFSET(M283,-1,-1,1,1)&amp;".1")</f>
        <v>5.2999999999999989</v>
      </c>
      <c r="N283" s="23" t="s">
        <v>487</v>
      </c>
      <c r="O283" s="23"/>
      <c r="P283" s="23" t="s">
        <v>474</v>
      </c>
      <c r="Q283" s="144">
        <v>10</v>
      </c>
      <c r="R283" s="137">
        <v>2</v>
      </c>
      <c r="S283" s="169">
        <f>CEILING((IF(J283="Yes", 0, IF(H283="-",AA283,AA283+AA283*VLOOKUP(H283,BUFFERS_BY_TYPE,2,FALSE)))) +
   (IF(J283="Yes", 0, IF(H283="-",AA283,AA283+AA283*VLOOKUP(H283,BUFFERS_BY_TYPE,2,FALSE))))*VLOOKUP($S$5, SALES_CALL_SCALE_ARRAY, 2,FALSE),0.25)</f>
        <v>3</v>
      </c>
      <c r="T283" s="170"/>
      <c r="U283" s="24">
        <v>0</v>
      </c>
      <c r="V283" s="24">
        <v>1</v>
      </c>
      <c r="W283" s="24">
        <v>0</v>
      </c>
      <c r="X283" s="168">
        <v>0.15</v>
      </c>
      <c r="Y283" s="169">
        <f>CEILING((IF(P283=AS_DEV_EFFORT, DEV_EFFORT*Q283%,
                           IF(P283=AS_DURATION_EFFORT, (MANUAL_DURATION*5)*Q283%,
                                    (IF(Q283&lt;=1,X283,
                                          IF(SUM(U283:W283)=0,(Q283*X283),
                                               (((Q283*U283)*(X283+(X283*EXTRA_FOR_H)))+
                                               ((Q283*V283)*X283)+
                                               ((Q283*W283)*(X283-(X283*LESS_FOR_L)))
                                    )*IF(R283=0,1,R283))))))+Z283), 0.25)</f>
        <v>3</v>
      </c>
      <c r="Z283" s="25"/>
      <c r="AA283" s="169">
        <f>Y283+Y283*VLOOKUP(I283,EXTRAS_ARRAY,2,FALSE)</f>
        <v>3</v>
      </c>
      <c r="AB283" s="23"/>
      <c r="AC283" s="37"/>
      <c r="AD283" s="26" t="str">
        <f>IF(J283&lt;&gt;"Yes",
IF(S283&lt;=0,"Error: Effort value is not defined or is invalid.",
IF(AND(SUM(U283:W283)&gt;0,SUM(U283:W283)&lt;&gt;1),"Error: Complexity % distribution should sum to 100%.",
IF(AND(P283=AS_DEV_EFFORT,X283&lt;&gt;0),"Error: PDs should not be defined when defining as dev effort %.",
IF(AND(P283=AS_DURATION_EFFORT,X283&lt;&gt;0),"Error: PDs should not be defined when defining as duration effort %.","")))))</f>
        <v/>
      </c>
    </row>
    <row r="284" spans="1:30" ht="15.5" hidden="1" outlineLevel="2" x14ac:dyDescent="0.35">
      <c r="A284" s="93" t="s">
        <v>0</v>
      </c>
      <c r="B284" s="21"/>
      <c r="C284" s="85"/>
      <c r="D284" s="85"/>
      <c r="E284" s="85"/>
      <c r="F284" s="86"/>
      <c r="G284" s="22" t="s">
        <v>23</v>
      </c>
      <c r="H284" s="22" t="s">
        <v>23</v>
      </c>
      <c r="I284" s="23" t="s">
        <v>23</v>
      </c>
      <c r="J284" s="22" t="s">
        <v>23</v>
      </c>
      <c r="K284" s="38"/>
      <c r="L284" s="22"/>
      <c r="M284" s="286">
        <f ca="1">IFERROR(OFFSET(M284,-1,,1,1)+0.1,OFFSET(M284,-1,-1,1,1)&amp;".1")</f>
        <v>5.3999999999999986</v>
      </c>
      <c r="N284" s="23" t="s">
        <v>488</v>
      </c>
      <c r="O284" s="23"/>
      <c r="P284" s="23"/>
      <c r="Q284" s="144"/>
      <c r="R284" s="137"/>
      <c r="S284" s="169">
        <f>CEILING((IF(J284="Yes", 0, IF(H284="-",AA284,AA284+AA284*VLOOKUP(H284,BUFFERS_BY_TYPE,2,FALSE)))) +
   (IF(J284="Yes", 0, IF(H284="-",AA284,AA284+AA284*VLOOKUP(H284,BUFFERS_BY_TYPE,2,FALSE))))*VLOOKUP($S$5, SALES_CALL_SCALE_ARRAY, 2,FALSE),0.25)</f>
        <v>3</v>
      </c>
      <c r="T284" s="170"/>
      <c r="U284" s="24">
        <v>0</v>
      </c>
      <c r="V284" s="24">
        <v>1</v>
      </c>
      <c r="W284" s="24">
        <v>0</v>
      </c>
      <c r="X284" s="168">
        <v>3</v>
      </c>
      <c r="Y284" s="169">
        <f>CEILING((IF(P284=AS_DEV_EFFORT, DEV_EFFORT*Q284%,
                           IF(P284=AS_DURATION_EFFORT, (MANUAL_DURATION*5)*Q284%,
                                    (IF(Q284&lt;=1,X284,
                                          IF(SUM(U284:W284)=0,(Q284*X284),
                                               (((Q284*U284)*(X284+(X284*EXTRA_FOR_H)))+
                                               ((Q284*V284)*X284)+
                                               ((Q284*W284)*(X284-(X284*LESS_FOR_L)))
                                    )*IF(R284=0,1,R284))))))+Z284), 0.25)</f>
        <v>3</v>
      </c>
      <c r="Z284" s="25"/>
      <c r="AA284" s="169">
        <f>Y284+Y284*VLOOKUP(I284,EXTRAS_ARRAY,2,FALSE)</f>
        <v>3</v>
      </c>
      <c r="AB284" s="23"/>
      <c r="AC284" s="37"/>
      <c r="AD284" s="26" t="str">
        <f>IF(J284&lt;&gt;"Yes",
IF(S284&lt;=0,"Error: Effort value is not defined or is invalid.",
IF(AND(SUM(U284:W284)&gt;0,SUM(U284:W284)&lt;&gt;1),"Error: Complexity % distribution should sum to 100%.",
IF(AND(P284=AS_DEV_EFFORT,X284&lt;&gt;0),"Error: PDs should not be defined when defining as dev effort %.",
IF(AND(P284=AS_DURATION_EFFORT,X284&lt;&gt;0),"Error: PDs should not be defined when defining as duration effort %.","")))))</f>
        <v/>
      </c>
    </row>
    <row r="285" spans="1:30" s="11" customFormat="1" ht="7.5" hidden="1" customHeight="1" outlineLevel="2" x14ac:dyDescent="0.35">
      <c r="A285" s="93" t="s">
        <v>132</v>
      </c>
      <c r="B285" s="18"/>
      <c r="C285" s="78"/>
      <c r="D285" s="78"/>
      <c r="E285" s="78"/>
      <c r="F285" s="78"/>
      <c r="G285" s="10"/>
      <c r="H285" s="10"/>
      <c r="I285" s="10"/>
      <c r="J285" s="10"/>
      <c r="K285" s="10"/>
      <c r="L285" s="10"/>
      <c r="M285" s="287"/>
      <c r="N285" s="10"/>
      <c r="O285" s="10"/>
      <c r="P285" s="10"/>
      <c r="Q285" s="10"/>
      <c r="R285" s="10"/>
      <c r="S285" s="10"/>
      <c r="T285" s="18"/>
      <c r="U285" s="10"/>
      <c r="V285" s="10"/>
      <c r="W285" s="10"/>
      <c r="X285" s="18"/>
      <c r="Y285" s="10"/>
      <c r="Z285" s="10"/>
      <c r="AA285" s="10"/>
      <c r="AB285" s="60"/>
      <c r="AC285" s="60"/>
      <c r="AD285" s="12"/>
    </row>
    <row r="286" spans="1:30" s="17" customFormat="1" ht="15.5" outlineLevel="1" collapsed="1" x14ac:dyDescent="0.35">
      <c r="A286" s="93" t="s">
        <v>100</v>
      </c>
      <c r="B286" s="21"/>
      <c r="C286" s="84"/>
      <c r="D286" s="84"/>
      <c r="E286" s="84"/>
      <c r="F286" s="83"/>
      <c r="G286" s="32"/>
      <c r="H286" s="32"/>
      <c r="I286" s="32"/>
      <c r="J286" s="32"/>
      <c r="K286" s="32"/>
      <c r="L286" s="20">
        <f ca="1">LOOKUP(1000,INDIRECT("L1:"&amp;CELL("address",INDIRECT("R[-1]C",FALSE))))+1</f>
        <v>6</v>
      </c>
      <c r="M286" s="317" t="s">
        <v>490</v>
      </c>
      <c r="N286" s="317"/>
      <c r="O286" s="5"/>
      <c r="P286" s="33"/>
      <c r="Q286" s="33"/>
      <c r="R286" s="33"/>
      <c r="S286" s="33"/>
      <c r="T286" s="167">
        <f>IF($S$6="Exclude", SUMIFS(S287:S292, J287:J292, "&lt;&gt;Yes", G287:G292, "&lt;&gt;Yes"), SUMIFS(S287:S292, J287:J292, "&lt;&gt;Yes"))</f>
        <v>32</v>
      </c>
      <c r="U286" s="33"/>
      <c r="V286" s="33"/>
      <c r="W286" s="33"/>
      <c r="X286" s="34"/>
      <c r="Y286" s="35"/>
      <c r="Z286" s="35"/>
      <c r="AA286" s="35"/>
      <c r="AB286" s="240"/>
      <c r="AC286" s="36"/>
      <c r="AD286" s="26" t="str">
        <f>IF(M286="", "Error: Task name cannot be empty.", "")</f>
        <v/>
      </c>
    </row>
    <row r="287" spans="1:30" s="15" customFormat="1" ht="1.5" hidden="1" customHeight="1" outlineLevel="2" x14ac:dyDescent="0.35">
      <c r="A287" s="93" t="s">
        <v>101</v>
      </c>
      <c r="B287" s="21"/>
      <c r="C287" s="84"/>
      <c r="D287" s="84"/>
      <c r="E287" s="84"/>
      <c r="F287" s="83"/>
      <c r="G287" s="32"/>
      <c r="H287" s="32"/>
      <c r="I287" s="32"/>
      <c r="J287" s="32"/>
      <c r="K287" s="32"/>
      <c r="L287" s="175">
        <f ca="1">L286</f>
        <v>6</v>
      </c>
      <c r="M287" s="176" t="s">
        <v>105</v>
      </c>
      <c r="N287" s="173"/>
      <c r="O287" s="174"/>
      <c r="P287" s="33"/>
      <c r="Q287" s="33"/>
      <c r="R287" s="33"/>
      <c r="S287" s="33"/>
      <c r="T287" s="167"/>
      <c r="U287" s="33"/>
      <c r="V287" s="33"/>
      <c r="W287" s="33"/>
      <c r="X287" s="34"/>
      <c r="Y287" s="35"/>
      <c r="Z287" s="35"/>
      <c r="AA287" s="35"/>
      <c r="AB287" s="36"/>
      <c r="AC287" s="36"/>
      <c r="AD287" s="26"/>
    </row>
    <row r="288" spans="1:30" ht="15.5" hidden="1" outlineLevel="2" x14ac:dyDescent="0.35">
      <c r="A288" s="93" t="s">
        <v>0</v>
      </c>
      <c r="B288" s="21"/>
      <c r="C288" s="85"/>
      <c r="D288" s="85"/>
      <c r="E288" s="85"/>
      <c r="F288" s="86"/>
      <c r="G288" s="22" t="s">
        <v>23</v>
      </c>
      <c r="H288" s="22" t="s">
        <v>23</v>
      </c>
      <c r="I288" s="23" t="s">
        <v>23</v>
      </c>
      <c r="J288" s="22" t="s">
        <v>23</v>
      </c>
      <c r="K288" s="38"/>
      <c r="L288" s="22"/>
      <c r="M288" s="286" t="str">
        <f t="shared" ref="M288:M290" ca="1" si="30">IFERROR(OFFSET(M288,-1,,1,1)+0.1,OFFSET(M288,-1,-1,1,1)&amp;".1")</f>
        <v>6.1</v>
      </c>
      <c r="N288" s="23" t="s">
        <v>491</v>
      </c>
      <c r="O288" s="23"/>
      <c r="P288" s="23"/>
      <c r="Q288" s="144">
        <v>1</v>
      </c>
      <c r="R288" s="137">
        <v>3</v>
      </c>
      <c r="S288" s="169">
        <f t="shared" ref="S288:S290" si="31">CEILING((IF(J288="Yes", 0, IF(H288="-",AA288,AA288+AA288*VLOOKUP(H288,BUFFERS_BY_TYPE,2,FALSE)))) +
   (IF(J288="Yes", 0, IF(H288="-",AA288,AA288+AA288*VLOOKUP(H288,BUFFERS_BY_TYPE,2,FALSE))))*VLOOKUP($S$5, SALES_CALL_SCALE_ARRAY, 2,FALSE),0.25)</f>
        <v>7</v>
      </c>
      <c r="T288" s="170"/>
      <c r="U288" s="24">
        <v>0</v>
      </c>
      <c r="V288" s="24">
        <v>1</v>
      </c>
      <c r="W288" s="24">
        <v>0</v>
      </c>
      <c r="X288" s="168">
        <v>7</v>
      </c>
      <c r="Y288" s="169">
        <f t="shared" ref="Y288:Y290" si="32">CEILING((IF(P288=AS_DEV_EFFORT, DEV_EFFORT*Q288%,
                           IF(P288=AS_DURATION_EFFORT, (MANUAL_DURATION*5)*Q288%,
                                    (IF(Q288&lt;=1,X288,
                                          IF(SUM(U288:W288)=0,(Q288*X288),
                                               (((Q288*U288)*(X288+(X288*EXTRA_FOR_H)))+
                                               ((Q288*V288)*X288)+
                                               ((Q288*W288)*(X288-(X288*LESS_FOR_L)))
                                    )*IF(R288=0,1,R288))))))+Z288), 0.25)</f>
        <v>7</v>
      </c>
      <c r="Z288" s="25"/>
      <c r="AA288" s="169">
        <f t="shared" ref="AA288:AA290" si="33">Y288+Y288*VLOOKUP(I288,EXTRAS_ARRAY,2,FALSE)</f>
        <v>7</v>
      </c>
      <c r="AB288" s="23"/>
      <c r="AC288" s="37"/>
      <c r="AD288" s="26" t="str">
        <f t="shared" ref="AD288:AD290" si="34">IF(J288&lt;&gt;"Yes",
IF(S288&lt;=0,"Error: Effort value is not defined or is invalid.",
IF(AND(SUM(U288:W288)&gt;0,SUM(U288:W288)&lt;&gt;1),"Error: Complexity % distribution should sum to 100%.",
IF(AND(P288=AS_DEV_EFFORT,X288&lt;&gt;0),"Error: PDs should not be defined when defining as dev effort %.",
IF(AND(P288=AS_DURATION_EFFORT,X288&lt;&gt;0),"Error: PDs should not be defined when defining as duration effort %.","")))))</f>
        <v/>
      </c>
    </row>
    <row r="289" spans="1:30" ht="15.5" hidden="1" outlineLevel="2" x14ac:dyDescent="0.35">
      <c r="A289" s="93" t="s">
        <v>0</v>
      </c>
      <c r="B289" s="21"/>
      <c r="C289" s="85"/>
      <c r="D289" s="85"/>
      <c r="E289" s="85"/>
      <c r="F289" s="86"/>
      <c r="G289" s="22" t="s">
        <v>23</v>
      </c>
      <c r="H289" s="22" t="s">
        <v>23</v>
      </c>
      <c r="I289" s="23" t="s">
        <v>23</v>
      </c>
      <c r="J289" s="22" t="s">
        <v>23</v>
      </c>
      <c r="K289" s="38"/>
      <c r="L289" s="22"/>
      <c r="M289" s="286">
        <f t="shared" ca="1" si="30"/>
        <v>6.1999999999999993</v>
      </c>
      <c r="N289" s="23" t="s">
        <v>577</v>
      </c>
      <c r="O289" s="23"/>
      <c r="P289" s="23"/>
      <c r="Q289" s="144">
        <v>1</v>
      </c>
      <c r="R289" s="137">
        <v>2</v>
      </c>
      <c r="S289" s="169">
        <f t="shared" si="31"/>
        <v>15</v>
      </c>
      <c r="T289" s="170"/>
      <c r="U289" s="24">
        <v>0</v>
      </c>
      <c r="V289" s="24">
        <v>1</v>
      </c>
      <c r="W289" s="24">
        <v>0</v>
      </c>
      <c r="X289" s="168">
        <v>15</v>
      </c>
      <c r="Y289" s="169">
        <f t="shared" si="32"/>
        <v>15</v>
      </c>
      <c r="Z289" s="25"/>
      <c r="AA289" s="169">
        <f t="shared" si="33"/>
        <v>15</v>
      </c>
      <c r="AB289" s="23"/>
      <c r="AC289" s="37"/>
      <c r="AD289" s="26" t="str">
        <f t="shared" si="34"/>
        <v/>
      </c>
    </row>
    <row r="290" spans="1:30" ht="15.5" hidden="1" outlineLevel="2" x14ac:dyDescent="0.35">
      <c r="A290" s="93" t="s">
        <v>0</v>
      </c>
      <c r="B290" s="21"/>
      <c r="C290" s="85"/>
      <c r="D290" s="85"/>
      <c r="E290" s="85"/>
      <c r="F290" s="86"/>
      <c r="G290" s="22" t="s">
        <v>6</v>
      </c>
      <c r="H290" s="22" t="s">
        <v>23</v>
      </c>
      <c r="I290" s="23" t="s">
        <v>23</v>
      </c>
      <c r="J290" s="22" t="s">
        <v>23</v>
      </c>
      <c r="K290" s="38"/>
      <c r="L290" s="22"/>
      <c r="M290" s="286">
        <f t="shared" ca="1" si="30"/>
        <v>6.2999999999999989</v>
      </c>
      <c r="N290" s="23" t="s">
        <v>544</v>
      </c>
      <c r="O290" s="23"/>
      <c r="P290" s="23"/>
      <c r="Q290" s="144"/>
      <c r="R290" s="137"/>
      <c r="S290" s="169">
        <f t="shared" si="31"/>
        <v>5</v>
      </c>
      <c r="T290" s="170"/>
      <c r="U290" s="24">
        <v>0</v>
      </c>
      <c r="V290" s="24">
        <v>1</v>
      </c>
      <c r="W290" s="24">
        <v>0</v>
      </c>
      <c r="X290" s="168">
        <v>5</v>
      </c>
      <c r="Y290" s="169">
        <f t="shared" si="32"/>
        <v>5</v>
      </c>
      <c r="Z290" s="25"/>
      <c r="AA290" s="169">
        <f t="shared" si="33"/>
        <v>5</v>
      </c>
      <c r="AB290" s="23"/>
      <c r="AC290" s="37"/>
      <c r="AD290" s="26" t="str">
        <f t="shared" si="34"/>
        <v/>
      </c>
    </row>
    <row r="291" spans="1:30" ht="15.5" hidden="1" outlineLevel="2" x14ac:dyDescent="0.35">
      <c r="A291" s="93" t="s">
        <v>0</v>
      </c>
      <c r="B291" s="21"/>
      <c r="C291" s="85"/>
      <c r="D291" s="85"/>
      <c r="E291" s="85"/>
      <c r="F291" s="86"/>
      <c r="G291" s="22" t="s">
        <v>23</v>
      </c>
      <c r="H291" s="22" t="s">
        <v>23</v>
      </c>
      <c r="I291" s="23" t="s">
        <v>23</v>
      </c>
      <c r="J291" s="22" t="s">
        <v>23</v>
      </c>
      <c r="K291" s="38"/>
      <c r="L291" s="22"/>
      <c r="M291" s="286">
        <f ca="1">IFERROR(OFFSET(M291,-1,,1,1)+0.1,OFFSET(M291,-1,-1,1,1)&amp;".1")</f>
        <v>6.3999999999999986</v>
      </c>
      <c r="N291" s="23" t="s">
        <v>625</v>
      </c>
      <c r="O291" s="23"/>
      <c r="P291" s="23"/>
      <c r="Q291" s="144"/>
      <c r="R291" s="137"/>
      <c r="S291" s="169">
        <f>CEILING((IF(J291="Yes", 0, IF(H291="-",AA291,AA291+AA291*VLOOKUP(H291,BUFFERS_BY_TYPE,2,FALSE)))) +
   (IF(J291="Yes", 0, IF(H291="-",AA291,AA291+AA291*VLOOKUP(H291,BUFFERS_BY_TYPE,2,FALSE))))*VLOOKUP($S$5, SALES_CALL_SCALE_ARRAY, 2,FALSE),0.25)</f>
        <v>5</v>
      </c>
      <c r="T291" s="170"/>
      <c r="U291" s="24">
        <v>0</v>
      </c>
      <c r="V291" s="24">
        <v>1</v>
      </c>
      <c r="W291" s="24">
        <v>0</v>
      </c>
      <c r="X291" s="168">
        <v>5</v>
      </c>
      <c r="Y291" s="169">
        <f>CEILING((IF(P291=AS_DEV_EFFORT, DEV_EFFORT*Q291%,
                           IF(P291=AS_DURATION_EFFORT, (MANUAL_DURATION*5)*Q291%,
                                    (IF(Q291&lt;=1,X291,
                                          IF(SUM(U291:W291)=0,(Q291*X291),
                                               (((Q291*U291)*(X291+(X291*EXTRA_FOR_H)))+
                                               ((Q291*V291)*X291)+
                                               ((Q291*W291)*(X291-(X291*LESS_FOR_L)))
                                    )*IF(R291=0,1,R291))))))+Z291), 0.25)</f>
        <v>5</v>
      </c>
      <c r="Z291" s="25"/>
      <c r="AA291" s="169">
        <f>Y291+Y291*VLOOKUP(I291,EXTRAS_ARRAY,2,FALSE)</f>
        <v>5</v>
      </c>
      <c r="AB291" s="23"/>
      <c r="AC291" s="37"/>
      <c r="AD291" s="26" t="str">
        <f>IF(J291&lt;&gt;"Yes",
IF(S291&lt;=0,"Error: Effort value is not defined or is invalid.",
IF(AND(SUM(U291:W291)&gt;0,SUM(U291:W291)&lt;&gt;1),"Error: Complexity % distribution should sum to 100%.",
IF(AND(P291=AS_DEV_EFFORT,X291&lt;&gt;0),"Error: PDs should not be defined when defining as dev effort %.",
IF(AND(P291=AS_DURATION_EFFORT,X291&lt;&gt;0),"Error: PDs should not be defined when defining as duration effort %.","")))))</f>
        <v/>
      </c>
    </row>
    <row r="292" spans="1:30" s="11" customFormat="1" ht="7.5" hidden="1" customHeight="1" outlineLevel="2" x14ac:dyDescent="0.35">
      <c r="A292" s="93" t="s">
        <v>132</v>
      </c>
      <c r="B292" s="18"/>
      <c r="C292" s="78"/>
      <c r="D292" s="78"/>
      <c r="E292" s="78"/>
      <c r="F292" s="78"/>
      <c r="G292" s="10"/>
      <c r="H292" s="10"/>
      <c r="I292" s="10"/>
      <c r="J292" s="10"/>
      <c r="K292" s="10"/>
      <c r="L292" s="10"/>
      <c r="M292" s="287"/>
      <c r="N292" s="10"/>
      <c r="O292" s="10"/>
      <c r="P292" s="10"/>
      <c r="Q292" s="10"/>
      <c r="R292" s="10"/>
      <c r="S292" s="10"/>
      <c r="T292" s="18"/>
      <c r="U292" s="10"/>
      <c r="V292" s="10"/>
      <c r="W292" s="10"/>
      <c r="X292" s="18"/>
      <c r="Y292" s="10"/>
      <c r="Z292" s="10"/>
      <c r="AA292" s="10"/>
      <c r="AB292" s="60"/>
      <c r="AC292" s="60"/>
      <c r="AD292" s="12"/>
    </row>
    <row r="293" spans="1:30" s="11" customFormat="1" ht="3" customHeight="1" outlineLevel="1" x14ac:dyDescent="0.35">
      <c r="A293" s="93" t="s">
        <v>102</v>
      </c>
      <c r="B293" s="10"/>
      <c r="C293" s="78"/>
      <c r="D293" s="78"/>
      <c r="E293" s="78"/>
      <c r="F293" s="78"/>
      <c r="G293" s="59"/>
      <c r="H293" s="59"/>
      <c r="I293" s="59"/>
      <c r="J293" s="59"/>
      <c r="K293" s="59"/>
      <c r="L293" s="61"/>
      <c r="M293" s="288"/>
      <c r="N293" s="62"/>
      <c r="O293" s="62"/>
      <c r="P293" s="61"/>
      <c r="Q293" s="61"/>
      <c r="R293" s="61"/>
      <c r="S293" s="61"/>
      <c r="T293" s="61"/>
      <c r="U293" s="61"/>
      <c r="V293" s="61"/>
      <c r="W293" s="61"/>
      <c r="X293" s="61"/>
      <c r="Y293" s="61"/>
      <c r="Z293" s="61"/>
      <c r="AA293" s="61"/>
      <c r="AB293" s="62"/>
      <c r="AC293" s="62"/>
      <c r="AD293" s="12"/>
    </row>
    <row r="294" spans="1:30" s="17" customFormat="1" ht="18.5" collapsed="1" x14ac:dyDescent="0.35">
      <c r="A294" s="93" t="s">
        <v>98</v>
      </c>
      <c r="B294" s="14"/>
      <c r="C294" s="79"/>
      <c r="D294" s="79"/>
      <c r="E294" s="79"/>
      <c r="F294" s="78"/>
      <c r="G294" s="55"/>
      <c r="H294" s="55"/>
      <c r="I294" s="55"/>
      <c r="J294" s="55"/>
      <c r="K294" s="55"/>
      <c r="L294" s="55" t="s">
        <v>71</v>
      </c>
      <c r="M294" s="284" t="s">
        <v>75</v>
      </c>
      <c r="N294" s="56"/>
      <c r="O294" s="57"/>
      <c r="P294" s="58"/>
      <c r="Q294" s="58"/>
      <c r="R294" s="58"/>
      <c r="S294" s="339">
        <f>CEILING(SUMIF(J295:J323, "&lt;&gt;Yes", T295:T323),1)</f>
        <v>48</v>
      </c>
      <c r="T294" s="339"/>
      <c r="U294" s="58"/>
      <c r="V294" s="58"/>
      <c r="W294" s="58"/>
      <c r="X294" s="58"/>
      <c r="Y294" s="58"/>
      <c r="Z294" s="58"/>
      <c r="AA294" s="58"/>
      <c r="AB294" s="58"/>
      <c r="AC294" s="58"/>
      <c r="AD294" s="16"/>
    </row>
    <row r="295" spans="1:30" s="11" customFormat="1" ht="3" hidden="1" customHeight="1" outlineLevel="1" x14ac:dyDescent="0.35">
      <c r="A295" s="93" t="s">
        <v>99</v>
      </c>
      <c r="B295" s="18"/>
      <c r="C295" s="78"/>
      <c r="D295" s="78"/>
      <c r="E295" s="78"/>
      <c r="F295" s="78"/>
      <c r="G295" s="28"/>
      <c r="H295" s="28"/>
      <c r="I295" s="28"/>
      <c r="J295" s="28"/>
      <c r="K295" s="28"/>
      <c r="L295" s="29">
        <v>0</v>
      </c>
      <c r="M295" s="285"/>
      <c r="N295" s="28"/>
      <c r="O295" s="28"/>
      <c r="P295" s="28"/>
      <c r="Q295" s="28"/>
      <c r="R295" s="28"/>
      <c r="S295" s="28"/>
      <c r="T295" s="30"/>
      <c r="U295" s="28"/>
      <c r="V295" s="28"/>
      <c r="W295" s="28"/>
      <c r="X295" s="30"/>
      <c r="Y295" s="28"/>
      <c r="Z295" s="28"/>
      <c r="AA295" s="28"/>
      <c r="AB295" s="31"/>
      <c r="AC295" s="31"/>
      <c r="AD295" s="12"/>
    </row>
    <row r="296" spans="1:30" s="17" customFormat="1" ht="15.5" hidden="1" outlineLevel="1" collapsed="1" x14ac:dyDescent="0.35">
      <c r="A296" s="93" t="s">
        <v>100</v>
      </c>
      <c r="B296" s="21"/>
      <c r="C296" s="84"/>
      <c r="D296" s="84"/>
      <c r="E296" s="84"/>
      <c r="F296" s="83"/>
      <c r="G296" s="32"/>
      <c r="H296" s="32"/>
      <c r="I296" s="32"/>
      <c r="J296" s="32"/>
      <c r="K296" s="32"/>
      <c r="L296" s="20">
        <f ca="1">LOOKUP(1000,INDIRECT("L1:"&amp;CELL("address",INDIRECT("R[-1]C",FALSE))))+1</f>
        <v>1</v>
      </c>
      <c r="M296" s="317" t="s">
        <v>493</v>
      </c>
      <c r="N296" s="317"/>
      <c r="O296" s="5"/>
      <c r="P296" s="33"/>
      <c r="Q296" s="33"/>
      <c r="R296" s="33"/>
      <c r="S296" s="33"/>
      <c r="T296" s="167">
        <f>IF($S$6="Exclude", SUMIFS(S297:S301, J297:J301, "&lt;&gt;Yes", G297:G301, "&lt;&gt;Yes"), SUMIFS(S297:S301, J297:J301, "&lt;&gt;Yes"))</f>
        <v>8</v>
      </c>
      <c r="U296" s="33"/>
      <c r="V296" s="33"/>
      <c r="W296" s="33"/>
      <c r="X296" s="34"/>
      <c r="Y296" s="35"/>
      <c r="Z296" s="35"/>
      <c r="AA296" s="35"/>
      <c r="AB296" s="240"/>
      <c r="AC296" s="36"/>
      <c r="AD296" s="26" t="str">
        <f>IF(M296="", "Error: Task name cannot be empty.", "")</f>
        <v/>
      </c>
    </row>
    <row r="297" spans="1:30" s="15" customFormat="1" ht="1.5" hidden="1" customHeight="1" outlineLevel="2" x14ac:dyDescent="0.35">
      <c r="A297" s="93" t="s">
        <v>101</v>
      </c>
      <c r="B297" s="21"/>
      <c r="C297" s="84"/>
      <c r="D297" s="84"/>
      <c r="E297" s="84"/>
      <c r="F297" s="83"/>
      <c r="G297" s="32"/>
      <c r="H297" s="32"/>
      <c r="I297" s="32"/>
      <c r="J297" s="32"/>
      <c r="K297" s="32"/>
      <c r="L297" s="175">
        <f ca="1">L296</f>
        <v>1</v>
      </c>
      <c r="M297" s="176" t="s">
        <v>105</v>
      </c>
      <c r="N297" s="173"/>
      <c r="O297" s="174"/>
      <c r="P297" s="33"/>
      <c r="Q297" s="33"/>
      <c r="R297" s="33"/>
      <c r="S297" s="33"/>
      <c r="T297" s="167"/>
      <c r="U297" s="33"/>
      <c r="V297" s="33"/>
      <c r="W297" s="33"/>
      <c r="X297" s="34"/>
      <c r="Y297" s="35"/>
      <c r="Z297" s="35"/>
      <c r="AA297" s="35"/>
      <c r="AB297" s="36"/>
      <c r="AC297" s="36"/>
      <c r="AD297" s="26"/>
    </row>
    <row r="298" spans="1:30" ht="15.5" hidden="1" outlineLevel="2" x14ac:dyDescent="0.35">
      <c r="A298" s="93" t="s">
        <v>0</v>
      </c>
      <c r="B298" s="21"/>
      <c r="C298" s="85"/>
      <c r="D298" s="85"/>
      <c r="E298" s="85"/>
      <c r="F298" s="86"/>
      <c r="G298" s="22" t="s">
        <v>23</v>
      </c>
      <c r="H298" s="22" t="s">
        <v>23</v>
      </c>
      <c r="I298" s="23" t="s">
        <v>23</v>
      </c>
      <c r="J298" s="22" t="s">
        <v>23</v>
      </c>
      <c r="K298" s="38"/>
      <c r="L298" s="22"/>
      <c r="M298" s="286" t="str">
        <f ca="1">IFERROR(OFFSET(M298,-1,,1,1)+0.1,OFFSET(M298,-1,-1,1,1)&amp;".1")</f>
        <v>1.1</v>
      </c>
      <c r="N298" s="23" t="s">
        <v>695</v>
      </c>
      <c r="O298" s="23"/>
      <c r="P298" s="23" t="s">
        <v>570</v>
      </c>
      <c r="Q298" s="144">
        <v>1</v>
      </c>
      <c r="R298" s="137">
        <v>3</v>
      </c>
      <c r="S298" s="169">
        <f>CEILING((IF(J298="Yes", 0, IF(H298="-",AA298,AA298+AA298*VLOOKUP(H298,BUFFERS_BY_TYPE,2,FALSE)))) +
   (IF(J298="Yes", 0, IF(H298="-",AA298,AA298+AA298*VLOOKUP(H298,BUFFERS_BY_TYPE,2,FALSE))))*VLOOKUP($S$5, SALES_CALL_SCALE_ARRAY, 2,FALSE),0.25)</f>
        <v>3</v>
      </c>
      <c r="T298" s="170"/>
      <c r="U298" s="24">
        <v>0</v>
      </c>
      <c r="V298" s="24">
        <v>1</v>
      </c>
      <c r="W298" s="24">
        <v>0</v>
      </c>
      <c r="X298" s="168">
        <v>3</v>
      </c>
      <c r="Y298" s="169">
        <f>CEILING((IF(P298=AS_DEV_EFFORT, DEV_EFFORT*Q298%,
                           IF(P298=AS_DURATION_EFFORT, (MANUAL_DURATION*5)*Q298%,
                                    (IF(Q298&lt;=1,X298,
                                          IF(SUM(U298:W298)=0,(Q298*X298),
                                               (((Q298*U298)*(X298+(X298*EXTRA_FOR_H)))+
                                               ((Q298*V298)*X298)+
                                               ((Q298*W298)*(X298-(X298*LESS_FOR_L)))
                                    )*IF(R298=0,1,R298))))))+Z298), 0.25)</f>
        <v>3</v>
      </c>
      <c r="Z298" s="25"/>
      <c r="AA298" s="169">
        <f>Y298+Y298*VLOOKUP(I298,EXTRAS_ARRAY,2,FALSE)</f>
        <v>3</v>
      </c>
      <c r="AB298" s="23" t="s">
        <v>561</v>
      </c>
      <c r="AC298" s="37"/>
      <c r="AD298" s="26" t="str">
        <f>IF(J298&lt;&gt;"Yes",
IF(S298&lt;=0,"Error: Effort value is not defined or is invalid.",
IF(AND(SUM(U298:W298)&gt;0,SUM(U298:W298)&lt;&gt;1),"Error: Complexity % distribution should sum to 100%.",
IF(AND(P298=AS_DEV_EFFORT,X298&lt;&gt;0),"Error: PDs should not be defined when defining as dev effort %.",
IF(AND(P298=AS_DURATION_EFFORT,X298&lt;&gt;0),"Error: PDs should not be defined when defining as duration effort %.","")))))</f>
        <v/>
      </c>
    </row>
    <row r="299" spans="1:30" ht="15.5" hidden="1" outlineLevel="2" x14ac:dyDescent="0.35">
      <c r="A299" s="93" t="s">
        <v>0</v>
      </c>
      <c r="B299" s="21"/>
      <c r="C299" s="85"/>
      <c r="D299" s="85"/>
      <c r="E299" s="85"/>
      <c r="F299" s="86"/>
      <c r="G299" s="22" t="s">
        <v>23</v>
      </c>
      <c r="H299" s="22" t="s">
        <v>23</v>
      </c>
      <c r="I299" s="23" t="s">
        <v>23</v>
      </c>
      <c r="J299" s="22" t="s">
        <v>23</v>
      </c>
      <c r="K299" s="38"/>
      <c r="L299" s="22"/>
      <c r="M299" s="286">
        <f ca="1">IFERROR(OFFSET(M299,-1,,1,1)+0.1,OFFSET(M299,-1,-1,1,1)&amp;".1")</f>
        <v>1.2000000000000002</v>
      </c>
      <c r="N299" s="23" t="s">
        <v>494</v>
      </c>
      <c r="O299" s="23"/>
      <c r="P299" s="23" t="s">
        <v>498</v>
      </c>
      <c r="Q299" s="144">
        <v>1</v>
      </c>
      <c r="R299" s="137">
        <v>6</v>
      </c>
      <c r="S299" s="169">
        <f>CEILING((IF(J299="Yes", 0, IF(H299="-",AA299,AA299+AA299*VLOOKUP(H299,BUFFERS_BY_TYPE,2,FALSE)))) +
   (IF(J299="Yes", 0, IF(H299="-",AA299,AA299+AA299*VLOOKUP(H299,BUFFERS_BY_TYPE,2,FALSE))))*VLOOKUP($S$5, SALES_CALL_SCALE_ARRAY, 2,FALSE),0.25)</f>
        <v>2</v>
      </c>
      <c r="T299" s="170"/>
      <c r="U299" s="24">
        <v>0</v>
      </c>
      <c r="V299" s="24">
        <v>1</v>
      </c>
      <c r="W299" s="24">
        <v>0</v>
      </c>
      <c r="X299" s="168">
        <v>2</v>
      </c>
      <c r="Y299" s="169">
        <f>CEILING((IF(P299=AS_DEV_EFFORT, DEV_EFFORT*Q299%,
                           IF(P299=AS_DURATION_EFFORT, (MANUAL_DURATION*5)*Q299%,
                                    (IF(Q299&lt;=1,X299,
                                          IF(SUM(U299:W299)=0,(Q299*X299),
                                               (((Q299*U299)*(X299+(X299*EXTRA_FOR_H)))+
                                               ((Q299*V299)*X299)+
                                               ((Q299*W299)*(X299-(X299*LESS_FOR_L)))
                                    )*IF(R299=0,1,R299))))))+Z299), 0.25)</f>
        <v>2</v>
      </c>
      <c r="Z299" s="25"/>
      <c r="AA299" s="169">
        <f>Y299+Y299*VLOOKUP(I299,EXTRAS_ARRAY,2,FALSE)</f>
        <v>2</v>
      </c>
      <c r="AB299" s="23"/>
      <c r="AC299" s="37"/>
      <c r="AD299" s="26" t="str">
        <f>IF(J299&lt;&gt;"Yes",
IF(S299&lt;=0,"Error: Effort value is not defined or is invalid.",
IF(AND(SUM(U299:W299)&gt;0,SUM(U299:W299)&lt;&gt;1),"Error: Complexity % distribution should sum to 100%.",
IF(AND(P299=AS_DEV_EFFORT,X299&lt;&gt;0),"Error: PDs should not be defined when defining as dev effort %.",
IF(AND(P299=AS_DURATION_EFFORT,X299&lt;&gt;0),"Error: PDs should not be defined when defining as duration effort %.","")))))</f>
        <v/>
      </c>
    </row>
    <row r="300" spans="1:30" ht="43.5" hidden="1" outlineLevel="2" x14ac:dyDescent="0.35">
      <c r="A300" s="93" t="s">
        <v>0</v>
      </c>
      <c r="B300" s="21"/>
      <c r="C300" s="85"/>
      <c r="D300" s="85"/>
      <c r="E300" s="85"/>
      <c r="F300" s="86"/>
      <c r="G300" s="22" t="s">
        <v>23</v>
      </c>
      <c r="H300" s="22" t="s">
        <v>23</v>
      </c>
      <c r="I300" s="23" t="s">
        <v>23</v>
      </c>
      <c r="J300" s="22" t="s">
        <v>23</v>
      </c>
      <c r="K300" s="38"/>
      <c r="L300" s="22"/>
      <c r="M300" s="286">
        <f ca="1">IFERROR(OFFSET(M300,-1,,1,1)+0.1,OFFSET(M300,-1,-1,1,1)&amp;".1")</f>
        <v>1.3000000000000003</v>
      </c>
      <c r="N300" s="23" t="s">
        <v>495</v>
      </c>
      <c r="O300" s="23"/>
      <c r="P300" s="23"/>
      <c r="Q300" s="144">
        <v>1</v>
      </c>
      <c r="R300" s="137">
        <v>5</v>
      </c>
      <c r="S300" s="169">
        <f>CEILING((IF(J300="Yes", 0, IF(H300="-",AA300,AA300+AA300*VLOOKUP(H300,BUFFERS_BY_TYPE,2,FALSE)))) +
   (IF(J300="Yes", 0, IF(H300="-",AA300,AA300+AA300*VLOOKUP(H300,BUFFERS_BY_TYPE,2,FALSE))))*VLOOKUP($S$5, SALES_CALL_SCALE_ARRAY, 2,FALSE),0.25)</f>
        <v>3</v>
      </c>
      <c r="T300" s="170"/>
      <c r="U300" s="24">
        <v>0</v>
      </c>
      <c r="V300" s="24">
        <v>1</v>
      </c>
      <c r="W300" s="24">
        <v>0</v>
      </c>
      <c r="X300" s="168">
        <v>3</v>
      </c>
      <c r="Y300" s="169">
        <f>CEILING((IF(P300=AS_DEV_EFFORT, DEV_EFFORT*Q300%,
                           IF(P300=AS_DURATION_EFFORT, (MANUAL_DURATION*5)*Q300%,
                                    (IF(Q300&lt;=1,X300,
                                          IF(SUM(U300:W300)=0,(Q300*X300),
                                               (((Q300*U300)*(X300+(X300*EXTRA_FOR_H)))+
                                               ((Q300*V300)*X300)+
                                               ((Q300*W300)*(X300-(X300*LESS_FOR_L)))
                                    )*IF(R300=0,1,R300))))))+Z300), 0.25)</f>
        <v>3</v>
      </c>
      <c r="Z300" s="25"/>
      <c r="AA300" s="169">
        <f>Y300+Y300*VLOOKUP(I300,EXTRAS_ARRAY,2,FALSE)</f>
        <v>3</v>
      </c>
      <c r="AB300" s="23"/>
      <c r="AC300" s="37"/>
      <c r="AD300" s="26" t="str">
        <f>IF(J300&lt;&gt;"Yes",
IF(S300&lt;=0,"Error: Effort value is not defined or is invalid.",
IF(AND(SUM(U300:W300)&gt;0,SUM(U300:W300)&lt;&gt;1),"Error: Complexity % distribution should sum to 100%.",
IF(AND(P300=AS_DEV_EFFORT,X300&lt;&gt;0),"Error: PDs should not be defined when defining as dev effort %.",
IF(AND(P300=AS_DURATION_EFFORT,X300&lt;&gt;0),"Error: PDs should not be defined when defining as duration effort %.","")))))</f>
        <v/>
      </c>
    </row>
    <row r="301" spans="1:30" s="11" customFormat="1" ht="7.5" hidden="1" customHeight="1" outlineLevel="2" x14ac:dyDescent="0.35">
      <c r="A301" s="93" t="s">
        <v>132</v>
      </c>
      <c r="B301" s="18"/>
      <c r="C301" s="78"/>
      <c r="D301" s="78"/>
      <c r="E301" s="78"/>
      <c r="F301" s="78"/>
      <c r="G301" s="10"/>
      <c r="H301" s="10"/>
      <c r="I301" s="10"/>
      <c r="J301" s="10"/>
      <c r="K301" s="10"/>
      <c r="L301" s="10"/>
      <c r="M301" s="287"/>
      <c r="N301" s="10"/>
      <c r="O301" s="10"/>
      <c r="P301" s="10"/>
      <c r="Q301" s="10"/>
      <c r="R301" s="10"/>
      <c r="S301" s="10"/>
      <c r="T301" s="18"/>
      <c r="U301" s="10"/>
      <c r="V301" s="10"/>
      <c r="W301" s="10"/>
      <c r="X301" s="18"/>
      <c r="Y301" s="10"/>
      <c r="Z301" s="10"/>
      <c r="AA301" s="10"/>
      <c r="AB301" s="60"/>
      <c r="AC301" s="60"/>
      <c r="AD301" s="12"/>
    </row>
    <row r="302" spans="1:30" s="17" customFormat="1" ht="15.5" hidden="1" outlineLevel="1" collapsed="1" x14ac:dyDescent="0.35">
      <c r="A302" s="93" t="s">
        <v>100</v>
      </c>
      <c r="B302" s="21"/>
      <c r="C302" s="84"/>
      <c r="D302" s="84"/>
      <c r="E302" s="84"/>
      <c r="F302" s="83"/>
      <c r="G302" s="32"/>
      <c r="H302" s="32"/>
      <c r="I302" s="32"/>
      <c r="J302" s="32"/>
      <c r="K302" s="32"/>
      <c r="L302" s="20">
        <f ca="1">LOOKUP(1000,INDIRECT("L1:"&amp;CELL("address",INDIRECT("R[-1]C",FALSE))))+1</f>
        <v>2</v>
      </c>
      <c r="M302" s="317" t="s">
        <v>496</v>
      </c>
      <c r="N302" s="317"/>
      <c r="O302" s="5"/>
      <c r="P302" s="33"/>
      <c r="Q302" s="33"/>
      <c r="R302" s="33"/>
      <c r="S302" s="33"/>
      <c r="T302" s="167">
        <f>IF($S$6="Exclude", SUMIFS(S303:S306, J303:J306, "&lt;&gt;Yes", G303:G306, "&lt;&gt;Yes"), SUMIFS(S303:S306, J303:J306, "&lt;&gt;Yes"))</f>
        <v>4</v>
      </c>
      <c r="U302" s="33"/>
      <c r="V302" s="33"/>
      <c r="W302" s="33"/>
      <c r="X302" s="34"/>
      <c r="Y302" s="35"/>
      <c r="Z302" s="35"/>
      <c r="AA302" s="35"/>
      <c r="AB302" s="240"/>
      <c r="AC302" s="36"/>
      <c r="AD302" s="26" t="str">
        <f>IF(M302="", "Error: Task name cannot be empty.", "")</f>
        <v/>
      </c>
    </row>
    <row r="303" spans="1:30" s="15" customFormat="1" ht="1.5" hidden="1" customHeight="1" outlineLevel="2" x14ac:dyDescent="0.35">
      <c r="A303" s="93" t="s">
        <v>101</v>
      </c>
      <c r="B303" s="21"/>
      <c r="C303" s="84"/>
      <c r="D303" s="84"/>
      <c r="E303" s="84"/>
      <c r="F303" s="83"/>
      <c r="G303" s="32"/>
      <c r="H303" s="32"/>
      <c r="I303" s="32"/>
      <c r="J303" s="32"/>
      <c r="K303" s="32"/>
      <c r="L303" s="175">
        <f ca="1">L302</f>
        <v>2</v>
      </c>
      <c r="M303" s="176" t="s">
        <v>105</v>
      </c>
      <c r="N303" s="173"/>
      <c r="O303" s="174"/>
      <c r="P303" s="33"/>
      <c r="Q303" s="33"/>
      <c r="R303" s="33"/>
      <c r="S303" s="33"/>
      <c r="T303" s="167"/>
      <c r="U303" s="33"/>
      <c r="V303" s="33"/>
      <c r="W303" s="33"/>
      <c r="X303" s="34"/>
      <c r="Y303" s="35"/>
      <c r="Z303" s="35"/>
      <c r="AA303" s="35"/>
      <c r="AB303" s="36"/>
      <c r="AC303" s="36"/>
      <c r="AD303" s="26"/>
    </row>
    <row r="304" spans="1:30" ht="15.5" hidden="1" outlineLevel="2" x14ac:dyDescent="0.35">
      <c r="A304" s="93" t="s">
        <v>0</v>
      </c>
      <c r="B304" s="21"/>
      <c r="C304" s="85"/>
      <c r="D304" s="85"/>
      <c r="E304" s="85"/>
      <c r="F304" s="86"/>
      <c r="G304" s="22" t="s">
        <v>23</v>
      </c>
      <c r="H304" s="22" t="s">
        <v>23</v>
      </c>
      <c r="I304" s="23" t="s">
        <v>23</v>
      </c>
      <c r="J304" s="22" t="s">
        <v>23</v>
      </c>
      <c r="K304" s="38"/>
      <c r="L304" s="22"/>
      <c r="M304" s="286" t="str">
        <f ca="1">IFERROR(OFFSET(M304,-1,,1,1)+0.1,OFFSET(M304,-1,-1,1,1)&amp;".1")</f>
        <v>2.1</v>
      </c>
      <c r="N304" s="23" t="s">
        <v>695</v>
      </c>
      <c r="O304" s="23"/>
      <c r="P304" s="23" t="s">
        <v>570</v>
      </c>
      <c r="Q304" s="144">
        <v>1</v>
      </c>
      <c r="R304" s="137">
        <v>1</v>
      </c>
      <c r="S304" s="169">
        <f>CEILING((IF(J304="Yes", 0, IF(H304="-",AA304,AA304+AA304*VLOOKUP(H304,BUFFERS_BY_TYPE,2,FALSE)))) +
   (IF(J304="Yes", 0, IF(H304="-",AA304,AA304+AA304*VLOOKUP(H304,BUFFERS_BY_TYPE,2,FALSE))))*VLOOKUP($S$5, SALES_CALL_SCALE_ARRAY, 2,FALSE),0.25)</f>
        <v>3</v>
      </c>
      <c r="T304" s="170"/>
      <c r="U304" s="24">
        <v>0</v>
      </c>
      <c r="V304" s="24">
        <v>1</v>
      </c>
      <c r="W304" s="24">
        <v>0</v>
      </c>
      <c r="X304" s="168">
        <v>3</v>
      </c>
      <c r="Y304" s="169">
        <f>CEILING((IF(P304=AS_DEV_EFFORT, DEV_EFFORT*Q304%,
                           IF(P304=AS_DURATION_EFFORT, (MANUAL_DURATION*5)*Q304%,
                                    (IF(Q304&lt;=1,X304,
                                          IF(SUM(U304:W304)=0,(Q304*X304),
                                               (((Q304*U304)*(X304+(X304*EXTRA_FOR_H)))+
                                               ((Q304*V304)*X304)+
                                               ((Q304*W304)*(X304-(X304*LESS_FOR_L)))
                                    )*IF(R304=0,1,R304))))))+Z304), 0.25)</f>
        <v>3</v>
      </c>
      <c r="Z304" s="25"/>
      <c r="AA304" s="169">
        <f>Y304+Y304*VLOOKUP(I304,EXTRAS_ARRAY,2,FALSE)</f>
        <v>3</v>
      </c>
      <c r="AB304" s="23" t="s">
        <v>561</v>
      </c>
      <c r="AC304" s="37"/>
      <c r="AD304" s="26" t="str">
        <f>IF(J304&lt;&gt;"Yes",
IF(S304&lt;=0,"Error: Effort value is not defined or is invalid.",
IF(AND(SUM(U304:W304)&gt;0,SUM(U304:W304)&lt;&gt;1),"Error: Complexity % distribution should sum to 100%.",
IF(AND(P304=AS_DEV_EFFORT,X304&lt;&gt;0),"Error: PDs should not be defined when defining as dev effort %.",
IF(AND(P304=AS_DURATION_EFFORT,X304&lt;&gt;0),"Error: PDs should not be defined when defining as duration effort %.","")))))</f>
        <v/>
      </c>
    </row>
    <row r="305" spans="1:30" ht="58" hidden="1" outlineLevel="2" x14ac:dyDescent="0.35">
      <c r="A305" s="93" t="s">
        <v>0</v>
      </c>
      <c r="B305" s="21"/>
      <c r="C305" s="85"/>
      <c r="D305" s="85"/>
      <c r="E305" s="85"/>
      <c r="F305" s="86"/>
      <c r="G305" s="22" t="s">
        <v>23</v>
      </c>
      <c r="H305" s="22" t="s">
        <v>23</v>
      </c>
      <c r="I305" s="23" t="s">
        <v>23</v>
      </c>
      <c r="J305" s="22" t="s">
        <v>23</v>
      </c>
      <c r="K305" s="38"/>
      <c r="L305" s="22"/>
      <c r="M305" s="286">
        <f ca="1">IFERROR(OFFSET(M305,-1,,1,1)+0.1,OFFSET(M305,-1,-1,1,1)&amp;".1")</f>
        <v>2.2000000000000002</v>
      </c>
      <c r="N305" s="23" t="s">
        <v>497</v>
      </c>
      <c r="O305" s="23"/>
      <c r="P305" s="23"/>
      <c r="Q305" s="144">
        <v>1</v>
      </c>
      <c r="R305" s="137">
        <v>1</v>
      </c>
      <c r="S305" s="169">
        <f>CEILING((IF(J305="Yes", 0, IF(H305="-",AA305,AA305+AA305*VLOOKUP(H305,BUFFERS_BY_TYPE,2,FALSE)))) +
   (IF(J305="Yes", 0, IF(H305="-",AA305,AA305+AA305*VLOOKUP(H305,BUFFERS_BY_TYPE,2,FALSE))))*VLOOKUP($S$5, SALES_CALL_SCALE_ARRAY, 2,FALSE),0.25)</f>
        <v>1</v>
      </c>
      <c r="T305" s="170"/>
      <c r="U305" s="24">
        <v>0</v>
      </c>
      <c r="V305" s="24">
        <v>1</v>
      </c>
      <c r="W305" s="24">
        <v>0</v>
      </c>
      <c r="X305" s="168">
        <v>1</v>
      </c>
      <c r="Y305" s="169">
        <f>CEILING((IF(P305=AS_DEV_EFFORT, DEV_EFFORT*Q305%,
                           IF(P305=AS_DURATION_EFFORT, (MANUAL_DURATION*5)*Q305%,
                                    (IF(Q305&lt;=1,X305,
                                          IF(SUM(U305:W305)=0,(Q305*X305),
                                               (((Q305*U305)*(X305+(X305*EXTRA_FOR_H)))+
                                               ((Q305*V305)*X305)+
                                               ((Q305*W305)*(X305-(X305*LESS_FOR_L)))
                                    )*IF(R305=0,1,R305))))))+Z305), 0.25)</f>
        <v>1</v>
      </c>
      <c r="Z305" s="25"/>
      <c r="AA305" s="169">
        <f>Y305+Y305*VLOOKUP(I305,EXTRAS_ARRAY,2,FALSE)</f>
        <v>1</v>
      </c>
      <c r="AB305" s="23"/>
      <c r="AC305" s="37"/>
      <c r="AD305" s="26" t="str">
        <f>IF(J305&lt;&gt;"Yes",
IF(S305&lt;=0,"Error: Effort value is not defined or is invalid.",
IF(AND(SUM(U305:W305)&gt;0,SUM(U305:W305)&lt;&gt;1),"Error: Complexity % distribution should sum to 100%.",
IF(AND(P305=AS_DEV_EFFORT,X305&lt;&gt;0),"Error: PDs should not be defined when defining as dev effort %.",
IF(AND(P305=AS_DURATION_EFFORT,X305&lt;&gt;0),"Error: PDs should not be defined when defining as duration effort %.","")))))</f>
        <v/>
      </c>
    </row>
    <row r="306" spans="1:30" s="11" customFormat="1" ht="7.5" hidden="1" customHeight="1" outlineLevel="2" x14ac:dyDescent="0.35">
      <c r="A306" s="93" t="s">
        <v>132</v>
      </c>
      <c r="B306" s="18"/>
      <c r="C306" s="78"/>
      <c r="D306" s="78"/>
      <c r="E306" s="78"/>
      <c r="F306" s="78"/>
      <c r="G306" s="10"/>
      <c r="H306" s="10"/>
      <c r="I306" s="10"/>
      <c r="J306" s="10"/>
      <c r="K306" s="10"/>
      <c r="L306" s="10"/>
      <c r="M306" s="287"/>
      <c r="N306" s="10"/>
      <c r="O306" s="10"/>
      <c r="P306" s="10"/>
      <c r="Q306" s="10"/>
      <c r="R306" s="10"/>
      <c r="S306" s="10"/>
      <c r="T306" s="18"/>
      <c r="U306" s="10"/>
      <c r="V306" s="10"/>
      <c r="W306" s="10"/>
      <c r="X306" s="18"/>
      <c r="Y306" s="10"/>
      <c r="Z306" s="10"/>
      <c r="AA306" s="10"/>
      <c r="AB306" s="60"/>
      <c r="AC306" s="60"/>
      <c r="AD306" s="12"/>
    </row>
    <row r="307" spans="1:30" s="17" customFormat="1" ht="15.5" hidden="1" outlineLevel="1" collapsed="1" x14ac:dyDescent="0.35">
      <c r="A307" s="93" t="s">
        <v>100</v>
      </c>
      <c r="B307" s="21"/>
      <c r="C307" s="84"/>
      <c r="D307" s="84"/>
      <c r="E307" s="84"/>
      <c r="F307" s="83"/>
      <c r="G307" s="32"/>
      <c r="H307" s="32"/>
      <c r="I307" s="32"/>
      <c r="J307" s="32"/>
      <c r="K307" s="32"/>
      <c r="L307" s="20">
        <f ca="1">LOOKUP(1000,INDIRECT("L1:"&amp;CELL("address",INDIRECT("R[-1]C",FALSE))))+1</f>
        <v>3</v>
      </c>
      <c r="M307" s="317" t="s">
        <v>499</v>
      </c>
      <c r="N307" s="317"/>
      <c r="O307" s="5"/>
      <c r="P307" s="33"/>
      <c r="Q307" s="33"/>
      <c r="R307" s="33"/>
      <c r="S307" s="33"/>
      <c r="T307" s="167">
        <f>IF($S$6="Exclude", SUMIFS(S308:S311, J308:J311, "&lt;&gt;Yes", G308:G311, "&lt;&gt;Yes"), SUMIFS(S308:S311, J308:J311, "&lt;&gt;Yes"))</f>
        <v>9</v>
      </c>
      <c r="U307" s="33"/>
      <c r="V307" s="33"/>
      <c r="W307" s="33"/>
      <c r="X307" s="34"/>
      <c r="Y307" s="35"/>
      <c r="Z307" s="35"/>
      <c r="AA307" s="35"/>
      <c r="AB307" s="240"/>
      <c r="AC307" s="36"/>
      <c r="AD307" s="26" t="str">
        <f>IF(M307="", "Error: Task name cannot be empty.", "")</f>
        <v/>
      </c>
    </row>
    <row r="308" spans="1:30" s="15" customFormat="1" ht="1.5" hidden="1" customHeight="1" outlineLevel="2" x14ac:dyDescent="0.35">
      <c r="A308" s="93" t="s">
        <v>101</v>
      </c>
      <c r="B308" s="21"/>
      <c r="C308" s="84"/>
      <c r="D308" s="84"/>
      <c r="E308" s="84"/>
      <c r="F308" s="83"/>
      <c r="G308" s="32"/>
      <c r="H308" s="32"/>
      <c r="I308" s="32"/>
      <c r="J308" s="32"/>
      <c r="K308" s="32"/>
      <c r="L308" s="175">
        <f ca="1">L307</f>
        <v>3</v>
      </c>
      <c r="M308" s="176" t="s">
        <v>105</v>
      </c>
      <c r="N308" s="173"/>
      <c r="O308" s="174"/>
      <c r="P308" s="33"/>
      <c r="Q308" s="33"/>
      <c r="R308" s="33"/>
      <c r="S308" s="33"/>
      <c r="T308" s="167"/>
      <c r="U308" s="33"/>
      <c r="V308" s="33"/>
      <c r="W308" s="33"/>
      <c r="X308" s="34"/>
      <c r="Y308" s="35"/>
      <c r="Z308" s="35"/>
      <c r="AA308" s="35"/>
      <c r="AB308" s="36"/>
      <c r="AC308" s="36"/>
      <c r="AD308" s="26"/>
    </row>
    <row r="309" spans="1:30" ht="116" hidden="1" outlineLevel="2" x14ac:dyDescent="0.35">
      <c r="A309" s="93" t="s">
        <v>0</v>
      </c>
      <c r="B309" s="21"/>
      <c r="C309" s="85"/>
      <c r="D309" s="85"/>
      <c r="E309" s="85"/>
      <c r="F309" s="86"/>
      <c r="G309" s="22" t="s">
        <v>23</v>
      </c>
      <c r="H309" s="22" t="s">
        <v>23</v>
      </c>
      <c r="I309" s="23" t="s">
        <v>23</v>
      </c>
      <c r="J309" s="22" t="s">
        <v>23</v>
      </c>
      <c r="K309" s="38"/>
      <c r="L309" s="22"/>
      <c r="M309" s="286" t="str">
        <f ca="1">IFERROR(OFFSET(M309,-1,,1,1)+0.1,OFFSET(M309,-1,-1,1,1)&amp;".1")</f>
        <v>3.1</v>
      </c>
      <c r="N309" s="23" t="s">
        <v>697</v>
      </c>
      <c r="O309" s="23"/>
      <c r="P309" s="23" t="s">
        <v>570</v>
      </c>
      <c r="Q309" s="144">
        <v>1</v>
      </c>
      <c r="R309" s="137">
        <v>1</v>
      </c>
      <c r="S309" s="169">
        <f>CEILING((IF(J309="Yes", 0, IF(H309="-",AA309,AA309+AA309*VLOOKUP(H309,BUFFERS_BY_TYPE,2,FALSE)))) +
   (IF(J309="Yes", 0, IF(H309="-",AA309,AA309+AA309*VLOOKUP(H309,BUFFERS_BY_TYPE,2,FALSE))))*VLOOKUP($S$5, SALES_CALL_SCALE_ARRAY, 2,FALSE),0.25)</f>
        <v>7</v>
      </c>
      <c r="T309" s="170"/>
      <c r="U309" s="24">
        <v>0.25</v>
      </c>
      <c r="V309" s="24">
        <v>0.5</v>
      </c>
      <c r="W309" s="24">
        <v>0.25</v>
      </c>
      <c r="X309" s="168">
        <v>7</v>
      </c>
      <c r="Y309" s="169">
        <f>CEILING((IF(P309=AS_DEV_EFFORT, DEV_EFFORT*Q309%,
                           IF(P309=AS_DURATION_EFFORT, (MANUAL_DURATION*5)*Q309%,
                                    (IF(Q309&lt;=1,X309,
                                          IF(SUM(U309:W309)=0,(Q309*X309),
                                               (((Q309*U309)*(X309+(X309*EXTRA_FOR_H)))+
                                               ((Q309*V309)*X309)+
                                               ((Q309*W309)*(X309-(X309*LESS_FOR_L)))
                                    )*IF(R309=0,1,R309))))))+Z309), 0.25)</f>
        <v>7</v>
      </c>
      <c r="Z309" s="25"/>
      <c r="AA309" s="169">
        <f>Y309+Y309*VLOOKUP(I309,EXTRAS_ARRAY,2,FALSE)</f>
        <v>7</v>
      </c>
      <c r="AB309" s="23" t="s">
        <v>626</v>
      </c>
      <c r="AC309" s="37"/>
      <c r="AD309" s="26" t="str">
        <f>IF(J309&lt;&gt;"Yes",
IF(S309&lt;=0,"Error: Effort value is not defined or is invalid.",
IF(AND(SUM(U309:W309)&gt;0,SUM(U309:W309)&lt;&gt;1),"Error: Complexity % distribution should sum to 100%.",
IF(AND(P309=AS_DEV_EFFORT,X309&lt;&gt;0),"Error: PDs should not be defined when defining as dev effort %.",
IF(AND(P309=AS_DURATION_EFFORT,X309&lt;&gt;0),"Error: PDs should not be defined when defining as duration effort %.","")))))</f>
        <v/>
      </c>
    </row>
    <row r="310" spans="1:30" ht="43.5" hidden="1" outlineLevel="2" x14ac:dyDescent="0.35">
      <c r="A310" s="93" t="s">
        <v>0</v>
      </c>
      <c r="B310" s="21"/>
      <c r="C310" s="85"/>
      <c r="D310" s="85"/>
      <c r="E310" s="85"/>
      <c r="F310" s="86"/>
      <c r="G310" s="22" t="s">
        <v>23</v>
      </c>
      <c r="H310" s="22" t="s">
        <v>23</v>
      </c>
      <c r="I310" s="23" t="s">
        <v>23</v>
      </c>
      <c r="J310" s="22" t="s">
        <v>23</v>
      </c>
      <c r="K310" s="38"/>
      <c r="L310" s="22"/>
      <c r="M310" s="286">
        <f ca="1">IFERROR(OFFSET(M310,-1,,1,1)+0.1,OFFSET(M310,-1,-1,1,1)&amp;".1")</f>
        <v>3.2</v>
      </c>
      <c r="N310" s="23" t="s">
        <v>500</v>
      </c>
      <c r="O310" s="23"/>
      <c r="P310" s="23"/>
      <c r="Q310" s="144">
        <v>1</v>
      </c>
      <c r="R310" s="137">
        <v>1</v>
      </c>
      <c r="S310" s="169">
        <f>CEILING((IF(J310="Yes", 0, IF(H310="-",AA310,AA310+AA310*VLOOKUP(H310,BUFFERS_BY_TYPE,2,FALSE)))) +
   (IF(J310="Yes", 0, IF(H310="-",AA310,AA310+AA310*VLOOKUP(H310,BUFFERS_BY_TYPE,2,FALSE))))*VLOOKUP($S$5, SALES_CALL_SCALE_ARRAY, 2,FALSE),0.25)</f>
        <v>2</v>
      </c>
      <c r="T310" s="170"/>
      <c r="U310" s="24">
        <v>0</v>
      </c>
      <c r="V310" s="24">
        <v>1</v>
      </c>
      <c r="W310" s="24">
        <v>0</v>
      </c>
      <c r="X310" s="168">
        <v>2</v>
      </c>
      <c r="Y310" s="169">
        <f>CEILING((IF(P310=AS_DEV_EFFORT, DEV_EFFORT*Q310%,
                           IF(P310=AS_DURATION_EFFORT, (MANUAL_DURATION*5)*Q310%,
                                    (IF(Q310&lt;=1,X310,
                                          IF(SUM(U310:W310)=0,(Q310*X310),
                                               (((Q310*U310)*(X310+(X310*EXTRA_FOR_H)))+
                                               ((Q310*V310)*X310)+
                                               ((Q310*W310)*(X310-(X310*LESS_FOR_L)))
                                    )*IF(R310=0,1,R310))))))+Z310), 0.25)</f>
        <v>2</v>
      </c>
      <c r="Z310" s="25"/>
      <c r="AA310" s="169">
        <f>Y310+Y310*VLOOKUP(I310,EXTRAS_ARRAY,2,FALSE)</f>
        <v>2</v>
      </c>
      <c r="AB310" s="23"/>
      <c r="AC310" s="37"/>
      <c r="AD310" s="26" t="str">
        <f>IF(J310&lt;&gt;"Yes",
IF(S310&lt;=0,"Error: Effort value is not defined or is invalid.",
IF(AND(SUM(U310:W310)&gt;0,SUM(U310:W310)&lt;&gt;1),"Error: Complexity % distribution should sum to 100%.",
IF(AND(P310=AS_DEV_EFFORT,X310&lt;&gt;0),"Error: PDs should not be defined when defining as dev effort %.",
IF(AND(P310=AS_DURATION_EFFORT,X310&lt;&gt;0),"Error: PDs should not be defined when defining as duration effort %.","")))))</f>
        <v/>
      </c>
    </row>
    <row r="311" spans="1:30" s="11" customFormat="1" ht="7.5" hidden="1" customHeight="1" outlineLevel="2" x14ac:dyDescent="0.35">
      <c r="A311" s="93" t="s">
        <v>132</v>
      </c>
      <c r="B311" s="18"/>
      <c r="C311" s="78"/>
      <c r="D311" s="78"/>
      <c r="E311" s="78"/>
      <c r="F311" s="78"/>
      <c r="G311" s="10"/>
      <c r="H311" s="10"/>
      <c r="I311" s="10"/>
      <c r="J311" s="10"/>
      <c r="K311" s="10"/>
      <c r="L311" s="10"/>
      <c r="M311" s="287"/>
      <c r="N311" s="10"/>
      <c r="O311" s="10"/>
      <c r="P311" s="10"/>
      <c r="Q311" s="10"/>
      <c r="R311" s="10"/>
      <c r="S311" s="10"/>
      <c r="T311" s="18"/>
      <c r="U311" s="10"/>
      <c r="V311" s="10"/>
      <c r="W311" s="10"/>
      <c r="X311" s="18"/>
      <c r="Y311" s="10"/>
      <c r="Z311" s="10"/>
      <c r="AA311" s="10"/>
      <c r="AB311" s="60"/>
      <c r="AC311" s="60"/>
      <c r="AD311" s="12"/>
    </row>
    <row r="312" spans="1:30" s="17" customFormat="1" ht="15.5" hidden="1" outlineLevel="1" collapsed="1" x14ac:dyDescent="0.35">
      <c r="A312" s="93" t="s">
        <v>100</v>
      </c>
      <c r="B312" s="21"/>
      <c r="C312" s="84"/>
      <c r="D312" s="84"/>
      <c r="E312" s="84"/>
      <c r="F312" s="83"/>
      <c r="G312" s="32"/>
      <c r="H312" s="32"/>
      <c r="I312" s="32"/>
      <c r="J312" s="32"/>
      <c r="K312" s="32"/>
      <c r="L312" s="20">
        <f ca="1">LOOKUP(1000,INDIRECT("L1:"&amp;CELL("address",INDIRECT("R[-1]C",FALSE))))+1</f>
        <v>4</v>
      </c>
      <c r="M312" s="317" t="s">
        <v>617</v>
      </c>
      <c r="N312" s="317"/>
      <c r="O312" s="5"/>
      <c r="P312" s="33"/>
      <c r="Q312" s="33"/>
      <c r="R312" s="33"/>
      <c r="S312" s="33"/>
      <c r="T312" s="167">
        <f>IF($S$6="Exclude", SUMIFS(S313:S315, J313:J315, "&lt;&gt;Yes", G313:G315, "&lt;&gt;Yes"), SUMIFS(S313:S315, J313:J315, "&lt;&gt;Yes"))</f>
        <v>1</v>
      </c>
      <c r="U312" s="33"/>
      <c r="V312" s="33"/>
      <c r="W312" s="33"/>
      <c r="X312" s="34"/>
      <c r="Y312" s="35"/>
      <c r="Z312" s="35"/>
      <c r="AA312" s="35"/>
      <c r="AB312" s="240"/>
      <c r="AC312" s="36"/>
      <c r="AD312" s="26" t="str">
        <f>IF(M312="", "Error: Task name cannot be empty.", "")</f>
        <v/>
      </c>
    </row>
    <row r="313" spans="1:30" s="15" customFormat="1" ht="1.5" hidden="1" customHeight="1" outlineLevel="2" x14ac:dyDescent="0.35">
      <c r="A313" s="93" t="s">
        <v>101</v>
      </c>
      <c r="B313" s="21"/>
      <c r="C313" s="84"/>
      <c r="D313" s="84"/>
      <c r="E313" s="84"/>
      <c r="F313" s="83"/>
      <c r="G313" s="32"/>
      <c r="H313" s="32"/>
      <c r="I313" s="32"/>
      <c r="J313" s="32"/>
      <c r="K313" s="32"/>
      <c r="L313" s="175">
        <f ca="1">L312</f>
        <v>4</v>
      </c>
      <c r="M313" s="176" t="s">
        <v>105</v>
      </c>
      <c r="N313" s="173"/>
      <c r="O313" s="174"/>
      <c r="P313" s="33"/>
      <c r="Q313" s="33"/>
      <c r="R313" s="33"/>
      <c r="S313" s="33"/>
      <c r="T313" s="167"/>
      <c r="U313" s="33"/>
      <c r="V313" s="33"/>
      <c r="W313" s="33"/>
      <c r="X313" s="34"/>
      <c r="Y313" s="35"/>
      <c r="Z313" s="35"/>
      <c r="AA313" s="35"/>
      <c r="AB313" s="36"/>
      <c r="AC313" s="36"/>
      <c r="AD313" s="26"/>
    </row>
    <row r="314" spans="1:30" ht="43.5" hidden="1" outlineLevel="2" x14ac:dyDescent="0.35">
      <c r="A314" s="93" t="s">
        <v>0</v>
      </c>
      <c r="B314" s="21"/>
      <c r="C314" s="85"/>
      <c r="D314" s="85"/>
      <c r="E314" s="85"/>
      <c r="F314" s="86"/>
      <c r="G314" s="22" t="s">
        <v>23</v>
      </c>
      <c r="H314" s="22" t="s">
        <v>23</v>
      </c>
      <c r="I314" s="23" t="s">
        <v>23</v>
      </c>
      <c r="J314" s="22" t="s">
        <v>23</v>
      </c>
      <c r="K314" s="38"/>
      <c r="L314" s="22"/>
      <c r="M314" s="286" t="str">
        <f ca="1">IFERROR(OFFSET(M314,-1,,1,1)+0.1,OFFSET(M314,-1,-1,1,1)&amp;".1")</f>
        <v>4.1</v>
      </c>
      <c r="N314" s="23" t="s">
        <v>618</v>
      </c>
      <c r="O314" s="23"/>
      <c r="P314" s="23"/>
      <c r="Q314" s="144"/>
      <c r="R314" s="137"/>
      <c r="S314" s="169">
        <f>CEILING((IF(J314="Yes", 0, IF(H314="-",AA314,AA314+AA314*VLOOKUP(H314,BUFFERS_BY_TYPE,2,FALSE)))) +
   (IF(J314="Yes", 0, IF(H314="-",AA314,AA314+AA314*VLOOKUP(H314,BUFFERS_BY_TYPE,2,FALSE))))*VLOOKUP($S$5, SALES_CALL_SCALE_ARRAY, 2,FALSE),0.25)</f>
        <v>1</v>
      </c>
      <c r="T314" s="170"/>
      <c r="U314" s="24">
        <v>0</v>
      </c>
      <c r="V314" s="24">
        <v>1</v>
      </c>
      <c r="W314" s="24">
        <v>0</v>
      </c>
      <c r="X314" s="168">
        <v>1</v>
      </c>
      <c r="Y314" s="169">
        <f>CEILING((IF(P314=AS_DEV_EFFORT, DEV_EFFORT*Q314%,
                           IF(P314=AS_DURATION_EFFORT, (MANUAL_DURATION*5)*Q314%,
                                    (IF(Q314&lt;=1,X314,
                                          IF(SUM(U314:W314)=0,(Q314*X314),
                                               (((Q314*U314)*(X314+(X314*EXTRA_FOR_H)))+
                                               ((Q314*V314)*X314)+
                                               ((Q314*W314)*(X314-(X314*LESS_FOR_L)))
                                    )*IF(R314=0,1,R314))))))+Z314), 0.25)</f>
        <v>1</v>
      </c>
      <c r="Z314" s="25"/>
      <c r="AA314" s="169">
        <f>Y314+Y314*VLOOKUP(I314,EXTRAS_ARRAY,2,FALSE)</f>
        <v>1</v>
      </c>
      <c r="AB314" s="23"/>
      <c r="AC314" s="37"/>
      <c r="AD314" s="26" t="str">
        <f>IF(J314&lt;&gt;"Yes",
IF(S314&lt;=0,"Error: Effort value is not defined or is invalid.",
IF(AND(SUM(U314:W314)&gt;0,SUM(U314:W314)&lt;&gt;1),"Error: Complexity % distribution should sum to 100%.",
IF(AND(P314=AS_DEV_EFFORT,X314&lt;&gt;0),"Error: PDs should not be defined when defining as dev effort %.",
IF(AND(P314=AS_DURATION_EFFORT,X314&lt;&gt;0),"Error: PDs should not be defined when defining as duration effort %.","")))))</f>
        <v/>
      </c>
    </row>
    <row r="315" spans="1:30" s="11" customFormat="1" ht="7.5" hidden="1" customHeight="1" outlineLevel="2" x14ac:dyDescent="0.35">
      <c r="A315" s="93" t="s">
        <v>132</v>
      </c>
      <c r="B315" s="18"/>
      <c r="C315" s="78"/>
      <c r="D315" s="78"/>
      <c r="E315" s="78"/>
      <c r="F315" s="78"/>
      <c r="G315" s="10"/>
      <c r="H315" s="10"/>
      <c r="I315" s="10"/>
      <c r="J315" s="10"/>
      <c r="K315" s="10"/>
      <c r="L315" s="10"/>
      <c r="M315" s="287"/>
      <c r="N315" s="10"/>
      <c r="O315" s="10"/>
      <c r="P315" s="10"/>
      <c r="Q315" s="10"/>
      <c r="R315" s="10"/>
      <c r="S315" s="10"/>
      <c r="T315" s="18"/>
      <c r="U315" s="10"/>
      <c r="V315" s="10"/>
      <c r="W315" s="10"/>
      <c r="X315" s="18"/>
      <c r="Y315" s="10"/>
      <c r="Z315" s="10"/>
      <c r="AA315" s="10"/>
      <c r="AB315" s="60"/>
      <c r="AC315" s="60"/>
      <c r="AD315" s="12"/>
    </row>
    <row r="316" spans="1:30" s="17" customFormat="1" ht="15.5" hidden="1" outlineLevel="1" collapsed="1" x14ac:dyDescent="0.35">
      <c r="A316" s="93" t="s">
        <v>100</v>
      </c>
      <c r="B316" s="21"/>
      <c r="C316" s="84"/>
      <c r="D316" s="84"/>
      <c r="E316" s="84"/>
      <c r="F316" s="83"/>
      <c r="G316" s="32"/>
      <c r="H316" s="32"/>
      <c r="I316" s="32"/>
      <c r="J316" s="32"/>
      <c r="K316" s="32"/>
      <c r="L316" s="20">
        <f ca="1">LOOKUP(1000,INDIRECT("L1:"&amp;CELL("address",INDIRECT("R[-1]C",FALSE))))+1</f>
        <v>5</v>
      </c>
      <c r="M316" s="317" t="s">
        <v>501</v>
      </c>
      <c r="N316" s="317"/>
      <c r="O316" s="5"/>
      <c r="P316" s="33"/>
      <c r="Q316" s="33"/>
      <c r="R316" s="33"/>
      <c r="S316" s="33"/>
      <c r="T316" s="167">
        <f>IF($S$6="Exclude", SUMIFS(S317:S322, J317:J322, "&lt;&gt;Yes", G317:G322, "&lt;&gt;Yes"), SUMIFS(S317:S322, J317:J322, "&lt;&gt;Yes"))</f>
        <v>26</v>
      </c>
      <c r="U316" s="33"/>
      <c r="V316" s="33"/>
      <c r="W316" s="33"/>
      <c r="X316" s="34"/>
      <c r="Y316" s="35"/>
      <c r="Z316" s="35"/>
      <c r="AA316" s="35"/>
      <c r="AB316" s="240"/>
      <c r="AC316" s="36"/>
      <c r="AD316" s="26" t="str">
        <f>IF(M316="", "Error: Task name cannot be empty.", "")</f>
        <v/>
      </c>
    </row>
    <row r="317" spans="1:30" s="15" customFormat="1" ht="1.5" hidden="1" customHeight="1" outlineLevel="2" x14ac:dyDescent="0.35">
      <c r="A317" s="93" t="s">
        <v>101</v>
      </c>
      <c r="B317" s="21"/>
      <c r="C317" s="84"/>
      <c r="D317" s="84"/>
      <c r="E317" s="84"/>
      <c r="F317" s="83"/>
      <c r="G317" s="32"/>
      <c r="H317" s="32"/>
      <c r="I317" s="32"/>
      <c r="J317" s="32"/>
      <c r="K317" s="32"/>
      <c r="L317" s="175">
        <f ca="1">L316</f>
        <v>5</v>
      </c>
      <c r="M317" s="176" t="s">
        <v>105</v>
      </c>
      <c r="N317" s="173"/>
      <c r="O317" s="174"/>
      <c r="P317" s="33"/>
      <c r="Q317" s="33"/>
      <c r="R317" s="33"/>
      <c r="S317" s="33"/>
      <c r="T317" s="167"/>
      <c r="U317" s="33"/>
      <c r="V317" s="33"/>
      <c r="W317" s="33"/>
      <c r="X317" s="34"/>
      <c r="Y317" s="35"/>
      <c r="Z317" s="35"/>
      <c r="AA317" s="35"/>
      <c r="AB317" s="36"/>
      <c r="AC317" s="36"/>
      <c r="AD317" s="26"/>
    </row>
    <row r="318" spans="1:30" ht="15.5" hidden="1" outlineLevel="2" x14ac:dyDescent="0.35">
      <c r="A318" s="93" t="s">
        <v>0</v>
      </c>
      <c r="B318" s="21"/>
      <c r="C318" s="85"/>
      <c r="D318" s="85"/>
      <c r="E318" s="85"/>
      <c r="F318" s="86"/>
      <c r="G318" s="22" t="s">
        <v>23</v>
      </c>
      <c r="H318" s="22" t="s">
        <v>23</v>
      </c>
      <c r="I318" s="23" t="s">
        <v>23</v>
      </c>
      <c r="J318" s="22" t="s">
        <v>23</v>
      </c>
      <c r="K318" s="38"/>
      <c r="L318" s="22"/>
      <c r="M318" s="286" t="str">
        <f ca="1">IFERROR(OFFSET(M318,-1,,1,1)+0.1,OFFSET(M318,-1,-1,1,1)&amp;".1")</f>
        <v>5.1</v>
      </c>
      <c r="N318" s="23" t="s">
        <v>502</v>
      </c>
      <c r="O318" s="23"/>
      <c r="P318" s="23"/>
      <c r="Q318" s="144"/>
      <c r="R318" s="137"/>
      <c r="S318" s="169">
        <f>CEILING((IF(J318="Yes", 0, IF(H318="-",AA318,AA318+AA318*VLOOKUP(H318,BUFFERS_BY_TYPE,2,FALSE)))) +
   (IF(J318="Yes", 0, IF(H318="-",AA318,AA318+AA318*VLOOKUP(H318,BUFFERS_BY_TYPE,2,FALSE))))*VLOOKUP($S$5, SALES_CALL_SCALE_ARRAY, 2,FALSE),0.25)</f>
        <v>3</v>
      </c>
      <c r="T318" s="170"/>
      <c r="U318" s="24">
        <v>0</v>
      </c>
      <c r="V318" s="24">
        <v>1</v>
      </c>
      <c r="W318" s="24">
        <v>0</v>
      </c>
      <c r="X318" s="168">
        <v>3</v>
      </c>
      <c r="Y318" s="169">
        <f>CEILING((IF(P318=AS_DEV_EFFORT, DEV_EFFORT*Q318%,
                           IF(P318=AS_DURATION_EFFORT, (MANUAL_DURATION*5)*Q318%,
                                    (IF(Q318&lt;=1,X318,
                                          IF(SUM(U318:W318)=0,(Q318*X318),
                                               (((Q318*U318)*(X318+(X318*EXTRA_FOR_H)))+
                                               ((Q318*V318)*X318)+
                                               ((Q318*W318)*(X318-(X318*LESS_FOR_L)))
                                    )*IF(R318=0,1,R318))))))+Z318), 0.25)</f>
        <v>3</v>
      </c>
      <c r="Z318" s="25"/>
      <c r="AA318" s="169">
        <f>Y318+Y318*VLOOKUP(I318,EXTRAS_ARRAY,2,FALSE)</f>
        <v>3</v>
      </c>
      <c r="AB318" s="23"/>
      <c r="AC318" s="37"/>
      <c r="AD318" s="26" t="str">
        <f>IF(J318&lt;&gt;"Yes",
IF(S318&lt;=0,"Error: Effort value is not defined or is invalid.",
IF(AND(SUM(U318:W318)&gt;0,SUM(U318:W318)&lt;&gt;1),"Error: Complexity % distribution should sum to 100%.",
IF(AND(P318=AS_DEV_EFFORT,X318&lt;&gt;0),"Error: PDs should not be defined when defining as dev effort %.",
IF(AND(P318=AS_DURATION_EFFORT,X318&lt;&gt;0),"Error: PDs should not be defined when defining as duration effort %.","")))))</f>
        <v/>
      </c>
    </row>
    <row r="319" spans="1:30" ht="15.5" hidden="1" outlineLevel="2" x14ac:dyDescent="0.35">
      <c r="A319" s="93" t="s">
        <v>0</v>
      </c>
      <c r="B319" s="21"/>
      <c r="C319" s="85"/>
      <c r="D319" s="85"/>
      <c r="E319" s="85"/>
      <c r="F319" s="86"/>
      <c r="G319" s="22" t="s">
        <v>23</v>
      </c>
      <c r="H319" s="22" t="s">
        <v>23</v>
      </c>
      <c r="I319" s="23" t="s">
        <v>23</v>
      </c>
      <c r="J319" s="22" t="s">
        <v>23</v>
      </c>
      <c r="K319" s="38"/>
      <c r="L319" s="22"/>
      <c r="M319" s="286">
        <f ca="1">IFERROR(OFFSET(M319,-1,,1,1)+0.1,OFFSET(M319,-1,-1,1,1)&amp;".1")</f>
        <v>5.1999999999999993</v>
      </c>
      <c r="N319" s="23" t="s">
        <v>503</v>
      </c>
      <c r="O319" s="23"/>
      <c r="P319" s="23"/>
      <c r="Q319" s="144"/>
      <c r="R319" s="137"/>
      <c r="S319" s="169">
        <f>CEILING((IF(J319="Yes", 0, IF(H319="-",AA319,AA319+AA319*VLOOKUP(H319,BUFFERS_BY_TYPE,2,FALSE)))) +
   (IF(J319="Yes", 0, IF(H319="-",AA319,AA319+AA319*VLOOKUP(H319,BUFFERS_BY_TYPE,2,FALSE))))*VLOOKUP($S$5, SALES_CALL_SCALE_ARRAY, 2,FALSE),0.25)</f>
        <v>5</v>
      </c>
      <c r="T319" s="170"/>
      <c r="U319" s="24">
        <v>0</v>
      </c>
      <c r="V319" s="24">
        <v>1</v>
      </c>
      <c r="W319" s="24">
        <v>0</v>
      </c>
      <c r="X319" s="168">
        <v>5</v>
      </c>
      <c r="Y319" s="169">
        <f>CEILING((IF(P319=AS_DEV_EFFORT, DEV_EFFORT*Q319%,
                           IF(P319=AS_DURATION_EFFORT, (MANUAL_DURATION*5)*Q319%,
                                    (IF(Q319&lt;=1,X319,
                                          IF(SUM(U319:W319)=0,(Q319*X319),
                                               (((Q319*U319)*(X319+(X319*EXTRA_FOR_H)))+
                                               ((Q319*V319)*X319)+
                                               ((Q319*W319)*(X319-(X319*LESS_FOR_L)))
                                    )*IF(R319=0,1,R319))))))+Z319), 0.25)</f>
        <v>5</v>
      </c>
      <c r="Z319" s="25"/>
      <c r="AA319" s="169">
        <f>Y319+Y319*VLOOKUP(I319,EXTRAS_ARRAY,2,FALSE)</f>
        <v>5</v>
      </c>
      <c r="AB319" s="23"/>
      <c r="AC319" s="37"/>
      <c r="AD319" s="26" t="str">
        <f>IF(J319&lt;&gt;"Yes",
IF(S319&lt;=0,"Error: Effort value is not defined or is invalid.",
IF(AND(SUM(U319:W319)&gt;0,SUM(U319:W319)&lt;&gt;1),"Error: Complexity % distribution should sum to 100%.",
IF(AND(P319=AS_DEV_EFFORT,X319&lt;&gt;0),"Error: PDs should not be defined when defining as dev effort %.",
IF(AND(P319=AS_DURATION_EFFORT,X319&lt;&gt;0),"Error: PDs should not be defined when defining as duration effort %.","")))))</f>
        <v/>
      </c>
    </row>
    <row r="320" spans="1:30" ht="15.5" hidden="1" outlineLevel="2" x14ac:dyDescent="0.35">
      <c r="A320" s="93" t="s">
        <v>0</v>
      </c>
      <c r="B320" s="21"/>
      <c r="C320" s="85"/>
      <c r="D320" s="85"/>
      <c r="E320" s="85"/>
      <c r="F320" s="86"/>
      <c r="G320" s="22" t="s">
        <v>23</v>
      </c>
      <c r="H320" s="22" t="s">
        <v>23</v>
      </c>
      <c r="I320" s="23" t="s">
        <v>23</v>
      </c>
      <c r="J320" s="22" t="s">
        <v>23</v>
      </c>
      <c r="K320" s="38"/>
      <c r="L320" s="22"/>
      <c r="M320" s="286">
        <f ca="1">IFERROR(OFFSET(M320,-1,,1,1)+0.1,OFFSET(M320,-1,-1,1,1)&amp;".1")</f>
        <v>5.2999999999999989</v>
      </c>
      <c r="N320" s="23" t="s">
        <v>504</v>
      </c>
      <c r="O320" s="23"/>
      <c r="P320" s="23"/>
      <c r="Q320" s="144"/>
      <c r="R320" s="137"/>
      <c r="S320" s="169">
        <f>CEILING((IF(J320="Yes", 0, IF(H320="-",AA320,AA320+AA320*VLOOKUP(H320,BUFFERS_BY_TYPE,2,FALSE)))) +
   (IF(J320="Yes", 0, IF(H320="-",AA320,AA320+AA320*VLOOKUP(H320,BUFFERS_BY_TYPE,2,FALSE))))*VLOOKUP($S$5, SALES_CALL_SCALE_ARRAY, 2,FALSE),0.25)</f>
        <v>15</v>
      </c>
      <c r="T320" s="170"/>
      <c r="U320" s="24">
        <v>0</v>
      </c>
      <c r="V320" s="24">
        <v>1</v>
      </c>
      <c r="W320" s="24">
        <v>0</v>
      </c>
      <c r="X320" s="168">
        <v>15</v>
      </c>
      <c r="Y320" s="169">
        <f>CEILING((IF(P320=AS_DEV_EFFORT, DEV_EFFORT*Q320%,
                           IF(P320=AS_DURATION_EFFORT, (MANUAL_DURATION*5)*Q320%,
                                    (IF(Q320&lt;=1,X320,
                                          IF(SUM(U320:W320)=0,(Q320*X320),
                                               (((Q320*U320)*(X320+(X320*EXTRA_FOR_H)))+
                                               ((Q320*V320)*X320)+
                                               ((Q320*W320)*(X320-(X320*LESS_FOR_L)))
                                    )*IF(R320=0,1,R320))))))+Z320), 0.25)</f>
        <v>15</v>
      </c>
      <c r="Z320" s="25"/>
      <c r="AA320" s="169">
        <f>Y320+Y320*VLOOKUP(I320,EXTRAS_ARRAY,2,FALSE)</f>
        <v>15</v>
      </c>
      <c r="AB320" s="23"/>
      <c r="AC320" s="37"/>
      <c r="AD320" s="26" t="str">
        <f>IF(J320&lt;&gt;"Yes",
IF(S320&lt;=0,"Error: Effort value is not defined or is invalid.",
IF(AND(SUM(U320:W320)&gt;0,SUM(U320:W320)&lt;&gt;1),"Error: Complexity % distribution should sum to 100%.",
IF(AND(P320=AS_DEV_EFFORT,X320&lt;&gt;0),"Error: PDs should not be defined when defining as dev effort %.",
IF(AND(P320=AS_DURATION_EFFORT,X320&lt;&gt;0),"Error: PDs should not be defined when defining as duration effort %.","")))))</f>
        <v/>
      </c>
    </row>
    <row r="321" spans="1:30" ht="15.5" hidden="1" outlineLevel="2" x14ac:dyDescent="0.35">
      <c r="A321" s="93" t="s">
        <v>0</v>
      </c>
      <c r="B321" s="21"/>
      <c r="C321" s="85"/>
      <c r="D321" s="85"/>
      <c r="E321" s="85"/>
      <c r="F321" s="86"/>
      <c r="G321" s="22" t="s">
        <v>23</v>
      </c>
      <c r="H321" s="22" t="s">
        <v>23</v>
      </c>
      <c r="I321" s="23" t="s">
        <v>23</v>
      </c>
      <c r="J321" s="22" t="s">
        <v>23</v>
      </c>
      <c r="K321" s="38"/>
      <c r="L321" s="22"/>
      <c r="M321" s="286">
        <f ca="1">IFERROR(OFFSET(M321,-1,,1,1)+0.1,OFFSET(M321,-1,-1,1,1)&amp;".1")</f>
        <v>5.3999999999999986</v>
      </c>
      <c r="N321" s="23" t="s">
        <v>505</v>
      </c>
      <c r="O321" s="23"/>
      <c r="P321" s="23"/>
      <c r="Q321" s="144"/>
      <c r="R321" s="137"/>
      <c r="S321" s="169">
        <f>CEILING((IF(J321="Yes", 0, IF(H321="-",AA321,AA321+AA321*VLOOKUP(H321,BUFFERS_BY_TYPE,2,FALSE)))) +
   (IF(J321="Yes", 0, IF(H321="-",AA321,AA321+AA321*VLOOKUP(H321,BUFFERS_BY_TYPE,2,FALSE))))*VLOOKUP($S$5, SALES_CALL_SCALE_ARRAY, 2,FALSE),0.25)</f>
        <v>3</v>
      </c>
      <c r="T321" s="170"/>
      <c r="U321" s="24">
        <v>0</v>
      </c>
      <c r="V321" s="24">
        <v>1</v>
      </c>
      <c r="W321" s="24">
        <v>0</v>
      </c>
      <c r="X321" s="168">
        <v>3</v>
      </c>
      <c r="Y321" s="169">
        <f>CEILING((IF(P321=AS_DEV_EFFORT, DEV_EFFORT*Q321%,
                           IF(P321=AS_DURATION_EFFORT, (MANUAL_DURATION*5)*Q321%,
                                    (IF(Q321&lt;=1,X321,
                                          IF(SUM(U321:W321)=0,(Q321*X321),
                                               (((Q321*U321)*(X321+(X321*EXTRA_FOR_H)))+
                                               ((Q321*V321)*X321)+
                                               ((Q321*W321)*(X321-(X321*LESS_FOR_L)))
                                    )*IF(R321=0,1,R321))))))+Z321), 0.25)</f>
        <v>3</v>
      </c>
      <c r="Z321" s="25"/>
      <c r="AA321" s="169">
        <f>Y321+Y321*VLOOKUP(I321,EXTRAS_ARRAY,2,FALSE)</f>
        <v>3</v>
      </c>
      <c r="AB321" s="23"/>
      <c r="AC321" s="37"/>
      <c r="AD321" s="26" t="str">
        <f>IF(J321&lt;&gt;"Yes",
IF(S321&lt;=0,"Error: Effort value is not defined or is invalid.",
IF(AND(SUM(U321:W321)&gt;0,SUM(U321:W321)&lt;&gt;1),"Error: Complexity % distribution should sum to 100%.",
IF(AND(P321=AS_DEV_EFFORT,X321&lt;&gt;0),"Error: PDs should not be defined when defining as dev effort %.",
IF(AND(P321=AS_DURATION_EFFORT,X321&lt;&gt;0),"Error: PDs should not be defined when defining as duration effort %.","")))))</f>
        <v/>
      </c>
    </row>
    <row r="322" spans="1:30" s="11" customFormat="1" ht="7.5" hidden="1" customHeight="1" outlineLevel="2" x14ac:dyDescent="0.35">
      <c r="A322" s="93" t="s">
        <v>132</v>
      </c>
      <c r="B322" s="18"/>
      <c r="C322" s="78"/>
      <c r="D322" s="78"/>
      <c r="E322" s="78"/>
      <c r="F322" s="78"/>
      <c r="G322" s="10"/>
      <c r="H322" s="10"/>
      <c r="I322" s="10"/>
      <c r="J322" s="10"/>
      <c r="K322" s="10"/>
      <c r="L322" s="10"/>
      <c r="M322" s="287"/>
      <c r="N322" s="10"/>
      <c r="O322" s="10"/>
      <c r="P322" s="10"/>
      <c r="Q322" s="10"/>
      <c r="R322" s="10"/>
      <c r="S322" s="10"/>
      <c r="T322" s="18"/>
      <c r="U322" s="10"/>
      <c r="V322" s="10"/>
      <c r="W322" s="10"/>
      <c r="X322" s="18"/>
      <c r="Y322" s="10"/>
      <c r="Z322" s="10"/>
      <c r="AA322" s="10"/>
      <c r="AB322" s="60"/>
      <c r="AC322" s="60"/>
      <c r="AD322" s="12"/>
    </row>
    <row r="323" spans="1:30" s="11" customFormat="1" ht="3" hidden="1" customHeight="1" outlineLevel="1" x14ac:dyDescent="0.35">
      <c r="A323" s="93" t="s">
        <v>102</v>
      </c>
      <c r="B323" s="10"/>
      <c r="C323" s="78"/>
      <c r="D323" s="78"/>
      <c r="E323" s="78"/>
      <c r="F323" s="78"/>
      <c r="G323" s="59"/>
      <c r="H323" s="59"/>
      <c r="I323" s="59"/>
      <c r="J323" s="59"/>
      <c r="K323" s="59"/>
      <c r="L323" s="61"/>
      <c r="M323" s="288"/>
      <c r="N323" s="62"/>
      <c r="O323" s="62"/>
      <c r="P323" s="61"/>
      <c r="Q323" s="61"/>
      <c r="R323" s="61"/>
      <c r="S323" s="61"/>
      <c r="T323" s="61"/>
      <c r="U323" s="61"/>
      <c r="V323" s="61"/>
      <c r="W323" s="61"/>
      <c r="X323" s="61"/>
      <c r="Y323" s="61"/>
      <c r="Z323" s="61"/>
      <c r="AA323" s="61"/>
      <c r="AB323" s="62"/>
      <c r="AC323" s="62"/>
      <c r="AD323" s="12"/>
    </row>
    <row r="324" spans="1:30" s="17" customFormat="1" ht="18.5" collapsed="1" x14ac:dyDescent="0.35">
      <c r="A324" s="93" t="s">
        <v>98</v>
      </c>
      <c r="B324" s="14"/>
      <c r="C324" s="79"/>
      <c r="D324" s="79"/>
      <c r="E324" s="79"/>
      <c r="F324" s="78"/>
      <c r="G324" s="55"/>
      <c r="H324" s="55"/>
      <c r="I324" s="55"/>
      <c r="J324" s="55"/>
      <c r="K324" s="55"/>
      <c r="L324" s="55" t="s">
        <v>83</v>
      </c>
      <c r="M324" s="284" t="s">
        <v>76</v>
      </c>
      <c r="N324" s="56"/>
      <c r="O324" s="57"/>
      <c r="P324" s="58"/>
      <c r="Q324" s="58"/>
      <c r="R324" s="58"/>
      <c r="S324" s="349">
        <f>CEILING(SUMIF(J325:J330, "&lt;&gt;Yes", T325:T330),1)</f>
        <v>90</v>
      </c>
      <c r="T324" s="349"/>
      <c r="U324" s="58"/>
      <c r="V324" s="58"/>
      <c r="W324" s="58"/>
      <c r="X324" s="58"/>
      <c r="Y324" s="58"/>
      <c r="Z324" s="58"/>
      <c r="AA324" s="58"/>
      <c r="AB324" s="58"/>
      <c r="AC324" s="58"/>
      <c r="AD324" s="16"/>
    </row>
    <row r="325" spans="1:30" s="11" customFormat="1" ht="3" hidden="1" customHeight="1" outlineLevel="1" x14ac:dyDescent="0.35">
      <c r="A325" s="93" t="s">
        <v>99</v>
      </c>
      <c r="B325" s="18"/>
      <c r="C325" s="78"/>
      <c r="D325" s="78"/>
      <c r="E325" s="78"/>
      <c r="F325" s="78"/>
      <c r="G325" s="28"/>
      <c r="H325" s="28"/>
      <c r="I325" s="28"/>
      <c r="J325" s="28"/>
      <c r="K325" s="28"/>
      <c r="L325" s="29">
        <v>0</v>
      </c>
      <c r="M325" s="285"/>
      <c r="N325" s="28"/>
      <c r="O325" s="28"/>
      <c r="P325" s="28"/>
      <c r="Q325" s="28"/>
      <c r="R325" s="28"/>
      <c r="S325" s="28"/>
      <c r="T325" s="30"/>
      <c r="U325" s="28"/>
      <c r="V325" s="28"/>
      <c r="W325" s="28"/>
      <c r="X325" s="30"/>
      <c r="Y325" s="28"/>
      <c r="Z325" s="28"/>
      <c r="AA325" s="28"/>
      <c r="AB325" s="31"/>
      <c r="AC325" s="31"/>
      <c r="AD325" s="12"/>
    </row>
    <row r="326" spans="1:30" s="17" customFormat="1" ht="15.5" hidden="1" outlineLevel="1" collapsed="1" x14ac:dyDescent="0.35">
      <c r="A326" s="93" t="s">
        <v>100</v>
      </c>
      <c r="B326" s="21"/>
      <c r="C326" s="84"/>
      <c r="D326" s="84"/>
      <c r="E326" s="84"/>
      <c r="F326" s="83"/>
      <c r="G326" s="32"/>
      <c r="H326" s="32"/>
      <c r="I326" s="32"/>
      <c r="J326" s="32"/>
      <c r="K326" s="32"/>
      <c r="L326" s="20">
        <f ca="1">LOOKUP(1000,INDIRECT("L1:"&amp;CELL("address",INDIRECT("R[-1]C",FALSE))))+1</f>
        <v>1</v>
      </c>
      <c r="M326" s="317" t="s">
        <v>511</v>
      </c>
      <c r="N326" s="317"/>
      <c r="O326" s="5"/>
      <c r="P326" s="33"/>
      <c r="Q326" s="33"/>
      <c r="R326" s="33"/>
      <c r="S326" s="33"/>
      <c r="T326" s="167">
        <f>IF($S$6="Exclude", SUMIFS(S327:S329, J327:J329, "&lt;&gt;Yes", G327:G329, "&lt;&gt;Yes"), SUMIFS(S327:S329, J327:J329, "&lt;&gt;Yes"))</f>
        <v>89.5</v>
      </c>
      <c r="U326" s="33"/>
      <c r="V326" s="33"/>
      <c r="W326" s="33"/>
      <c r="X326" s="34"/>
      <c r="Y326" s="35"/>
      <c r="Z326" s="35"/>
      <c r="AA326" s="35"/>
      <c r="AB326" s="240"/>
      <c r="AC326" s="36"/>
      <c r="AD326" s="26" t="str">
        <f>IF(M326="", "Error: Task name cannot be empty.", "")</f>
        <v/>
      </c>
    </row>
    <row r="327" spans="1:30" s="15" customFormat="1" ht="1.5" hidden="1" customHeight="1" outlineLevel="2" x14ac:dyDescent="0.35">
      <c r="A327" s="93" t="s">
        <v>101</v>
      </c>
      <c r="B327" s="21"/>
      <c r="C327" s="84"/>
      <c r="D327" s="84"/>
      <c r="E327" s="84"/>
      <c r="F327" s="83"/>
      <c r="G327" s="32"/>
      <c r="H327" s="32"/>
      <c r="I327" s="32"/>
      <c r="J327" s="32"/>
      <c r="K327" s="32"/>
      <c r="L327" s="175">
        <f ca="1">L326</f>
        <v>1</v>
      </c>
      <c r="M327" s="176" t="s">
        <v>105</v>
      </c>
      <c r="N327" s="173"/>
      <c r="O327" s="174"/>
      <c r="P327" s="33"/>
      <c r="Q327" s="33"/>
      <c r="R327" s="33"/>
      <c r="S327" s="33"/>
      <c r="T327" s="167"/>
      <c r="U327" s="33"/>
      <c r="V327" s="33"/>
      <c r="W327" s="33"/>
      <c r="X327" s="34"/>
      <c r="Y327" s="35"/>
      <c r="Z327" s="35"/>
      <c r="AA327" s="35"/>
      <c r="AB327" s="36"/>
      <c r="AC327" s="36"/>
      <c r="AD327" s="26"/>
    </row>
    <row r="328" spans="1:30" ht="15.5" hidden="1" outlineLevel="2" x14ac:dyDescent="0.35">
      <c r="A328" s="93" t="s">
        <v>0</v>
      </c>
      <c r="B328" s="21"/>
      <c r="C328" s="85"/>
      <c r="D328" s="85"/>
      <c r="E328" s="85"/>
      <c r="F328" s="86"/>
      <c r="G328" s="22" t="s">
        <v>23</v>
      </c>
      <c r="H328" s="22" t="s">
        <v>23</v>
      </c>
      <c r="I328" s="23" t="s">
        <v>23</v>
      </c>
      <c r="J328" s="22" t="s">
        <v>23</v>
      </c>
      <c r="K328" s="38"/>
      <c r="L328" s="22"/>
      <c r="M328" s="286" t="str">
        <f ca="1">IFERROR(OFFSET(M328,-1,,1,1)+0.1,OFFSET(M328,-1,-1,1,1)&amp;".1")</f>
        <v>1.1</v>
      </c>
      <c r="N328" s="23" t="s">
        <v>512</v>
      </c>
      <c r="O328" s="23" t="s">
        <v>513</v>
      </c>
      <c r="P328" s="274">
        <v>0.1</v>
      </c>
      <c r="Q328" s="144"/>
      <c r="R328" s="137"/>
      <c r="S328" s="169">
        <f>CEILING((IF(J328="Yes", 0, IF(H328="-",AA328,AA328+AA328*VLOOKUP(H328,BUFFERS_BY_TYPE,2,FALSE)))) +
   (IF(J328="Yes", 0, IF(H328="-",AA328,AA328+AA328*VLOOKUP(H328,BUFFERS_BY_TYPE,2,FALSE))))*VLOOKUP($S$5, SALES_CALL_SCALE_ARRAY, 2,FALSE),0.25)</f>
        <v>89.5</v>
      </c>
      <c r="T328" s="170"/>
      <c r="U328" s="24">
        <v>0</v>
      </c>
      <c r="V328" s="24">
        <v>1</v>
      </c>
      <c r="W328" s="24">
        <v>0</v>
      </c>
      <c r="X328" s="168">
        <f>(REQ_EFFORT+DESIGN_EFFORT+DEV_EFFORT+QA_EFFORT+UAT_EFFORT) * P328</f>
        <v>89.300000000000011</v>
      </c>
      <c r="Y328" s="169">
        <f>CEILING((IF(P328=AS_DEV_EFFORT, DEV_EFFORT*Q328%,
                           IF(P328=AS_DURATION_EFFORT, (MANUAL_DURATION*5)*Q328%,
                                    (IF(Q328&lt;=1,X328,
                                          IF(SUM(U328:W328)=0,(Q328*X328),
                                               (((Q328*U328)*(X328+(X328*EXTRA_FOR_H)))+
                                               ((Q328*V328)*X328)+
                                               ((Q328*W328)*(X328-(X328*LESS_FOR_L)))
                                    )*IF(R328=0,1,R328))))))+Z328), 0.25)</f>
        <v>89.5</v>
      </c>
      <c r="Z328" s="25"/>
      <c r="AA328" s="169">
        <f>Y328+Y328*VLOOKUP(I328,EXTRAS_ARRAY,2,FALSE)</f>
        <v>89.5</v>
      </c>
      <c r="AB328" s="23"/>
      <c r="AC328" s="37"/>
      <c r="AD328" s="26" t="str">
        <f>IF(J328&lt;&gt;"Yes",
IF(S328&lt;=0,"Error: Effort value is not defined or is invalid.",
IF(AND(SUM(U328:W328)&gt;0,SUM(U328:W328)&lt;&gt;1),"Error: Complexity % distribution should sum to 100%.",
IF(AND(P328=AS_DEV_EFFORT,X328&lt;&gt;0),"Error: PDs should not be defined when defining as dev effort %.",
IF(AND(P328=AS_DURATION_EFFORT,X328&lt;&gt;0),"Error: PDs should not be defined when defining as duration effort %.","")))))</f>
        <v/>
      </c>
    </row>
    <row r="329" spans="1:30" s="11" customFormat="1" ht="7.5" hidden="1" customHeight="1" outlineLevel="2" x14ac:dyDescent="0.35">
      <c r="A329" s="93" t="s">
        <v>132</v>
      </c>
      <c r="B329" s="18"/>
      <c r="C329" s="78"/>
      <c r="D329" s="78"/>
      <c r="E329" s="78"/>
      <c r="F329" s="78"/>
      <c r="G329" s="10"/>
      <c r="H329" s="10"/>
      <c r="I329" s="10"/>
      <c r="J329" s="10"/>
      <c r="K329" s="10"/>
      <c r="L329" s="10"/>
      <c r="M329" s="287"/>
      <c r="N329" s="10"/>
      <c r="O329" s="10"/>
      <c r="P329" s="10"/>
      <c r="Q329" s="10"/>
      <c r="R329" s="10"/>
      <c r="S329" s="10"/>
      <c r="T329" s="18"/>
      <c r="U329" s="10"/>
      <c r="V329" s="10"/>
      <c r="W329" s="10"/>
      <c r="X329" s="18"/>
      <c r="Y329" s="10"/>
      <c r="Z329" s="10"/>
      <c r="AA329" s="10"/>
      <c r="AB329" s="60"/>
      <c r="AC329" s="60"/>
      <c r="AD329" s="12"/>
    </row>
    <row r="330" spans="1:30" s="11" customFormat="1" ht="3" hidden="1" customHeight="1" outlineLevel="1" x14ac:dyDescent="0.35">
      <c r="A330" s="93" t="s">
        <v>102</v>
      </c>
      <c r="B330" s="10"/>
      <c r="C330" s="78"/>
      <c r="D330" s="78"/>
      <c r="E330" s="78"/>
      <c r="F330" s="78"/>
      <c r="G330" s="59"/>
      <c r="H330" s="59"/>
      <c r="I330" s="59"/>
      <c r="J330" s="59"/>
      <c r="K330" s="59"/>
      <c r="L330" s="61"/>
      <c r="M330" s="288"/>
      <c r="N330" s="62"/>
      <c r="O330" s="62"/>
      <c r="P330" s="61"/>
      <c r="Q330" s="61"/>
      <c r="R330" s="61"/>
      <c r="S330" s="61"/>
      <c r="T330" s="61"/>
      <c r="U330" s="61"/>
      <c r="V330" s="61"/>
      <c r="W330" s="61"/>
      <c r="X330" s="61"/>
      <c r="Y330" s="61"/>
      <c r="Z330" s="61"/>
      <c r="AA330" s="61"/>
      <c r="AB330" s="62"/>
      <c r="AC330" s="62"/>
      <c r="AD330" s="12"/>
    </row>
    <row r="331" spans="1:30" s="11" customFormat="1" ht="20.25" customHeight="1" x14ac:dyDescent="0.35">
      <c r="A331" s="93" t="s">
        <v>103</v>
      </c>
      <c r="B331" s="10"/>
      <c r="C331" s="78"/>
      <c r="D331" s="78"/>
      <c r="E331" s="78"/>
      <c r="F331" s="78"/>
      <c r="G331" s="43"/>
      <c r="H331" s="43"/>
      <c r="I331" s="43"/>
      <c r="J331" s="43"/>
      <c r="K331" s="43"/>
      <c r="L331" s="146"/>
      <c r="M331" s="281"/>
      <c r="N331" s="43"/>
      <c r="O331" s="43"/>
      <c r="P331" s="43"/>
      <c r="Q331" s="43"/>
      <c r="R331" s="43"/>
      <c r="S331" s="350">
        <f>TOTAL_EFFORT</f>
        <v>983</v>
      </c>
      <c r="T331" s="350"/>
      <c r="U331" s="43"/>
      <c r="V331" s="43"/>
      <c r="W331" s="43"/>
      <c r="X331" s="43"/>
      <c r="Y331" s="43"/>
      <c r="Z331" s="43"/>
      <c r="AA331" s="43"/>
      <c r="AB331" s="145"/>
      <c r="AC331" s="43"/>
      <c r="AD331" s="12"/>
    </row>
    <row r="332" spans="1:30" s="11" customFormat="1" x14ac:dyDescent="0.35">
      <c r="A332" s="93"/>
      <c r="B332" s="10"/>
      <c r="C332" s="80"/>
      <c r="D332" s="80"/>
      <c r="E332" s="80"/>
      <c r="F332" s="78"/>
      <c r="M332" s="275"/>
      <c r="N332" s="12"/>
      <c r="O332" s="12"/>
      <c r="AB332" s="12"/>
      <c r="AC332" s="12"/>
      <c r="AD332" s="12"/>
    </row>
    <row r="333" spans="1:30" s="11" customFormat="1" ht="20.25" customHeight="1" x14ac:dyDescent="0.35">
      <c r="A333" s="93"/>
      <c r="B333" s="10"/>
      <c r="C333" s="78"/>
      <c r="D333" s="78"/>
      <c r="E333" s="78"/>
      <c r="F333" s="78"/>
      <c r="G333" s="343" t="s">
        <v>48</v>
      </c>
      <c r="H333" s="343"/>
      <c r="I333" s="200"/>
      <c r="J333" s="43"/>
      <c r="K333" s="43"/>
      <c r="L333" s="39"/>
      <c r="M333" s="289" t="s">
        <v>154</v>
      </c>
      <c r="N333" s="39"/>
      <c r="O333" s="39"/>
      <c r="P333" s="39"/>
      <c r="Q333" s="39"/>
      <c r="R333" s="39"/>
      <c r="S333" s="39"/>
      <c r="T333" s="39"/>
      <c r="U333" s="39"/>
      <c r="V333" s="39"/>
      <c r="W333" s="39"/>
      <c r="X333" s="39"/>
      <c r="Y333" s="39"/>
      <c r="Z333" s="39"/>
      <c r="AA333" s="39"/>
      <c r="AB333" s="39"/>
      <c r="AC333" s="39"/>
      <c r="AD333" s="12"/>
    </row>
    <row r="334" spans="1:30" s="11" customFormat="1" outlineLevel="1" x14ac:dyDescent="0.35">
      <c r="A334" s="93"/>
      <c r="B334" s="10"/>
      <c r="C334" s="80"/>
      <c r="D334" s="80"/>
      <c r="E334" s="80"/>
      <c r="F334" s="78"/>
      <c r="G334" s="28"/>
      <c r="H334" s="28"/>
      <c r="I334" s="28"/>
      <c r="J334" s="28"/>
      <c r="K334" s="28"/>
      <c r="L334" s="28"/>
      <c r="M334" s="285"/>
      <c r="N334" s="31"/>
      <c r="O334" s="31"/>
      <c r="P334" s="28"/>
      <c r="Q334" s="28"/>
      <c r="R334" s="28"/>
      <c r="S334" s="28"/>
      <c r="T334" s="28"/>
      <c r="U334" s="28"/>
      <c r="V334" s="28"/>
      <c r="W334" s="28"/>
      <c r="X334" s="28"/>
      <c r="Y334" s="28"/>
      <c r="Z334" s="28"/>
      <c r="AA334" s="28"/>
      <c r="AB334" s="31"/>
      <c r="AC334" s="31"/>
      <c r="AD334" s="12"/>
    </row>
    <row r="335" spans="1:30" s="11" customFormat="1" ht="15" customHeight="1" outlineLevel="1" x14ac:dyDescent="0.35">
      <c r="A335" s="93"/>
      <c r="B335" s="10"/>
      <c r="C335" s="80"/>
      <c r="D335" s="80"/>
      <c r="E335" s="80"/>
      <c r="F335" s="78"/>
      <c r="G335" s="28"/>
      <c r="H335" s="28"/>
      <c r="I335" s="28"/>
      <c r="J335" s="28"/>
      <c r="K335" s="28"/>
      <c r="L335" s="28"/>
      <c r="M335" s="325" t="s">
        <v>450</v>
      </c>
      <c r="N335" s="325"/>
      <c r="O335" s="325"/>
      <c r="P335" s="325"/>
      <c r="Q335" s="325"/>
      <c r="R335" s="325"/>
      <c r="S335" s="325"/>
      <c r="T335" s="325"/>
      <c r="U335" s="31"/>
      <c r="V335" s="31"/>
      <c r="W335" s="31"/>
      <c r="X335" s="28"/>
      <c r="Y335" s="28"/>
      <c r="Z335" s="28"/>
      <c r="AA335" s="28"/>
      <c r="AB335" s="31"/>
      <c r="AC335" s="31"/>
      <c r="AD335" s="12"/>
    </row>
    <row r="336" spans="1:30" s="11" customFormat="1" outlineLevel="1" x14ac:dyDescent="0.35">
      <c r="A336" s="93"/>
      <c r="B336" s="10"/>
      <c r="C336" s="80"/>
      <c r="D336" s="80"/>
      <c r="E336" s="80"/>
      <c r="F336" s="78"/>
      <c r="G336" s="28"/>
      <c r="H336" s="28"/>
      <c r="I336" s="28"/>
      <c r="J336" s="28"/>
      <c r="K336" s="28"/>
      <c r="L336" s="28"/>
      <c r="M336" s="325"/>
      <c r="N336" s="325"/>
      <c r="O336" s="325"/>
      <c r="P336" s="325"/>
      <c r="Q336" s="325"/>
      <c r="R336" s="325"/>
      <c r="S336" s="325"/>
      <c r="T336" s="325"/>
      <c r="U336" s="31"/>
      <c r="V336" s="31"/>
      <c r="W336" s="31"/>
      <c r="X336" s="28"/>
      <c r="Y336" s="28"/>
      <c r="Z336" s="28"/>
      <c r="AA336" s="28"/>
      <c r="AB336" s="31"/>
      <c r="AC336" s="31"/>
      <c r="AD336" s="12"/>
    </row>
    <row r="337" spans="1:30" s="11" customFormat="1" ht="3.75" customHeight="1" outlineLevel="1" x14ac:dyDescent="0.35">
      <c r="A337" s="93"/>
      <c r="B337" s="10"/>
      <c r="C337" s="80"/>
      <c r="D337" s="80"/>
      <c r="E337" s="80"/>
      <c r="F337" s="78"/>
      <c r="G337" s="28"/>
      <c r="H337" s="28"/>
      <c r="I337" s="28"/>
      <c r="J337" s="28"/>
      <c r="K337" s="28"/>
      <c r="L337" s="28"/>
      <c r="M337" s="285"/>
      <c r="N337" s="31"/>
      <c r="O337" s="31"/>
      <c r="P337" s="28"/>
      <c r="Q337" s="28"/>
      <c r="R337" s="28"/>
      <c r="S337" s="28"/>
      <c r="T337" s="28"/>
      <c r="U337" s="28"/>
      <c r="V337" s="28"/>
      <c r="W337" s="28"/>
      <c r="X337" s="28"/>
      <c r="Y337" s="28"/>
      <c r="Z337" s="28"/>
      <c r="AA337" s="28"/>
      <c r="AB337" s="31"/>
      <c r="AC337" s="31"/>
      <c r="AD337" s="12"/>
    </row>
    <row r="338" spans="1:30" s="11" customFormat="1" ht="15.5" outlineLevel="1" x14ac:dyDescent="0.35">
      <c r="A338" s="93"/>
      <c r="B338" s="10"/>
      <c r="C338" s="80"/>
      <c r="D338" s="80"/>
      <c r="E338" s="80"/>
      <c r="F338" s="78"/>
      <c r="G338" s="28"/>
      <c r="H338" s="28"/>
      <c r="I338" s="28"/>
      <c r="J338" s="28"/>
      <c r="K338" s="28"/>
      <c r="L338" s="28"/>
      <c r="M338" s="290" t="s">
        <v>153</v>
      </c>
      <c r="N338" s="203" t="s">
        <v>3</v>
      </c>
      <c r="O338" s="207" t="s">
        <v>59</v>
      </c>
      <c r="P338" s="206" t="str">
        <f>"Cost ("&amp;CHOSEN_CURRENCY&amp;")"</f>
        <v>Cost (-)</v>
      </c>
      <c r="Q338" s="28"/>
      <c r="R338" s="242" t="s">
        <v>441</v>
      </c>
      <c r="S338" s="63" t="s">
        <v>449</v>
      </c>
      <c r="T338" s="253" t="s">
        <v>451</v>
      </c>
      <c r="U338" s="241"/>
      <c r="V338" s="241"/>
      <c r="W338" s="28"/>
      <c r="X338" s="241"/>
      <c r="Y338" s="28"/>
      <c r="Z338" s="28"/>
      <c r="AA338" s="28"/>
      <c r="AB338" s="31"/>
      <c r="AC338" s="31"/>
      <c r="AD338" s="12"/>
    </row>
    <row r="339" spans="1:30" s="11" customFormat="1" ht="3" customHeight="1" outlineLevel="1" x14ac:dyDescent="0.35">
      <c r="A339" s="93"/>
      <c r="B339" s="10"/>
      <c r="C339" s="80"/>
      <c r="D339" s="80"/>
      <c r="E339" s="80"/>
      <c r="F339" s="78"/>
      <c r="G339" s="28"/>
      <c r="H339" s="28"/>
      <c r="I339" s="28"/>
      <c r="J339" s="28"/>
      <c r="K339" s="28"/>
      <c r="L339" s="28"/>
      <c r="M339" s="291"/>
      <c r="N339" s="268"/>
      <c r="O339" s="268"/>
      <c r="P339" s="267"/>
      <c r="Q339" s="28"/>
      <c r="R339" s="28"/>
      <c r="S339" s="28"/>
      <c r="T339" s="28"/>
      <c r="U339" s="28"/>
      <c r="V339" s="28"/>
      <c r="W339" s="28"/>
      <c r="X339" s="28"/>
      <c r="Y339" s="28"/>
      <c r="Z339" s="28"/>
      <c r="AA339" s="28"/>
      <c r="AB339" s="31"/>
      <c r="AC339" s="31"/>
      <c r="AD339" s="12"/>
    </row>
    <row r="340" spans="1:30" s="11" customFormat="1" outlineLevel="1" x14ac:dyDescent="0.35">
      <c r="A340" s="93"/>
      <c r="B340" s="10"/>
      <c r="C340" s="80"/>
      <c r="D340" s="80"/>
      <c r="E340" s="80"/>
      <c r="F340" s="78"/>
      <c r="G340" s="28"/>
      <c r="H340" s="28"/>
      <c r="I340" s="28"/>
      <c r="J340" s="28"/>
      <c r="K340" s="28"/>
      <c r="L340" s="28"/>
      <c r="M340" s="285"/>
      <c r="N340" s="31"/>
      <c r="O340" s="31"/>
      <c r="P340" s="28"/>
      <c r="Q340" s="28"/>
      <c r="R340" s="28"/>
      <c r="S340" s="28"/>
      <c r="T340" s="28"/>
      <c r="U340" s="28"/>
      <c r="V340" s="28"/>
      <c r="W340" s="28"/>
      <c r="X340" s="28"/>
      <c r="Y340" s="28"/>
      <c r="Z340" s="28"/>
      <c r="AA340" s="28"/>
      <c r="AB340" s="31"/>
      <c r="AC340" s="31"/>
      <c r="AD340" s="12"/>
    </row>
    <row r="341" spans="1:30" s="305" customFormat="1" outlineLevel="1" x14ac:dyDescent="0.35">
      <c r="A341" s="93"/>
      <c r="B341" s="298"/>
      <c r="C341" s="299"/>
      <c r="D341" s="299"/>
      <c r="E341" s="299"/>
      <c r="F341" s="78"/>
      <c r="G341" s="241"/>
      <c r="H341" s="241"/>
      <c r="I341" s="241"/>
      <c r="J341" s="241"/>
      <c r="K341" s="241"/>
      <c r="L341" s="241"/>
      <c r="M341" s="300">
        <v>1</v>
      </c>
      <c r="N341" s="301" t="s">
        <v>447</v>
      </c>
      <c r="O341" s="302">
        <v>125.3</v>
      </c>
      <c r="P341" s="303">
        <v>28063.7</v>
      </c>
      <c r="Q341" s="241"/>
      <c r="R341" s="241"/>
      <c r="S341" s="241"/>
      <c r="T341" s="241"/>
      <c r="U341" s="241"/>
      <c r="V341" s="241"/>
      <c r="W341" s="241"/>
      <c r="X341" s="241"/>
      <c r="Y341" s="241"/>
      <c r="Z341" s="241"/>
      <c r="AA341" s="241"/>
      <c r="AB341" s="301"/>
      <c r="AC341" s="301"/>
      <c r="AD341" s="304"/>
    </row>
    <row r="342" spans="1:30" s="305" customFormat="1" outlineLevel="1" x14ac:dyDescent="0.35">
      <c r="A342" s="93"/>
      <c r="B342" s="298"/>
      <c r="C342" s="299"/>
      <c r="D342" s="299"/>
      <c r="E342" s="299"/>
      <c r="F342" s="78"/>
      <c r="G342" s="241"/>
      <c r="H342" s="241"/>
      <c r="I342" s="241"/>
      <c r="J342" s="241"/>
      <c r="K342" s="241"/>
      <c r="L342" s="241"/>
      <c r="M342" s="300">
        <v>2</v>
      </c>
      <c r="N342" s="301" t="s">
        <v>448</v>
      </c>
      <c r="O342" s="302">
        <v>118.1</v>
      </c>
      <c r="P342" s="303">
        <v>26444.6</v>
      </c>
      <c r="Q342" s="241"/>
      <c r="R342" s="241"/>
      <c r="S342" s="241"/>
      <c r="T342" s="241"/>
      <c r="U342" s="241"/>
      <c r="V342" s="241"/>
      <c r="W342" s="241"/>
      <c r="X342" s="241"/>
      <c r="Y342" s="241"/>
      <c r="Z342" s="241"/>
      <c r="AA342" s="241"/>
      <c r="AB342" s="301"/>
      <c r="AC342" s="301"/>
      <c r="AD342" s="304"/>
    </row>
    <row r="343" spans="1:30" s="316" customFormat="1" outlineLevel="1" x14ac:dyDescent="0.35">
      <c r="A343" s="306"/>
      <c r="B343" s="307"/>
      <c r="C343" s="308"/>
      <c r="D343" s="308"/>
      <c r="E343" s="308"/>
      <c r="F343" s="309"/>
      <c r="G343" s="310"/>
      <c r="H343" s="310"/>
      <c r="I343" s="310"/>
      <c r="J343" s="310"/>
      <c r="K343" s="310"/>
      <c r="L343" s="310"/>
      <c r="M343" s="311" t="s">
        <v>109</v>
      </c>
      <c r="N343" s="312" t="s">
        <v>657</v>
      </c>
      <c r="O343" s="313">
        <v>124.1</v>
      </c>
      <c r="P343" s="314">
        <v>27793.8</v>
      </c>
      <c r="Q343" s="310"/>
      <c r="R343" s="310"/>
      <c r="S343" s="310"/>
      <c r="T343" s="310"/>
      <c r="U343" s="310"/>
      <c r="V343" s="310"/>
      <c r="W343" s="310"/>
      <c r="X343" s="310"/>
      <c r="Y343" s="310"/>
      <c r="Z343" s="310"/>
      <c r="AA343" s="310"/>
      <c r="AB343" s="312"/>
      <c r="AC343" s="312"/>
      <c r="AD343" s="315"/>
    </row>
    <row r="344" spans="1:30" s="305" customFormat="1" outlineLevel="1" x14ac:dyDescent="0.35">
      <c r="A344" s="93"/>
      <c r="B344" s="298"/>
      <c r="C344" s="299"/>
      <c r="D344" s="299"/>
      <c r="E344" s="299"/>
      <c r="F344" s="78"/>
      <c r="G344" s="241"/>
      <c r="H344" s="241"/>
      <c r="I344" s="241"/>
      <c r="J344" s="241"/>
      <c r="K344" s="241"/>
      <c r="L344" s="241"/>
      <c r="M344" s="300">
        <v>3</v>
      </c>
      <c r="N344" s="301" t="s">
        <v>562</v>
      </c>
      <c r="O344" s="302">
        <v>15.7</v>
      </c>
      <c r="P344" s="303">
        <v>3508</v>
      </c>
      <c r="Q344" s="241"/>
      <c r="R344" s="241"/>
      <c r="S344" s="241"/>
      <c r="T344" s="241"/>
      <c r="U344" s="241"/>
      <c r="V344" s="241"/>
      <c r="W344" s="241"/>
      <c r="X344" s="241"/>
      <c r="Y344" s="241"/>
      <c r="Z344" s="241"/>
      <c r="AA344" s="241"/>
      <c r="AB344" s="301"/>
      <c r="AC344" s="301"/>
      <c r="AD344" s="304"/>
    </row>
    <row r="345" spans="1:30" s="305" customFormat="1" outlineLevel="1" x14ac:dyDescent="0.35">
      <c r="A345" s="93"/>
      <c r="B345" s="298"/>
      <c r="C345" s="299"/>
      <c r="D345" s="299"/>
      <c r="E345" s="299"/>
      <c r="F345" s="78"/>
      <c r="G345" s="241"/>
      <c r="H345" s="241"/>
      <c r="I345" s="241"/>
      <c r="J345" s="241"/>
      <c r="K345" s="241"/>
      <c r="L345" s="241"/>
      <c r="M345" s="300">
        <v>4</v>
      </c>
      <c r="N345" s="301" t="s">
        <v>578</v>
      </c>
      <c r="O345" s="302">
        <v>28.9</v>
      </c>
      <c r="P345" s="303">
        <v>6476.2</v>
      </c>
      <c r="Q345" s="241"/>
      <c r="R345" s="241"/>
      <c r="S345" s="241"/>
      <c r="T345" s="241"/>
      <c r="U345" s="241"/>
      <c r="V345" s="241"/>
      <c r="W345" s="241"/>
      <c r="X345" s="241"/>
      <c r="Y345" s="241"/>
      <c r="Z345" s="241"/>
      <c r="AA345" s="241"/>
      <c r="AB345" s="301"/>
      <c r="AC345" s="301"/>
      <c r="AD345" s="304"/>
    </row>
    <row r="346" spans="1:30" s="305" customFormat="1" outlineLevel="1" x14ac:dyDescent="0.35">
      <c r="A346" s="93"/>
      <c r="B346" s="298"/>
      <c r="C346" s="299"/>
      <c r="D346" s="299"/>
      <c r="E346" s="299"/>
      <c r="F346" s="78"/>
      <c r="G346" s="241"/>
      <c r="H346" s="241"/>
      <c r="I346" s="241"/>
      <c r="J346" s="241"/>
      <c r="K346" s="241"/>
      <c r="L346" s="241"/>
      <c r="M346" s="300">
        <v>5</v>
      </c>
      <c r="N346" s="301" t="s">
        <v>581</v>
      </c>
      <c r="O346" s="302">
        <v>21.7</v>
      </c>
      <c r="P346" s="303">
        <v>4857.2</v>
      </c>
      <c r="Q346" s="241"/>
      <c r="R346" s="241"/>
      <c r="S346" s="241"/>
      <c r="T346" s="241"/>
      <c r="U346" s="241"/>
      <c r="V346" s="241"/>
      <c r="W346" s="241"/>
      <c r="X346" s="241"/>
      <c r="Y346" s="241"/>
      <c r="Z346" s="241"/>
      <c r="AA346" s="241"/>
      <c r="AB346" s="301"/>
      <c r="AC346" s="301"/>
      <c r="AD346" s="304"/>
    </row>
    <row r="347" spans="1:30" s="305" customFormat="1" outlineLevel="1" x14ac:dyDescent="0.35">
      <c r="A347" s="93"/>
      <c r="B347" s="298"/>
      <c r="C347" s="299"/>
      <c r="D347" s="299"/>
      <c r="E347" s="299"/>
      <c r="F347" s="78"/>
      <c r="G347" s="241"/>
      <c r="H347" s="241"/>
      <c r="I347" s="241"/>
      <c r="J347" s="241"/>
      <c r="K347" s="241"/>
      <c r="L347" s="241"/>
      <c r="M347" s="300">
        <v>6</v>
      </c>
      <c r="N347" s="301" t="s">
        <v>583</v>
      </c>
      <c r="O347" s="302">
        <v>16.899999999999999</v>
      </c>
      <c r="P347" s="303">
        <v>3777.8</v>
      </c>
      <c r="Q347" s="241"/>
      <c r="R347" s="241"/>
      <c r="S347" s="241"/>
      <c r="T347" s="241"/>
      <c r="U347" s="241"/>
      <c r="V347" s="241"/>
      <c r="W347" s="241"/>
      <c r="X347" s="241"/>
      <c r="Y347" s="241"/>
      <c r="Z347" s="241"/>
      <c r="AA347" s="241"/>
      <c r="AB347" s="301"/>
      <c r="AC347" s="301"/>
      <c r="AD347" s="304"/>
    </row>
    <row r="348" spans="1:30" s="305" customFormat="1" outlineLevel="1" x14ac:dyDescent="0.35">
      <c r="A348" s="93"/>
      <c r="B348" s="298"/>
      <c r="C348" s="299"/>
      <c r="D348" s="299"/>
      <c r="E348" s="299"/>
      <c r="F348" s="78"/>
      <c r="G348" s="241"/>
      <c r="H348" s="241"/>
      <c r="I348" s="241"/>
      <c r="J348" s="241"/>
      <c r="K348" s="241"/>
      <c r="L348" s="241"/>
      <c r="M348" s="300">
        <v>7</v>
      </c>
      <c r="N348" s="301" t="s">
        <v>585</v>
      </c>
      <c r="O348" s="302">
        <v>12</v>
      </c>
      <c r="P348" s="303">
        <v>2698.4</v>
      </c>
      <c r="Q348" s="241"/>
      <c r="R348" s="241"/>
      <c r="S348" s="241"/>
      <c r="T348" s="241"/>
      <c r="U348" s="241"/>
      <c r="V348" s="241"/>
      <c r="W348" s="241"/>
      <c r="X348" s="241"/>
      <c r="Y348" s="241"/>
      <c r="Z348" s="241"/>
      <c r="AA348" s="241"/>
      <c r="AB348" s="301"/>
      <c r="AC348" s="301"/>
      <c r="AD348" s="304"/>
    </row>
    <row r="349" spans="1:30" s="305" customFormat="1" outlineLevel="1" x14ac:dyDescent="0.35">
      <c r="A349" s="93"/>
      <c r="B349" s="298"/>
      <c r="C349" s="299"/>
      <c r="D349" s="299"/>
      <c r="E349" s="299"/>
      <c r="F349" s="78"/>
      <c r="G349" s="241"/>
      <c r="H349" s="241"/>
      <c r="I349" s="241"/>
      <c r="J349" s="241"/>
      <c r="K349" s="241"/>
      <c r="L349" s="241"/>
      <c r="M349" s="300">
        <v>8</v>
      </c>
      <c r="N349" s="301" t="s">
        <v>587</v>
      </c>
      <c r="O349" s="302">
        <v>28.9</v>
      </c>
      <c r="P349" s="303">
        <v>6476.2</v>
      </c>
      <c r="Q349" s="241"/>
      <c r="R349" s="241"/>
      <c r="S349" s="241"/>
      <c r="T349" s="241"/>
      <c r="U349" s="241"/>
      <c r="V349" s="241"/>
      <c r="W349" s="241"/>
      <c r="X349" s="241"/>
      <c r="Y349" s="241"/>
      <c r="Z349" s="241"/>
      <c r="AA349" s="241"/>
      <c r="AB349" s="301"/>
      <c r="AC349" s="301"/>
      <c r="AD349" s="304"/>
    </row>
    <row r="350" spans="1:30" s="316" customFormat="1" outlineLevel="1" x14ac:dyDescent="0.35">
      <c r="A350" s="306"/>
      <c r="B350" s="307"/>
      <c r="C350" s="308"/>
      <c r="D350" s="308"/>
      <c r="E350" s="308"/>
      <c r="F350" s="309"/>
      <c r="G350" s="310"/>
      <c r="H350" s="310"/>
      <c r="I350" s="310"/>
      <c r="J350" s="310"/>
      <c r="K350" s="310"/>
      <c r="L350" s="310"/>
      <c r="M350" s="311" t="s">
        <v>109</v>
      </c>
      <c r="N350" s="312" t="s">
        <v>656</v>
      </c>
      <c r="O350" s="313">
        <v>91.6</v>
      </c>
      <c r="P350" s="314">
        <v>20508.099999999999</v>
      </c>
      <c r="Q350" s="310"/>
      <c r="R350" s="310"/>
      <c r="S350" s="310"/>
      <c r="T350" s="310"/>
      <c r="U350" s="310"/>
      <c r="V350" s="310"/>
      <c r="W350" s="310"/>
      <c r="X350" s="310"/>
      <c r="Y350" s="310"/>
      <c r="Z350" s="310"/>
      <c r="AA350" s="310"/>
      <c r="AB350" s="312"/>
      <c r="AC350" s="312"/>
      <c r="AD350" s="315"/>
    </row>
    <row r="351" spans="1:30" s="305" customFormat="1" outlineLevel="1" x14ac:dyDescent="0.35">
      <c r="A351" s="93"/>
      <c r="B351" s="298"/>
      <c r="C351" s="299"/>
      <c r="D351" s="299"/>
      <c r="E351" s="299"/>
      <c r="F351" s="78"/>
      <c r="G351" s="241"/>
      <c r="H351" s="241"/>
      <c r="I351" s="241"/>
      <c r="J351" s="241"/>
      <c r="K351" s="241"/>
      <c r="L351" s="241"/>
      <c r="M351" s="300">
        <v>9</v>
      </c>
      <c r="N351" s="301" t="s">
        <v>590</v>
      </c>
      <c r="O351" s="302">
        <v>12</v>
      </c>
      <c r="P351" s="303">
        <v>2698.4</v>
      </c>
      <c r="Q351" s="241"/>
      <c r="R351" s="241"/>
      <c r="S351" s="241"/>
      <c r="T351" s="241"/>
      <c r="U351" s="241"/>
      <c r="V351" s="241"/>
      <c r="W351" s="241"/>
      <c r="X351" s="241"/>
      <c r="Y351" s="241"/>
      <c r="Z351" s="241"/>
      <c r="AA351" s="241"/>
      <c r="AB351" s="301"/>
      <c r="AC351" s="301"/>
      <c r="AD351" s="304"/>
    </row>
    <row r="352" spans="1:30" s="305" customFormat="1" outlineLevel="1" x14ac:dyDescent="0.35">
      <c r="A352" s="93"/>
      <c r="B352" s="298"/>
      <c r="C352" s="299"/>
      <c r="D352" s="299"/>
      <c r="E352" s="299"/>
      <c r="F352" s="78"/>
      <c r="G352" s="241"/>
      <c r="H352" s="241"/>
      <c r="I352" s="241"/>
      <c r="J352" s="241"/>
      <c r="K352" s="241"/>
      <c r="L352" s="241"/>
      <c r="M352" s="300">
        <v>10</v>
      </c>
      <c r="N352" s="301" t="s">
        <v>592</v>
      </c>
      <c r="O352" s="302">
        <v>24.1</v>
      </c>
      <c r="P352" s="303">
        <v>5396.9</v>
      </c>
      <c r="Q352" s="241"/>
      <c r="R352" s="241"/>
      <c r="S352" s="241"/>
      <c r="T352" s="241"/>
      <c r="U352" s="241"/>
      <c r="V352" s="241"/>
      <c r="W352" s="241"/>
      <c r="X352" s="241"/>
      <c r="Y352" s="241"/>
      <c r="Z352" s="241"/>
      <c r="AA352" s="241"/>
      <c r="AB352" s="301"/>
      <c r="AC352" s="301"/>
      <c r="AD352" s="304"/>
    </row>
    <row r="353" spans="1:30" s="305" customFormat="1" outlineLevel="1" x14ac:dyDescent="0.35">
      <c r="A353" s="93"/>
      <c r="B353" s="298"/>
      <c r="C353" s="299"/>
      <c r="D353" s="299"/>
      <c r="E353" s="299"/>
      <c r="F353" s="78"/>
      <c r="G353" s="241"/>
      <c r="H353" s="241"/>
      <c r="I353" s="241"/>
      <c r="J353" s="241"/>
      <c r="K353" s="241"/>
      <c r="L353" s="241"/>
      <c r="M353" s="300">
        <v>11</v>
      </c>
      <c r="N353" s="301" t="s">
        <v>594</v>
      </c>
      <c r="O353" s="302">
        <v>25.3</v>
      </c>
      <c r="P353" s="303">
        <v>5666.7</v>
      </c>
      <c r="Q353" s="241"/>
      <c r="R353" s="241"/>
      <c r="S353" s="241"/>
      <c r="T353" s="241"/>
      <c r="U353" s="241"/>
      <c r="V353" s="241"/>
      <c r="W353" s="241"/>
      <c r="X353" s="241"/>
      <c r="Y353" s="241"/>
      <c r="Z353" s="241"/>
      <c r="AA353" s="241"/>
      <c r="AB353" s="301"/>
      <c r="AC353" s="301"/>
      <c r="AD353" s="304"/>
    </row>
    <row r="354" spans="1:30" s="305" customFormat="1" outlineLevel="1" x14ac:dyDescent="0.35">
      <c r="A354" s="93"/>
      <c r="B354" s="298"/>
      <c r="C354" s="299"/>
      <c r="D354" s="299"/>
      <c r="E354" s="299"/>
      <c r="F354" s="78"/>
      <c r="G354" s="241"/>
      <c r="H354" s="241"/>
      <c r="I354" s="241"/>
      <c r="J354" s="241"/>
      <c r="K354" s="241"/>
      <c r="L354" s="241"/>
      <c r="M354" s="300">
        <v>12</v>
      </c>
      <c r="N354" s="301" t="s">
        <v>596</v>
      </c>
      <c r="O354" s="302">
        <v>30.1</v>
      </c>
      <c r="P354" s="303">
        <v>6746.1</v>
      </c>
      <c r="Q354" s="241"/>
      <c r="R354" s="241"/>
      <c r="S354" s="241"/>
      <c r="T354" s="241"/>
      <c r="U354" s="241"/>
      <c r="V354" s="241"/>
      <c r="W354" s="241"/>
      <c r="X354" s="241"/>
      <c r="Y354" s="241"/>
      <c r="Z354" s="241"/>
      <c r="AA354" s="241"/>
      <c r="AB354" s="301"/>
      <c r="AC354" s="301"/>
      <c r="AD354" s="304"/>
    </row>
    <row r="355" spans="1:30" s="316" customFormat="1" outlineLevel="1" x14ac:dyDescent="0.35">
      <c r="A355" s="306"/>
      <c r="B355" s="307"/>
      <c r="C355" s="308"/>
      <c r="D355" s="308"/>
      <c r="E355" s="308"/>
      <c r="F355" s="309"/>
      <c r="G355" s="310"/>
      <c r="H355" s="310"/>
      <c r="I355" s="310"/>
      <c r="J355" s="310"/>
      <c r="K355" s="310"/>
      <c r="L355" s="310"/>
      <c r="M355" s="311" t="s">
        <v>109</v>
      </c>
      <c r="N355" s="312" t="s">
        <v>670</v>
      </c>
      <c r="O355" s="313">
        <v>237.3</v>
      </c>
      <c r="P355" s="314">
        <v>53159.1</v>
      </c>
      <c r="Q355" s="310"/>
      <c r="R355" s="310"/>
      <c r="S355" s="310"/>
      <c r="T355" s="310"/>
      <c r="U355" s="310"/>
      <c r="V355" s="310"/>
      <c r="W355" s="310"/>
      <c r="X355" s="310"/>
      <c r="Y355" s="310"/>
      <c r="Z355" s="310"/>
      <c r="AA355" s="310"/>
      <c r="AB355" s="312"/>
      <c r="AC355" s="312"/>
      <c r="AD355" s="315"/>
    </row>
    <row r="356" spans="1:30" s="305" customFormat="1" outlineLevel="1" x14ac:dyDescent="0.35">
      <c r="A356" s="93"/>
      <c r="B356" s="298"/>
      <c r="C356" s="299"/>
      <c r="D356" s="299"/>
      <c r="E356" s="299"/>
      <c r="F356" s="78"/>
      <c r="G356" s="241"/>
      <c r="H356" s="241"/>
      <c r="I356" s="241"/>
      <c r="J356" s="241"/>
      <c r="K356" s="241"/>
      <c r="L356" s="241"/>
      <c r="M356" s="300">
        <v>13</v>
      </c>
      <c r="N356" s="301" t="s">
        <v>589</v>
      </c>
      <c r="O356" s="302">
        <v>16.899999999999999</v>
      </c>
      <c r="P356" s="303">
        <v>3777.8</v>
      </c>
      <c r="Q356" s="241"/>
      <c r="R356" s="241"/>
      <c r="S356" s="241"/>
      <c r="T356" s="241"/>
      <c r="U356" s="241"/>
      <c r="V356" s="241"/>
      <c r="W356" s="241"/>
      <c r="X356" s="241"/>
      <c r="Y356" s="241"/>
      <c r="Z356" s="241"/>
      <c r="AA356" s="241"/>
      <c r="AB356" s="301"/>
      <c r="AC356" s="301"/>
      <c r="AD356" s="304"/>
    </row>
    <row r="357" spans="1:30" s="305" customFormat="1" outlineLevel="1" x14ac:dyDescent="0.35">
      <c r="A357" s="93"/>
      <c r="B357" s="298"/>
      <c r="C357" s="299"/>
      <c r="D357" s="299"/>
      <c r="E357" s="299"/>
      <c r="F357" s="78"/>
      <c r="G357" s="241"/>
      <c r="H357" s="241"/>
      <c r="I357" s="241"/>
      <c r="J357" s="241"/>
      <c r="K357" s="241"/>
      <c r="L357" s="241"/>
      <c r="M357" s="300">
        <v>14</v>
      </c>
      <c r="N357" s="301" t="s">
        <v>598</v>
      </c>
      <c r="O357" s="302">
        <v>12</v>
      </c>
      <c r="P357" s="303">
        <v>2698.4</v>
      </c>
      <c r="Q357" s="241"/>
      <c r="R357" s="241"/>
      <c r="S357" s="241"/>
      <c r="T357" s="241"/>
      <c r="U357" s="241"/>
      <c r="V357" s="241"/>
      <c r="W357" s="241"/>
      <c r="X357" s="241"/>
      <c r="Y357" s="241"/>
      <c r="Z357" s="241"/>
      <c r="AA357" s="241"/>
      <c r="AB357" s="301"/>
      <c r="AC357" s="301"/>
      <c r="AD357" s="304"/>
    </row>
    <row r="358" spans="1:30" s="305" customFormat="1" outlineLevel="1" x14ac:dyDescent="0.35">
      <c r="A358" s="93"/>
      <c r="B358" s="298"/>
      <c r="C358" s="299"/>
      <c r="D358" s="299"/>
      <c r="E358" s="299"/>
      <c r="F358" s="78"/>
      <c r="G358" s="241"/>
      <c r="H358" s="241"/>
      <c r="I358" s="241"/>
      <c r="J358" s="241"/>
      <c r="K358" s="241"/>
      <c r="L358" s="241"/>
      <c r="M358" s="300">
        <v>15</v>
      </c>
      <c r="N358" s="301" t="s">
        <v>600</v>
      </c>
      <c r="O358" s="302">
        <v>53</v>
      </c>
      <c r="P358" s="303">
        <v>11873.1</v>
      </c>
      <c r="Q358" s="241"/>
      <c r="R358" s="241"/>
      <c r="S358" s="241"/>
      <c r="T358" s="241"/>
      <c r="U358" s="241"/>
      <c r="V358" s="241"/>
      <c r="W358" s="241"/>
      <c r="X358" s="241"/>
      <c r="Y358" s="241"/>
      <c r="Z358" s="241"/>
      <c r="AA358" s="241"/>
      <c r="AB358" s="301"/>
      <c r="AC358" s="301"/>
      <c r="AD358" s="304"/>
    </row>
    <row r="359" spans="1:30" s="305" customFormat="1" outlineLevel="1" x14ac:dyDescent="0.35">
      <c r="A359" s="93"/>
      <c r="B359" s="298"/>
      <c r="C359" s="299"/>
      <c r="D359" s="299"/>
      <c r="E359" s="299"/>
      <c r="F359" s="78"/>
      <c r="G359" s="241"/>
      <c r="H359" s="241"/>
      <c r="I359" s="241"/>
      <c r="J359" s="241"/>
      <c r="K359" s="241"/>
      <c r="L359" s="241"/>
      <c r="M359" s="300">
        <v>16</v>
      </c>
      <c r="N359" s="301" t="s">
        <v>606</v>
      </c>
      <c r="O359" s="302">
        <v>14.5</v>
      </c>
      <c r="P359" s="303">
        <v>3238.1</v>
      </c>
      <c r="Q359" s="241"/>
      <c r="R359" s="241"/>
      <c r="S359" s="241"/>
      <c r="T359" s="241"/>
      <c r="U359" s="241"/>
      <c r="V359" s="241"/>
      <c r="W359" s="241"/>
      <c r="X359" s="241"/>
      <c r="Y359" s="241"/>
      <c r="Z359" s="241"/>
      <c r="AA359" s="241"/>
      <c r="AB359" s="301"/>
      <c r="AC359" s="301"/>
      <c r="AD359" s="304"/>
    </row>
    <row r="360" spans="1:30" s="305" customFormat="1" outlineLevel="1" x14ac:dyDescent="0.35">
      <c r="A360" s="93"/>
      <c r="B360" s="298"/>
      <c r="C360" s="299"/>
      <c r="D360" s="299"/>
      <c r="E360" s="299"/>
      <c r="F360" s="78"/>
      <c r="G360" s="241"/>
      <c r="H360" s="241"/>
      <c r="I360" s="241"/>
      <c r="J360" s="241"/>
      <c r="K360" s="241"/>
      <c r="L360" s="241"/>
      <c r="M360" s="300">
        <v>17</v>
      </c>
      <c r="N360" s="301" t="s">
        <v>605</v>
      </c>
      <c r="O360" s="302">
        <v>19.3</v>
      </c>
      <c r="P360" s="303">
        <v>4317.5</v>
      </c>
      <c r="Q360" s="241"/>
      <c r="R360" s="241"/>
      <c r="S360" s="241"/>
      <c r="T360" s="241"/>
      <c r="U360" s="241"/>
      <c r="V360" s="241"/>
      <c r="W360" s="241"/>
      <c r="X360" s="241"/>
      <c r="Y360" s="241"/>
      <c r="Z360" s="241"/>
      <c r="AA360" s="241"/>
      <c r="AB360" s="301"/>
      <c r="AC360" s="301"/>
      <c r="AD360" s="304"/>
    </row>
    <row r="361" spans="1:30" s="305" customFormat="1" outlineLevel="1" x14ac:dyDescent="0.35">
      <c r="A361" s="93"/>
      <c r="B361" s="298"/>
      <c r="C361" s="299"/>
      <c r="D361" s="299"/>
      <c r="E361" s="299"/>
      <c r="F361" s="78"/>
      <c r="G361" s="241"/>
      <c r="H361" s="241"/>
      <c r="I361" s="241"/>
      <c r="J361" s="241"/>
      <c r="K361" s="241"/>
      <c r="L361" s="241"/>
      <c r="M361" s="300">
        <v>18</v>
      </c>
      <c r="N361" s="301" t="s">
        <v>608</v>
      </c>
      <c r="O361" s="302">
        <v>16.899999999999999</v>
      </c>
      <c r="P361" s="303">
        <v>3777.8</v>
      </c>
      <c r="Q361" s="241"/>
      <c r="R361" s="241"/>
      <c r="S361" s="241"/>
      <c r="T361" s="241"/>
      <c r="U361" s="241"/>
      <c r="V361" s="241"/>
      <c r="W361" s="241"/>
      <c r="X361" s="241"/>
      <c r="Y361" s="241"/>
      <c r="Z361" s="241"/>
      <c r="AA361" s="241"/>
      <c r="AB361" s="301"/>
      <c r="AC361" s="301"/>
      <c r="AD361" s="304"/>
    </row>
    <row r="362" spans="1:30" s="305" customFormat="1" outlineLevel="1" x14ac:dyDescent="0.35">
      <c r="A362" s="93"/>
      <c r="B362" s="298"/>
      <c r="C362" s="299"/>
      <c r="D362" s="299"/>
      <c r="E362" s="299"/>
      <c r="F362" s="78"/>
      <c r="G362" s="241"/>
      <c r="H362" s="241"/>
      <c r="I362" s="241"/>
      <c r="J362" s="241"/>
      <c r="K362" s="241"/>
      <c r="L362" s="241"/>
      <c r="M362" s="300">
        <v>19</v>
      </c>
      <c r="N362" s="301" t="s">
        <v>609</v>
      </c>
      <c r="O362" s="302">
        <v>48.2</v>
      </c>
      <c r="P362" s="303">
        <v>10793.7</v>
      </c>
      <c r="Q362" s="241"/>
      <c r="R362" s="241"/>
      <c r="S362" s="241"/>
      <c r="T362" s="241"/>
      <c r="U362" s="241"/>
      <c r="V362" s="241"/>
      <c r="W362" s="241"/>
      <c r="X362" s="241"/>
      <c r="Y362" s="241"/>
      <c r="Z362" s="241"/>
      <c r="AA362" s="241"/>
      <c r="AB362" s="301"/>
      <c r="AC362" s="301"/>
      <c r="AD362" s="304"/>
    </row>
    <row r="363" spans="1:30" s="305" customFormat="1" outlineLevel="1" x14ac:dyDescent="0.35">
      <c r="A363" s="93"/>
      <c r="B363" s="298"/>
      <c r="C363" s="299"/>
      <c r="D363" s="299"/>
      <c r="E363" s="299"/>
      <c r="F363" s="78"/>
      <c r="G363" s="241"/>
      <c r="H363" s="241"/>
      <c r="I363" s="241"/>
      <c r="J363" s="241"/>
      <c r="K363" s="241"/>
      <c r="L363" s="241"/>
      <c r="M363" s="300">
        <v>20</v>
      </c>
      <c r="N363" s="301" t="s">
        <v>610</v>
      </c>
      <c r="O363" s="302">
        <v>16.899999999999999</v>
      </c>
      <c r="P363" s="303">
        <v>3777.8</v>
      </c>
      <c r="Q363" s="241"/>
      <c r="R363" s="241"/>
      <c r="S363" s="241"/>
      <c r="T363" s="241"/>
      <c r="U363" s="241"/>
      <c r="V363" s="241"/>
      <c r="W363" s="241"/>
      <c r="X363" s="241"/>
      <c r="Y363" s="241"/>
      <c r="Z363" s="241"/>
      <c r="AA363" s="241"/>
      <c r="AB363" s="301"/>
      <c r="AC363" s="301"/>
      <c r="AD363" s="304"/>
    </row>
    <row r="364" spans="1:30" s="305" customFormat="1" outlineLevel="1" x14ac:dyDescent="0.35">
      <c r="A364" s="93"/>
      <c r="B364" s="298"/>
      <c r="C364" s="299"/>
      <c r="D364" s="299"/>
      <c r="E364" s="299"/>
      <c r="F364" s="78"/>
      <c r="G364" s="241"/>
      <c r="H364" s="241"/>
      <c r="I364" s="241"/>
      <c r="J364" s="241"/>
      <c r="K364" s="241"/>
      <c r="L364" s="241"/>
      <c r="M364" s="300">
        <v>21</v>
      </c>
      <c r="N364" s="301" t="s">
        <v>611</v>
      </c>
      <c r="O364" s="302">
        <v>28.9</v>
      </c>
      <c r="P364" s="303">
        <v>6476.2</v>
      </c>
      <c r="Q364" s="241"/>
      <c r="R364" s="241"/>
      <c r="S364" s="241"/>
      <c r="T364" s="241"/>
      <c r="U364" s="241"/>
      <c r="V364" s="241"/>
      <c r="W364" s="241"/>
      <c r="X364" s="241"/>
      <c r="Y364" s="241"/>
      <c r="Z364" s="241"/>
      <c r="AA364" s="241"/>
      <c r="AB364" s="301"/>
      <c r="AC364" s="301"/>
      <c r="AD364" s="304"/>
    </row>
    <row r="365" spans="1:30" s="305" customFormat="1" outlineLevel="1" x14ac:dyDescent="0.35">
      <c r="A365" s="93"/>
      <c r="B365" s="298"/>
      <c r="C365" s="299"/>
      <c r="D365" s="299"/>
      <c r="E365" s="299"/>
      <c r="F365" s="78"/>
      <c r="G365" s="241"/>
      <c r="H365" s="241"/>
      <c r="I365" s="241"/>
      <c r="J365" s="241"/>
      <c r="K365" s="241"/>
      <c r="L365" s="241"/>
      <c r="M365" s="300">
        <v>22</v>
      </c>
      <c r="N365" s="301" t="s">
        <v>612</v>
      </c>
      <c r="O365" s="302">
        <v>10.8</v>
      </c>
      <c r="P365" s="303">
        <v>2428.6</v>
      </c>
      <c r="Q365" s="241"/>
      <c r="R365" s="241"/>
      <c r="S365" s="241"/>
      <c r="T365" s="241"/>
      <c r="U365" s="241"/>
      <c r="V365" s="241"/>
      <c r="W365" s="241"/>
      <c r="X365" s="241"/>
      <c r="Y365" s="241"/>
      <c r="Z365" s="241"/>
      <c r="AA365" s="241"/>
      <c r="AB365" s="301"/>
      <c r="AC365" s="301"/>
      <c r="AD365" s="304"/>
    </row>
    <row r="366" spans="1:30" s="316" customFormat="1" outlineLevel="1" x14ac:dyDescent="0.35">
      <c r="A366" s="306"/>
      <c r="B366" s="307"/>
      <c r="C366" s="308"/>
      <c r="D366" s="308"/>
      <c r="E366" s="308"/>
      <c r="F366" s="309"/>
      <c r="G366" s="310"/>
      <c r="H366" s="310"/>
      <c r="I366" s="310"/>
      <c r="J366" s="310"/>
      <c r="K366" s="310"/>
      <c r="L366" s="310"/>
      <c r="M366" s="311" t="s">
        <v>109</v>
      </c>
      <c r="N366" s="312" t="s">
        <v>671</v>
      </c>
      <c r="O366" s="313">
        <v>192.7</v>
      </c>
      <c r="P366" s="314">
        <v>43174.9</v>
      </c>
      <c r="Q366" s="310"/>
      <c r="R366" s="310"/>
      <c r="S366" s="310"/>
      <c r="T366" s="310"/>
      <c r="U366" s="310"/>
      <c r="V366" s="310"/>
      <c r="W366" s="310"/>
      <c r="X366" s="310"/>
      <c r="Y366" s="310"/>
      <c r="Z366" s="310"/>
      <c r="AA366" s="310"/>
      <c r="AB366" s="312"/>
      <c r="AC366" s="312"/>
      <c r="AD366" s="315"/>
    </row>
    <row r="367" spans="1:30" s="305" customFormat="1" outlineLevel="1" x14ac:dyDescent="0.35">
      <c r="A367" s="93"/>
      <c r="B367" s="298"/>
      <c r="C367" s="299"/>
      <c r="D367" s="299"/>
      <c r="E367" s="299"/>
      <c r="F367" s="78"/>
      <c r="G367" s="241"/>
      <c r="H367" s="241"/>
      <c r="I367" s="241"/>
      <c r="J367" s="241"/>
      <c r="K367" s="241"/>
      <c r="L367" s="241"/>
      <c r="M367" s="300">
        <v>23</v>
      </c>
      <c r="N367" s="301" t="s">
        <v>40</v>
      </c>
      <c r="O367" s="302">
        <v>192.7</v>
      </c>
      <c r="P367" s="303">
        <v>43174.9</v>
      </c>
      <c r="Q367" s="241"/>
      <c r="R367" s="241"/>
      <c r="S367" s="241"/>
      <c r="T367" s="241"/>
      <c r="U367" s="241"/>
      <c r="V367" s="241"/>
      <c r="W367" s="241"/>
      <c r="X367" s="241"/>
      <c r="Y367" s="241"/>
      <c r="Z367" s="241"/>
      <c r="AA367" s="241"/>
      <c r="AB367" s="301"/>
      <c r="AC367" s="301"/>
      <c r="AD367" s="304"/>
    </row>
    <row r="368" spans="1:30" s="316" customFormat="1" outlineLevel="1" x14ac:dyDescent="0.35">
      <c r="A368" s="306"/>
      <c r="B368" s="307"/>
      <c r="C368" s="308"/>
      <c r="D368" s="308"/>
      <c r="E368" s="308"/>
      <c r="F368" s="309"/>
      <c r="G368" s="310"/>
      <c r="H368" s="310"/>
      <c r="I368" s="310"/>
      <c r="J368" s="310"/>
      <c r="K368" s="310"/>
      <c r="L368" s="310"/>
      <c r="M368" s="311" t="s">
        <v>109</v>
      </c>
      <c r="N368" s="312" t="s">
        <v>492</v>
      </c>
      <c r="O368" s="313">
        <v>91.6</v>
      </c>
      <c r="P368" s="314">
        <v>20508.099999999999</v>
      </c>
      <c r="Q368" s="310"/>
      <c r="R368" s="310"/>
      <c r="S368" s="310"/>
      <c r="T368" s="310"/>
      <c r="U368" s="310"/>
      <c r="V368" s="310"/>
      <c r="W368" s="310"/>
      <c r="X368" s="310"/>
      <c r="Y368" s="310"/>
      <c r="Z368" s="310"/>
      <c r="AA368" s="310"/>
      <c r="AB368" s="312"/>
      <c r="AC368" s="312"/>
      <c r="AD368" s="315"/>
    </row>
    <row r="369" spans="1:30" s="305" customFormat="1" outlineLevel="1" x14ac:dyDescent="0.35">
      <c r="A369" s="93"/>
      <c r="B369" s="298"/>
      <c r="C369" s="299"/>
      <c r="D369" s="299"/>
      <c r="E369" s="299"/>
      <c r="F369" s="78"/>
      <c r="G369" s="241"/>
      <c r="H369" s="241"/>
      <c r="I369" s="241"/>
      <c r="J369" s="241"/>
      <c r="K369" s="241"/>
      <c r="L369" s="241"/>
      <c r="M369" s="300">
        <v>24</v>
      </c>
      <c r="N369" s="301" t="s">
        <v>492</v>
      </c>
      <c r="O369" s="302">
        <v>91.6</v>
      </c>
      <c r="P369" s="303">
        <v>20508.099999999999</v>
      </c>
      <c r="Q369" s="241"/>
      <c r="R369" s="241"/>
      <c r="S369" s="241"/>
      <c r="T369" s="241"/>
      <c r="U369" s="241"/>
      <c r="V369" s="241"/>
      <c r="W369" s="241"/>
      <c r="X369" s="241"/>
      <c r="Y369" s="241"/>
      <c r="Z369" s="241"/>
      <c r="AA369" s="241"/>
      <c r="AB369" s="301"/>
      <c r="AC369" s="301"/>
      <c r="AD369" s="304"/>
    </row>
    <row r="370" spans="1:30" s="11" customFormat="1" outlineLevel="1" x14ac:dyDescent="0.35">
      <c r="A370" s="93"/>
      <c r="B370" s="10"/>
      <c r="C370" s="80"/>
      <c r="D370" s="80"/>
      <c r="E370" s="80"/>
      <c r="F370" s="78"/>
      <c r="G370" s="28"/>
      <c r="H370" s="28"/>
      <c r="I370" s="28"/>
      <c r="J370" s="28"/>
      <c r="K370" s="28"/>
      <c r="L370" s="28"/>
      <c r="M370" s="285"/>
      <c r="N370" s="31"/>
      <c r="O370" s="31"/>
      <c r="P370" s="28"/>
      <c r="Q370" s="28"/>
      <c r="R370" s="28"/>
      <c r="S370" s="28"/>
      <c r="T370" s="28"/>
      <c r="U370" s="28"/>
      <c r="V370" s="28"/>
      <c r="W370" s="28"/>
      <c r="X370" s="28"/>
      <c r="Y370" s="28"/>
      <c r="Z370" s="28"/>
      <c r="AA370" s="28"/>
      <c r="AB370" s="31"/>
      <c r="AC370" s="31"/>
      <c r="AD370" s="12"/>
    </row>
    <row r="371" spans="1:30" s="11" customFormat="1" ht="3" customHeight="1" outlineLevel="1" x14ac:dyDescent="0.35">
      <c r="A371" s="93"/>
      <c r="B371" s="10"/>
      <c r="C371" s="80"/>
      <c r="D371" s="80"/>
      <c r="E371" s="80"/>
      <c r="F371" s="78"/>
      <c r="G371" s="28"/>
      <c r="H371" s="28"/>
      <c r="I371" s="28"/>
      <c r="J371" s="28"/>
      <c r="K371" s="28"/>
      <c r="L371" s="28"/>
      <c r="M371" s="291"/>
      <c r="N371" s="268"/>
      <c r="O371" s="268"/>
      <c r="P371" s="267"/>
      <c r="Q371" s="28"/>
      <c r="R371" s="28"/>
      <c r="S371" s="28"/>
      <c r="T371" s="28"/>
      <c r="U371" s="28"/>
      <c r="V371" s="28"/>
      <c r="W371" s="28"/>
      <c r="X371" s="28"/>
      <c r="Y371" s="28"/>
      <c r="Z371" s="28"/>
      <c r="AA371" s="28"/>
      <c r="AB371" s="31"/>
      <c r="AC371" s="31"/>
      <c r="AD371" s="12"/>
    </row>
    <row r="372" spans="1:30" s="11" customFormat="1" outlineLevel="1" x14ac:dyDescent="0.35">
      <c r="A372" s="93"/>
      <c r="B372" s="10"/>
      <c r="C372" s="80"/>
      <c r="D372" s="80"/>
      <c r="E372" s="80"/>
      <c r="F372" s="78"/>
      <c r="G372" s="28"/>
      <c r="H372" s="28"/>
      <c r="I372" s="28"/>
      <c r="J372" s="28"/>
      <c r="K372" s="28"/>
      <c r="L372" s="28"/>
      <c r="M372" s="292"/>
      <c r="N372" s="204"/>
      <c r="O372" s="205">
        <f>TOTAL_EFFORT</f>
        <v>983</v>
      </c>
      <c r="P372" s="205">
        <f>TOTAL_COST</f>
        <v>220192</v>
      </c>
      <c r="Q372" s="28"/>
      <c r="R372" s="28"/>
      <c r="S372" s="28"/>
      <c r="T372" s="28"/>
      <c r="U372" s="28"/>
      <c r="V372" s="28"/>
      <c r="W372" s="28"/>
      <c r="X372" s="28"/>
      <c r="Y372" s="28"/>
      <c r="Z372" s="28"/>
      <c r="AA372" s="28"/>
      <c r="AB372" s="31"/>
      <c r="AC372" s="31"/>
      <c r="AD372" s="12"/>
    </row>
    <row r="373" spans="1:30" s="11" customFormat="1" outlineLevel="1" x14ac:dyDescent="0.35">
      <c r="A373" s="93"/>
      <c r="B373" s="10"/>
      <c r="C373" s="80"/>
      <c r="D373" s="80"/>
      <c r="E373" s="80"/>
      <c r="F373" s="78"/>
      <c r="G373" s="28"/>
      <c r="H373" s="28"/>
      <c r="I373" s="28"/>
      <c r="J373" s="28"/>
      <c r="K373" s="28"/>
      <c r="L373" s="28"/>
      <c r="M373" s="285"/>
      <c r="N373" s="31"/>
      <c r="O373" s="31"/>
      <c r="P373" s="28"/>
      <c r="Q373" s="28"/>
      <c r="R373" s="28"/>
      <c r="S373" s="28"/>
      <c r="T373" s="28"/>
      <c r="U373" s="28"/>
      <c r="V373" s="28"/>
      <c r="W373" s="28"/>
      <c r="X373" s="28"/>
      <c r="Y373" s="28"/>
      <c r="Z373" s="28"/>
      <c r="AA373" s="28"/>
      <c r="AB373" s="31"/>
      <c r="AC373" s="31"/>
      <c r="AD373" s="12"/>
    </row>
    <row r="374" spans="1:30" s="11" customFormat="1" ht="20.25" customHeight="1" outlineLevel="1" x14ac:dyDescent="0.35">
      <c r="A374" s="93"/>
      <c r="B374" s="10"/>
      <c r="C374" s="78"/>
      <c r="D374" s="78"/>
      <c r="E374" s="78"/>
      <c r="F374" s="78"/>
      <c r="G374" s="43"/>
      <c r="H374" s="43"/>
      <c r="I374" s="43"/>
      <c r="J374" s="43"/>
      <c r="K374" s="43"/>
      <c r="L374" s="43"/>
      <c r="M374" s="281"/>
      <c r="N374" s="43"/>
      <c r="O374" s="43"/>
      <c r="P374" s="43"/>
      <c r="Q374" s="43"/>
      <c r="R374" s="43"/>
      <c r="S374" s="43"/>
      <c r="T374" s="43"/>
      <c r="U374" s="43"/>
      <c r="V374" s="43"/>
      <c r="W374" s="43"/>
      <c r="X374" s="43"/>
      <c r="Y374" s="43"/>
      <c r="Z374" s="43"/>
      <c r="AA374" s="43"/>
      <c r="AB374" s="43"/>
      <c r="AC374" s="43"/>
      <c r="AD374" s="12"/>
    </row>
    <row r="375" spans="1:30" ht="15" customHeight="1" x14ac:dyDescent="0.35">
      <c r="F375" s="78"/>
    </row>
    <row r="376" spans="1:30" s="11" customFormat="1" ht="20.25" customHeight="1" collapsed="1" x14ac:dyDescent="0.35">
      <c r="A376" s="93"/>
      <c r="B376" s="10"/>
      <c r="C376" s="78"/>
      <c r="D376" s="78"/>
      <c r="E376" s="78"/>
      <c r="F376" s="78"/>
      <c r="G376" s="343" t="s">
        <v>48</v>
      </c>
      <c r="H376" s="343"/>
      <c r="I376" s="178"/>
      <c r="J376" s="43"/>
      <c r="K376" s="43"/>
      <c r="L376" s="39"/>
      <c r="M376" s="289" t="s">
        <v>111</v>
      </c>
      <c r="N376" s="39"/>
      <c r="O376" s="39"/>
      <c r="P376" s="39"/>
      <c r="Q376" s="39"/>
      <c r="R376" s="39"/>
      <c r="S376" s="39"/>
      <c r="T376" s="39"/>
      <c r="U376" s="39"/>
      <c r="V376" s="39"/>
      <c r="W376" s="39"/>
      <c r="X376" s="39"/>
      <c r="Y376" s="39"/>
      <c r="Z376" s="39"/>
      <c r="AA376" s="39"/>
      <c r="AB376" s="39"/>
      <c r="AC376" s="39"/>
      <c r="AD376" s="12"/>
    </row>
    <row r="377" spans="1:30" hidden="1" outlineLevel="1" x14ac:dyDescent="0.35">
      <c r="F377" s="78"/>
      <c r="G377" s="63"/>
      <c r="H377" s="63"/>
      <c r="I377" s="63"/>
      <c r="J377" s="63"/>
      <c r="K377" s="63"/>
      <c r="L377" s="63"/>
      <c r="M377" s="294"/>
      <c r="N377" s="64"/>
      <c r="O377" s="64"/>
      <c r="P377" s="63"/>
      <c r="Q377" s="63"/>
      <c r="R377" s="63"/>
      <c r="S377" s="63"/>
      <c r="T377" s="63"/>
      <c r="U377" s="63"/>
      <c r="V377" s="63"/>
      <c r="W377" s="63"/>
      <c r="X377" s="63"/>
      <c r="Y377" s="63"/>
      <c r="Z377" s="63"/>
      <c r="AA377" s="63"/>
      <c r="AB377" s="64"/>
      <c r="AC377" s="31"/>
    </row>
    <row r="378" spans="1:30" hidden="1" outlineLevel="1" x14ac:dyDescent="0.35">
      <c r="F378" s="78"/>
      <c r="G378" s="68">
        <v>1</v>
      </c>
      <c r="H378" s="68"/>
      <c r="I378" s="68"/>
      <c r="J378" s="63"/>
      <c r="K378" s="63"/>
      <c r="L378" s="63"/>
      <c r="M378" s="294"/>
      <c r="N378" s="64"/>
      <c r="O378" s="64"/>
      <c r="P378" s="63"/>
      <c r="Q378" s="352" t="s">
        <v>79</v>
      </c>
      <c r="R378" s="352"/>
      <c r="S378" s="352"/>
      <c r="T378" s="352"/>
      <c r="U378" s="352"/>
      <c r="V378" s="352"/>
      <c r="W378" s="255"/>
      <c r="X378" s="222"/>
      <c r="Y378" s="63"/>
      <c r="Z378" s="63"/>
      <c r="AA378" s="63"/>
      <c r="AB378" s="64"/>
      <c r="AC378" s="31"/>
    </row>
    <row r="379" spans="1:30" ht="15" hidden="1" customHeight="1" outlineLevel="1" x14ac:dyDescent="0.35">
      <c r="B379" s="10" t="str">
        <f>IF(OR(COUNTBLANK(Q379:W379)&lt;&gt;0,SUM(Q379:W379)=0), ".", "")</f>
        <v/>
      </c>
      <c r="F379" s="78"/>
      <c r="G379" s="63">
        <v>2</v>
      </c>
      <c r="H379" s="68"/>
      <c r="I379" s="68"/>
      <c r="J379" s="63"/>
      <c r="K379" s="63"/>
      <c r="L379" s="63"/>
      <c r="M379" s="294"/>
      <c r="N379" s="100"/>
      <c r="O379" s="327" t="s">
        <v>29</v>
      </c>
      <c r="P379" s="327" t="s">
        <v>94</v>
      </c>
      <c r="Q379" s="53">
        <f>28 * 8</f>
        <v>224</v>
      </c>
      <c r="R379" s="53">
        <f t="shared" ref="R379:V379" si="35">28 * 8</f>
        <v>224</v>
      </c>
      <c r="S379" s="53">
        <f t="shared" si="35"/>
        <v>224</v>
      </c>
      <c r="T379" s="53">
        <f t="shared" si="35"/>
        <v>224</v>
      </c>
      <c r="U379" s="53">
        <f t="shared" si="35"/>
        <v>224</v>
      </c>
      <c r="V379" s="53">
        <f t="shared" si="35"/>
        <v>224</v>
      </c>
      <c r="W379" s="326" t="str">
        <f>CHOSEN_CURRENCY</f>
        <v>-</v>
      </c>
      <c r="X379" s="327"/>
      <c r="Y379" s="63"/>
      <c r="Z379" s="63"/>
      <c r="AA379" s="63"/>
      <c r="AB379" s="64"/>
      <c r="AC379" s="31"/>
    </row>
    <row r="380" spans="1:30" ht="15" hidden="1" customHeight="1" outlineLevel="1" x14ac:dyDescent="0.35">
      <c r="F380" s="78"/>
      <c r="G380" s="63">
        <v>3</v>
      </c>
      <c r="H380" s="68"/>
      <c r="I380" s="68"/>
      <c r="J380" s="63"/>
      <c r="K380" s="63"/>
      <c r="L380" s="63"/>
      <c r="M380" s="294"/>
      <c r="N380" s="100"/>
      <c r="O380" s="329"/>
      <c r="P380" s="329"/>
      <c r="Q380" s="295" t="s">
        <v>8</v>
      </c>
      <c r="R380" s="295" t="s">
        <v>9</v>
      </c>
      <c r="S380" s="295" t="s">
        <v>10</v>
      </c>
      <c r="T380" s="295" t="s">
        <v>12</v>
      </c>
      <c r="U380" s="295" t="s">
        <v>11</v>
      </c>
      <c r="V380" s="296" t="s">
        <v>13</v>
      </c>
      <c r="W380" s="328"/>
      <c r="X380" s="329"/>
      <c r="Y380" s="63"/>
      <c r="Z380" s="63"/>
      <c r="AA380" s="63"/>
      <c r="AB380" s="64"/>
      <c r="AC380" s="31"/>
    </row>
    <row r="381" spans="1:30" ht="15" hidden="1" customHeight="1" outlineLevel="1" x14ac:dyDescent="0.35">
      <c r="B381" s="10" t="str">
        <f t="shared" ref="B381:B386" si="36">IF(SUM(Q381:V381)&lt;&gt;1,".","")</f>
        <v/>
      </c>
      <c r="F381" s="78"/>
      <c r="G381" s="68">
        <v>4</v>
      </c>
      <c r="H381" s="68"/>
      <c r="I381" s="68"/>
      <c r="J381" s="63"/>
      <c r="K381" s="63"/>
      <c r="L381" s="67" t="s">
        <v>84</v>
      </c>
      <c r="M381" s="285" t="str">
        <f>$L$12</f>
        <v>A</v>
      </c>
      <c r="N381" s="31" t="str">
        <f>$M$12</f>
        <v>Discovery / Requirement Analysis</v>
      </c>
      <c r="O381" s="65">
        <f>S12</f>
        <v>133</v>
      </c>
      <c r="P381" s="104">
        <f>ROUND(REQ_EFFORT/5,0)</f>
        <v>27</v>
      </c>
      <c r="Q381" s="105">
        <v>0.85</v>
      </c>
      <c r="R381" s="269">
        <v>0.1</v>
      </c>
      <c r="S381" s="45"/>
      <c r="T381" s="45"/>
      <c r="U381" s="45"/>
      <c r="V381" s="46">
        <v>0.05</v>
      </c>
      <c r="W381" s="330">
        <f t="shared" ref="W381:W386" si="37">(($O381*Q381)*Q$379)+(($O381*R381)*R$379)+(($O381*S381)*S$379)+(($O381*T381)*T$379)+(($O381*U381)*U$379)+(($O381*V381)*V$379)</f>
        <v>29792</v>
      </c>
      <c r="X381" s="331"/>
      <c r="Y381" s="63"/>
      <c r="Z381" s="63"/>
      <c r="AA381" s="63"/>
      <c r="AB381" s="64"/>
      <c r="AC381" s="31"/>
    </row>
    <row r="382" spans="1:30" hidden="1" outlineLevel="1" x14ac:dyDescent="0.35">
      <c r="B382" s="10" t="str">
        <f t="shared" si="36"/>
        <v/>
      </c>
      <c r="F382" s="78"/>
      <c r="G382" s="63">
        <v>5</v>
      </c>
      <c r="H382" s="68"/>
      <c r="I382" s="68"/>
      <c r="J382" s="63"/>
      <c r="K382" s="63"/>
      <c r="L382" s="67" t="s">
        <v>85</v>
      </c>
      <c r="M382" s="285" t="str">
        <f>$L$59</f>
        <v>B</v>
      </c>
      <c r="N382" s="31" t="str">
        <f>$M$59</f>
        <v>System Design, Framework and Test Cases</v>
      </c>
      <c r="O382" s="65">
        <f>S59</f>
        <v>245</v>
      </c>
      <c r="P382" s="104">
        <f>ROUND(DESIGN_EFFORT/5,0)</f>
        <v>49</v>
      </c>
      <c r="Q382" s="45"/>
      <c r="R382" s="270">
        <v>0.7</v>
      </c>
      <c r="S382" s="44">
        <v>0.2</v>
      </c>
      <c r="T382" s="45"/>
      <c r="U382" s="44">
        <v>0.1</v>
      </c>
      <c r="V382" s="47"/>
      <c r="W382" s="330">
        <f t="shared" si="37"/>
        <v>54880</v>
      </c>
      <c r="X382" s="331"/>
      <c r="Y382" s="63"/>
      <c r="Z382" s="63"/>
      <c r="AA382" s="63"/>
      <c r="AB382" s="64"/>
      <c r="AC382" s="31"/>
    </row>
    <row r="383" spans="1:30" hidden="1" outlineLevel="1" x14ac:dyDescent="0.35">
      <c r="B383" s="10" t="str">
        <f t="shared" si="36"/>
        <v/>
      </c>
      <c r="F383" s="78"/>
      <c r="G383" s="63">
        <v>6</v>
      </c>
      <c r="H383" s="68"/>
      <c r="I383" s="68"/>
      <c r="J383" s="63"/>
      <c r="K383" s="63"/>
      <c r="L383" s="67" t="s">
        <v>87</v>
      </c>
      <c r="M383" s="285" t="str">
        <f>$L$126</f>
        <v>C</v>
      </c>
      <c r="N383" s="31" t="str">
        <f>$M$126</f>
        <v>Development and Unit Testing</v>
      </c>
      <c r="O383" s="65">
        <f>S126</f>
        <v>204</v>
      </c>
      <c r="P383" s="104">
        <f>ROUND(DEV_EFFORT/5,0)</f>
        <v>41</v>
      </c>
      <c r="Q383" s="45"/>
      <c r="R383" s="269"/>
      <c r="S383" s="44">
        <v>0.3</v>
      </c>
      <c r="T383" s="105">
        <v>0.7</v>
      </c>
      <c r="U383" s="45"/>
      <c r="V383" s="47"/>
      <c r="W383" s="330">
        <f t="shared" si="37"/>
        <v>45696</v>
      </c>
      <c r="X383" s="331"/>
      <c r="Y383" s="63"/>
      <c r="Z383" s="63"/>
      <c r="AA383" s="63"/>
      <c r="AB383" s="64"/>
      <c r="AC383" s="31"/>
    </row>
    <row r="384" spans="1:30" hidden="1" outlineLevel="1" x14ac:dyDescent="0.35">
      <c r="B384" s="10" t="str">
        <f t="shared" si="36"/>
        <v/>
      </c>
      <c r="F384" s="78"/>
      <c r="G384" s="68">
        <v>7</v>
      </c>
      <c r="H384" s="68"/>
      <c r="I384" s="68"/>
      <c r="J384" s="63"/>
      <c r="K384" s="63"/>
      <c r="L384" s="67" t="s">
        <v>11</v>
      </c>
      <c r="M384" s="285" t="str">
        <f>$L$252</f>
        <v>D</v>
      </c>
      <c r="N384" s="31" t="str">
        <f>$M$252</f>
        <v>System Testing and Stabilization</v>
      </c>
      <c r="O384" s="65">
        <f>S252</f>
        <v>263</v>
      </c>
      <c r="P384" s="104">
        <f>ROUND(QA_EFFORT/5,0)</f>
        <v>53</v>
      </c>
      <c r="Q384" s="45"/>
      <c r="R384" s="269"/>
      <c r="S384" s="44">
        <v>0.1</v>
      </c>
      <c r="T384" s="44">
        <v>0.1</v>
      </c>
      <c r="U384" s="105">
        <v>0.8</v>
      </c>
      <c r="V384" s="47"/>
      <c r="W384" s="330">
        <f t="shared" si="37"/>
        <v>58912</v>
      </c>
      <c r="X384" s="331"/>
      <c r="Y384" s="63"/>
      <c r="Z384" s="63"/>
      <c r="AA384" s="63"/>
      <c r="AB384" s="64"/>
      <c r="AC384" s="31"/>
    </row>
    <row r="385" spans="2:29" hidden="1" outlineLevel="1" x14ac:dyDescent="0.35">
      <c r="B385" s="10" t="str">
        <f t="shared" si="36"/>
        <v/>
      </c>
      <c r="F385" s="78"/>
      <c r="G385" s="63">
        <v>8</v>
      </c>
      <c r="H385" s="68"/>
      <c r="I385" s="68"/>
      <c r="J385" s="63"/>
      <c r="K385" s="63"/>
      <c r="L385" s="67" t="s">
        <v>86</v>
      </c>
      <c r="M385" s="285" t="str">
        <f>$L$294</f>
        <v>E</v>
      </c>
      <c r="N385" s="31" t="str">
        <f>$M$294</f>
        <v>Deployment, UAT and Documentation</v>
      </c>
      <c r="O385" s="65">
        <f>S294</f>
        <v>48</v>
      </c>
      <c r="P385" s="104">
        <f>ROUND(UAT_EFFORT/5,0)</f>
        <v>10</v>
      </c>
      <c r="Q385" s="45"/>
      <c r="R385" s="269"/>
      <c r="S385" s="44">
        <v>0.4</v>
      </c>
      <c r="T385" s="105">
        <v>0.4</v>
      </c>
      <c r="U385" s="44">
        <v>0.2</v>
      </c>
      <c r="V385" s="47"/>
      <c r="W385" s="330">
        <f t="shared" si="37"/>
        <v>10752.000000000004</v>
      </c>
      <c r="X385" s="331"/>
      <c r="Y385" s="63"/>
      <c r="Z385" s="63"/>
      <c r="AA385" s="63"/>
      <c r="AB385" s="64"/>
      <c r="AC385" s="31"/>
    </row>
    <row r="386" spans="2:29" hidden="1" outlineLevel="1" x14ac:dyDescent="0.35">
      <c r="B386" s="10" t="str">
        <f t="shared" si="36"/>
        <v/>
      </c>
      <c r="F386" s="78"/>
      <c r="G386" s="63">
        <v>9</v>
      </c>
      <c r="H386" s="68"/>
      <c r="I386" s="68"/>
      <c r="J386" s="63"/>
      <c r="K386" s="63"/>
      <c r="L386" s="67" t="s">
        <v>76</v>
      </c>
      <c r="M386" s="285" t="str">
        <f>$L$324</f>
        <v>F</v>
      </c>
      <c r="N386" s="31" t="str">
        <f>$M$324</f>
        <v>Others</v>
      </c>
      <c r="O386" s="65">
        <f>S324</f>
        <v>90</v>
      </c>
      <c r="P386" s="104">
        <f>ROUND(OTHER_EFFORT/5,0)</f>
        <v>18</v>
      </c>
      <c r="Q386" s="45"/>
      <c r="R386" s="269">
        <v>0.2</v>
      </c>
      <c r="S386" s="105">
        <v>0.8</v>
      </c>
      <c r="T386" s="45"/>
      <c r="U386" s="45"/>
      <c r="V386" s="47"/>
      <c r="W386" s="332">
        <f t="shared" si="37"/>
        <v>20160</v>
      </c>
      <c r="X386" s="333"/>
      <c r="Y386" s="63"/>
      <c r="Z386" s="63"/>
      <c r="AA386" s="63"/>
      <c r="AB386" s="64"/>
      <c r="AC386" s="31"/>
    </row>
    <row r="387" spans="2:29" ht="21" hidden="1" outlineLevel="1" x14ac:dyDescent="0.35">
      <c r="F387" s="78"/>
      <c r="G387" s="68">
        <v>10</v>
      </c>
      <c r="H387" s="68"/>
      <c r="I387" s="68"/>
      <c r="J387" s="63"/>
      <c r="K387" s="63"/>
      <c r="L387" s="63"/>
      <c r="M387" s="294"/>
      <c r="N387" s="100"/>
      <c r="O387" s="261">
        <f>SUM(O381:O386)</f>
        <v>983</v>
      </c>
      <c r="P387" s="262">
        <f>SUM(P381:P386)</f>
        <v>198</v>
      </c>
      <c r="Q387" s="335" t="s">
        <v>116</v>
      </c>
      <c r="R387" s="335"/>
      <c r="S387" s="335"/>
      <c r="T387" s="335"/>
      <c r="U387" s="335"/>
      <c r="V387" s="335"/>
      <c r="W387" s="334">
        <f>SUM(W381:W386)</f>
        <v>220192</v>
      </c>
      <c r="X387" s="334"/>
      <c r="Y387" s="63"/>
      <c r="Z387" s="63"/>
      <c r="AA387" s="63"/>
      <c r="AB387" s="64"/>
      <c r="AC387" s="31"/>
    </row>
    <row r="388" spans="2:29" hidden="1" outlineLevel="1" x14ac:dyDescent="0.35">
      <c r="F388" s="78"/>
      <c r="G388" s="63"/>
      <c r="H388" s="63"/>
      <c r="I388" s="63"/>
      <c r="J388" s="63"/>
      <c r="K388" s="63"/>
      <c r="L388" s="63"/>
      <c r="M388" s="294"/>
      <c r="N388" s="64"/>
      <c r="O388" s="64"/>
      <c r="P388" s="63"/>
      <c r="Q388" s="63"/>
      <c r="R388" s="63"/>
      <c r="S388" s="63"/>
      <c r="T388" s="63"/>
      <c r="U388" s="63"/>
      <c r="V388" s="63"/>
      <c r="W388" s="63"/>
      <c r="X388" s="63"/>
      <c r="Y388" s="63"/>
      <c r="Z388" s="63"/>
      <c r="AA388" s="63"/>
      <c r="AB388" s="64"/>
      <c r="AC388" s="31"/>
    </row>
    <row r="389" spans="2:29" ht="15" hidden="1" customHeight="1" outlineLevel="1" x14ac:dyDescent="0.35">
      <c r="F389" s="78"/>
      <c r="G389" s="63"/>
      <c r="H389" s="63"/>
      <c r="I389" s="63"/>
      <c r="J389" s="63"/>
      <c r="K389" s="63"/>
      <c r="L389" s="63"/>
      <c r="M389" s="294"/>
      <c r="N389" s="64"/>
      <c r="O389" s="64"/>
      <c r="P389" s="63"/>
      <c r="Q389" s="351" t="s">
        <v>114</v>
      </c>
      <c r="R389" s="351"/>
      <c r="S389" s="351"/>
      <c r="T389" s="351"/>
      <c r="U389" s="351"/>
      <c r="V389" s="351"/>
      <c r="W389" s="336" t="s">
        <v>452</v>
      </c>
      <c r="X389" s="336"/>
      <c r="Y389" s="222"/>
      <c r="Z389" s="222"/>
      <c r="AA389" s="222"/>
      <c r="AB389" s="64"/>
      <c r="AC389" s="31"/>
    </row>
    <row r="390" spans="2:29" ht="15" hidden="1" customHeight="1" outlineLevel="1" x14ac:dyDescent="0.35">
      <c r="F390" s="78"/>
      <c r="G390" s="63"/>
      <c r="H390" s="63"/>
      <c r="I390" s="63"/>
      <c r="J390" s="63"/>
      <c r="K390" s="63"/>
      <c r="L390" s="63"/>
      <c r="M390" s="285"/>
      <c r="N390" s="31"/>
      <c r="O390" s="107" t="s">
        <v>112</v>
      </c>
      <c r="P390" s="108" t="s">
        <v>113</v>
      </c>
      <c r="Q390" s="295" t="s">
        <v>8</v>
      </c>
      <c r="R390" s="295" t="s">
        <v>9</v>
      </c>
      <c r="S390" s="295" t="s">
        <v>10</v>
      </c>
      <c r="T390" s="295" t="s">
        <v>12</v>
      </c>
      <c r="U390" s="295" t="s">
        <v>11</v>
      </c>
      <c r="V390" s="296" t="s">
        <v>13</v>
      </c>
      <c r="W390" s="336"/>
      <c r="X390" s="336"/>
      <c r="Y390" s="63"/>
      <c r="Z390" s="102"/>
      <c r="AA390" s="102"/>
      <c r="AB390" s="102"/>
      <c r="AC390" s="102"/>
    </row>
    <row r="391" spans="2:29" ht="15" hidden="1" customHeight="1" outlineLevel="1" x14ac:dyDescent="0.35">
      <c r="F391" s="78"/>
      <c r="G391" s="63"/>
      <c r="H391" s="63"/>
      <c r="I391" s="63"/>
      <c r="J391" s="63"/>
      <c r="K391" s="63"/>
      <c r="L391" s="63"/>
      <c r="M391" s="285" t="str">
        <f>$L$12</f>
        <v>A</v>
      </c>
      <c r="N391" s="31" t="str">
        <f>$M$12</f>
        <v>Discovery / Requirement Analysis</v>
      </c>
      <c r="O391" s="112">
        <v>42583</v>
      </c>
      <c r="P391" s="109">
        <f>O391+(((P381*REQ_BA_PERCENT)/REQ_BA_COUNT)*7)</f>
        <v>42663.324999999997</v>
      </c>
      <c r="Q391" s="106">
        <v>2</v>
      </c>
      <c r="R391" s="223">
        <v>1</v>
      </c>
      <c r="S391" s="101"/>
      <c r="T391" s="101"/>
      <c r="U391" s="101"/>
      <c r="V391" s="54">
        <v>1</v>
      </c>
      <c r="W391" s="259">
        <v>0.75</v>
      </c>
      <c r="X391" s="63"/>
      <c r="Y391" s="321" t="s">
        <v>194</v>
      </c>
      <c r="Z391" s="321"/>
      <c r="AA391" s="321"/>
      <c r="AB391" s="64"/>
      <c r="AC391" s="103"/>
    </row>
    <row r="392" spans="2:29" hidden="1" outlineLevel="1" x14ac:dyDescent="0.35">
      <c r="F392" s="78"/>
      <c r="G392" s="63"/>
      <c r="H392" s="63"/>
      <c r="I392" s="63"/>
      <c r="J392" s="63"/>
      <c r="K392" s="63"/>
      <c r="L392" s="63"/>
      <c r="M392" s="285" t="str">
        <f>$L$59</f>
        <v>B</v>
      </c>
      <c r="N392" s="31" t="str">
        <f>$M$59</f>
        <v>System Design, Framework and Test Cases</v>
      </c>
      <c r="O392" s="110">
        <f>O391+((P391-O391)*W391)+1</f>
        <v>42644.243749999994</v>
      </c>
      <c r="P392" s="109">
        <f>O392+(((P382*DESIGN_TA_PERCENT)/DESIGN_TA_COUNT)*7)</f>
        <v>42724.277083333327</v>
      </c>
      <c r="Q392" s="101">
        <v>1</v>
      </c>
      <c r="R392" s="224">
        <v>3</v>
      </c>
      <c r="S392" s="101">
        <v>1</v>
      </c>
      <c r="T392" s="101"/>
      <c r="U392" s="101">
        <v>1</v>
      </c>
      <c r="V392" s="54"/>
      <c r="W392" s="260">
        <v>0.75</v>
      </c>
      <c r="X392" s="63"/>
      <c r="Y392" s="321"/>
      <c r="Z392" s="321"/>
      <c r="AA392" s="321"/>
      <c r="AB392" s="64"/>
      <c r="AC392" s="31"/>
    </row>
    <row r="393" spans="2:29" hidden="1" outlineLevel="1" x14ac:dyDescent="0.35">
      <c r="F393" s="78"/>
      <c r="G393" s="63"/>
      <c r="H393" s="63"/>
      <c r="I393" s="63"/>
      <c r="J393" s="63"/>
      <c r="K393" s="63"/>
      <c r="L393" s="63"/>
      <c r="M393" s="285" t="str">
        <f>$L$126</f>
        <v>C</v>
      </c>
      <c r="N393" s="31" t="str">
        <f>$M$126</f>
        <v>Development and Unit Testing</v>
      </c>
      <c r="O393" s="110">
        <f>O392+((P392-O392)*W392)+1</f>
        <v>42705.268749999996</v>
      </c>
      <c r="P393" s="109">
        <f>O393+(((P383*DEV_DEV_PERCENT)/DEV_DEV_COUNT)*7)</f>
        <v>42805.718749999993</v>
      </c>
      <c r="Q393" s="101"/>
      <c r="R393" s="223"/>
      <c r="S393" s="101">
        <v>1</v>
      </c>
      <c r="T393" s="106">
        <v>2</v>
      </c>
      <c r="U393" s="101"/>
      <c r="V393" s="54"/>
      <c r="W393" s="259">
        <v>0.75</v>
      </c>
      <c r="X393" s="63"/>
      <c r="Y393" s="321"/>
      <c r="Z393" s="321"/>
      <c r="AA393" s="321"/>
      <c r="AB393" s="64"/>
      <c r="AC393" s="31"/>
    </row>
    <row r="394" spans="2:29" hidden="1" outlineLevel="1" x14ac:dyDescent="0.35">
      <c r="F394" s="78"/>
      <c r="G394" s="63"/>
      <c r="H394" s="63"/>
      <c r="I394" s="63"/>
      <c r="J394" s="63"/>
      <c r="K394" s="63"/>
      <c r="L394" s="63"/>
      <c r="M394" s="285" t="str">
        <f>$L$252</f>
        <v>D</v>
      </c>
      <c r="N394" s="31" t="str">
        <f>$M$252</f>
        <v>System Testing and Stabilization</v>
      </c>
      <c r="O394" s="110">
        <f>O393+((P393-O393)*W393)+1</f>
        <v>42781.606249999997</v>
      </c>
      <c r="P394" s="109">
        <f>O394+(((P384*TESTING_QA_PERCENT)/TESTING_QA_COUNT)*7)</f>
        <v>43078.40625</v>
      </c>
      <c r="Q394" s="101"/>
      <c r="R394" s="223"/>
      <c r="S394" s="101">
        <v>1</v>
      </c>
      <c r="T394" s="101">
        <v>2</v>
      </c>
      <c r="U394" s="106">
        <v>1</v>
      </c>
      <c r="V394" s="256"/>
      <c r="W394" s="259">
        <v>1</v>
      </c>
      <c r="X394" s="63"/>
      <c r="Y394" s="321"/>
      <c r="Z394" s="321"/>
      <c r="AA394" s="321"/>
      <c r="AB394" s="64"/>
      <c r="AC394" s="31"/>
    </row>
    <row r="395" spans="2:29" hidden="1" outlineLevel="1" x14ac:dyDescent="0.35">
      <c r="F395" s="78"/>
      <c r="G395" s="63"/>
      <c r="H395" s="63"/>
      <c r="I395" s="63"/>
      <c r="J395" s="63"/>
      <c r="K395" s="63"/>
      <c r="L395" s="63"/>
      <c r="M395" s="285" t="str">
        <f>$L$294</f>
        <v>E</v>
      </c>
      <c r="N395" s="31" t="str">
        <f>$M$294</f>
        <v>Deployment, UAT and Documentation</v>
      </c>
      <c r="O395" s="110">
        <f>O394+((P394-O394)*W394)+1</f>
        <v>43079.40625</v>
      </c>
      <c r="P395" s="109">
        <f>O395+(((P385*UAT_DEV_PERCENT)/UAT_DEV_COUNT)*7)</f>
        <v>43093.40625</v>
      </c>
      <c r="Q395" s="101"/>
      <c r="R395" s="223"/>
      <c r="S395" s="101">
        <v>1</v>
      </c>
      <c r="T395" s="106">
        <v>2</v>
      </c>
      <c r="U395" s="101">
        <v>1</v>
      </c>
      <c r="V395" s="54"/>
      <c r="W395" s="259">
        <v>1</v>
      </c>
      <c r="X395" s="63"/>
      <c r="Y395" s="321"/>
      <c r="Z395" s="321"/>
      <c r="AA395" s="321"/>
      <c r="AB395" s="64"/>
      <c r="AC395" s="31"/>
    </row>
    <row r="396" spans="2:29" hidden="1" outlineLevel="1" x14ac:dyDescent="0.35">
      <c r="F396" s="78"/>
      <c r="G396" s="63"/>
      <c r="H396" s="63"/>
      <c r="I396" s="63"/>
      <c r="J396" s="63"/>
      <c r="K396" s="63"/>
      <c r="L396" s="63"/>
      <c r="M396" s="285" t="str">
        <f>$L$324</f>
        <v>F</v>
      </c>
      <c r="N396" s="31" t="str">
        <f>$M$324</f>
        <v>Others</v>
      </c>
      <c r="O396" s="111">
        <f>O395+((P395-O395)*W395)+1</f>
        <v>43094.40625</v>
      </c>
      <c r="P396" s="118">
        <f>O396+(((P386*OTHER_TL_PERCENT)/OTHER_TL_COUNT)*7)</f>
        <v>43195.206250000003</v>
      </c>
      <c r="Q396" s="119"/>
      <c r="R396" s="225">
        <v>0.5</v>
      </c>
      <c r="S396" s="120">
        <v>1</v>
      </c>
      <c r="T396" s="119"/>
      <c r="U396" s="119"/>
      <c r="V396" s="121"/>
      <c r="W396" s="257"/>
      <c r="X396" s="63"/>
      <c r="Y396" s="63"/>
      <c r="Z396" s="63"/>
      <c r="AA396" s="63"/>
      <c r="AB396" s="64"/>
      <c r="AC396" s="31"/>
    </row>
    <row r="397" spans="2:29" ht="15.5" hidden="1" outlineLevel="1" x14ac:dyDescent="0.35">
      <c r="F397" s="78"/>
      <c r="G397" s="63">
        <v>1</v>
      </c>
      <c r="H397" s="63"/>
      <c r="I397" s="63"/>
      <c r="J397" s="63"/>
      <c r="K397" s="63"/>
      <c r="L397" s="28"/>
      <c r="M397" s="285"/>
      <c r="N397" s="28"/>
      <c r="O397" s="115" t="s">
        <v>118</v>
      </c>
      <c r="P397" s="124">
        <f>NETWORKDAYS(START_DATE,AUTOMATED_END_DATE)/5</f>
        <v>87.8</v>
      </c>
      <c r="Q397" s="123" t="s">
        <v>94</v>
      </c>
      <c r="R397" s="122"/>
      <c r="S397" s="117" t="s">
        <v>117</v>
      </c>
      <c r="T397" s="355">
        <f>AUTOMATED_END_DATE</f>
        <v>43195.206250000003</v>
      </c>
      <c r="U397" s="355"/>
      <c r="V397" s="258"/>
      <c r="W397" s="258"/>
      <c r="X397" s="258"/>
      <c r="Y397" s="28"/>
      <c r="Z397" s="28"/>
      <c r="AA397" s="28"/>
      <c r="AB397" s="31"/>
      <c r="AC397" s="31"/>
    </row>
    <row r="398" spans="2:29" ht="15.5" hidden="1" outlineLevel="1" x14ac:dyDescent="0.35">
      <c r="F398" s="78"/>
      <c r="G398" s="63">
        <v>2</v>
      </c>
      <c r="H398" s="63"/>
      <c r="I398" s="63"/>
      <c r="J398" s="63"/>
      <c r="K398" s="63"/>
      <c r="L398" s="28"/>
      <c r="M398" s="285"/>
      <c r="N398" s="28"/>
      <c r="O398" s="115" t="s">
        <v>119</v>
      </c>
      <c r="P398" s="124">
        <f>NETWORKDAYS(START_DATE,MANUAL_END_DATE)/5</f>
        <v>-143</v>
      </c>
      <c r="Q398" s="123" t="s">
        <v>94</v>
      </c>
      <c r="R398" s="116"/>
      <c r="S398" s="117" t="s">
        <v>117</v>
      </c>
      <c r="T398" s="355">
        <f>MANUAL_END_DATE</f>
        <v>41583</v>
      </c>
      <c r="U398" s="355"/>
      <c r="V398" s="258"/>
      <c r="W398" s="258"/>
      <c r="X398" s="258"/>
      <c r="Y398" s="28"/>
      <c r="Z398" s="28"/>
      <c r="AA398" s="28"/>
      <c r="AB398" s="31"/>
      <c r="AC398" s="31"/>
    </row>
    <row r="399" spans="2:29" ht="15" hidden="1" customHeight="1" outlineLevel="1" x14ac:dyDescent="0.35">
      <c r="F399" s="78"/>
      <c r="G399" s="63"/>
      <c r="H399" s="63"/>
      <c r="I399" s="63"/>
      <c r="J399" s="63"/>
      <c r="K399" s="63"/>
      <c r="L399" s="28"/>
      <c r="M399" s="285"/>
      <c r="N399" s="28"/>
      <c r="O399" s="113"/>
      <c r="P399" s="66"/>
      <c r="Q399" s="114"/>
      <c r="R399" s="28"/>
      <c r="S399" s="28"/>
      <c r="T399" s="28"/>
      <c r="U399" s="28"/>
      <c r="V399" s="28"/>
      <c r="W399" s="28"/>
      <c r="X399" s="28"/>
      <c r="Y399" s="28"/>
      <c r="Z399" s="28"/>
      <c r="AA399" s="28"/>
      <c r="AB399" s="31"/>
      <c r="AC399" s="31"/>
    </row>
    <row r="400" spans="2:29" hidden="1" outlineLevel="1" x14ac:dyDescent="0.35">
      <c r="F400" s="78"/>
      <c r="G400" s="63">
        <v>3</v>
      </c>
      <c r="H400" s="63"/>
      <c r="I400" s="63"/>
      <c r="J400" s="63"/>
      <c r="K400" s="63"/>
      <c r="L400" s="28"/>
      <c r="M400" s="285"/>
      <c r="N400" s="31"/>
      <c r="O400" s="31"/>
      <c r="P400" s="28"/>
      <c r="Q400" s="28"/>
      <c r="R400" s="28"/>
      <c r="S400" s="75" t="s">
        <v>115</v>
      </c>
      <c r="T400" s="76" t="s">
        <v>92</v>
      </c>
      <c r="U400" s="28"/>
      <c r="V400" s="28"/>
      <c r="W400" s="28"/>
      <c r="X400" s="28"/>
      <c r="Y400" s="28"/>
      <c r="Z400" s="28"/>
      <c r="AA400" s="28"/>
      <c r="AB400" s="31"/>
      <c r="AC400" s="31"/>
    </row>
    <row r="401" spans="1:30" hidden="1" outlineLevel="1" x14ac:dyDescent="0.35">
      <c r="F401" s="78"/>
      <c r="G401" s="63"/>
      <c r="H401" s="63"/>
      <c r="I401" s="63"/>
      <c r="J401" s="63"/>
      <c r="K401" s="63"/>
      <c r="L401" s="28"/>
      <c r="M401" s="285"/>
      <c r="N401" s="31"/>
      <c r="O401" s="31"/>
      <c r="P401" s="28"/>
      <c r="Q401" s="28"/>
      <c r="R401" s="28"/>
      <c r="S401" s="28"/>
      <c r="T401" s="28"/>
      <c r="U401" s="28"/>
      <c r="V401" s="28"/>
      <c r="W401" s="28"/>
      <c r="X401" s="28"/>
      <c r="Y401" s="28"/>
      <c r="Z401" s="28"/>
      <c r="AA401" s="28"/>
      <c r="AB401" s="31"/>
      <c r="AC401" s="31"/>
    </row>
    <row r="402" spans="1:30" s="11" customFormat="1" ht="20.25" hidden="1" customHeight="1" outlineLevel="1" x14ac:dyDescent="0.35">
      <c r="A402" s="93"/>
      <c r="B402" s="10"/>
      <c r="C402" s="78"/>
      <c r="D402" s="78"/>
      <c r="E402" s="78"/>
      <c r="F402" s="78"/>
      <c r="G402" s="43"/>
      <c r="H402" s="43"/>
      <c r="I402" s="43"/>
      <c r="J402" s="43"/>
      <c r="K402" s="43"/>
      <c r="L402" s="43"/>
      <c r="M402" s="281"/>
      <c r="N402" s="43"/>
      <c r="O402" s="43"/>
      <c r="P402" s="43"/>
      <c r="Q402" s="43"/>
      <c r="R402" s="43"/>
      <c r="S402" s="43"/>
      <c r="T402" s="43"/>
      <c r="U402" s="43"/>
      <c r="V402" s="43"/>
      <c r="W402" s="43"/>
      <c r="X402" s="43"/>
      <c r="Y402" s="43"/>
      <c r="Z402" s="43"/>
      <c r="AA402" s="43"/>
      <c r="AB402" s="43"/>
      <c r="AC402" s="43"/>
      <c r="AD402" s="12"/>
    </row>
    <row r="403" spans="1:30" s="11" customFormat="1" x14ac:dyDescent="0.35">
      <c r="A403" s="93"/>
      <c r="B403" s="10"/>
      <c r="C403" s="80"/>
      <c r="D403" s="80"/>
      <c r="E403" s="80"/>
      <c r="F403" s="78"/>
      <c r="M403" s="275"/>
      <c r="N403" s="12"/>
      <c r="O403" s="12"/>
      <c r="AB403" s="12"/>
      <c r="AC403" s="12"/>
      <c r="AD403" s="12"/>
    </row>
    <row r="404" spans="1:30" s="11" customFormat="1" ht="20.25" customHeight="1" collapsed="1" x14ac:dyDescent="0.35">
      <c r="A404" s="93"/>
      <c r="B404" s="10"/>
      <c r="C404" s="78"/>
      <c r="D404" s="78"/>
      <c r="E404" s="78"/>
      <c r="F404" s="78"/>
      <c r="G404" s="343" t="s">
        <v>48</v>
      </c>
      <c r="H404" s="343"/>
      <c r="I404" s="178"/>
      <c r="J404" s="43"/>
      <c r="K404" s="43"/>
      <c r="L404" s="39"/>
      <c r="M404" s="289" t="s">
        <v>185</v>
      </c>
      <c r="N404" s="39"/>
      <c r="O404" s="39"/>
      <c r="P404" s="39"/>
      <c r="Q404" s="39"/>
      <c r="R404" s="39"/>
      <c r="S404" s="39"/>
      <c r="T404" s="39"/>
      <c r="U404" s="39"/>
      <c r="V404" s="39"/>
      <c r="W404" s="39"/>
      <c r="X404" s="39"/>
      <c r="Y404" s="39"/>
      <c r="Z404" s="39"/>
      <c r="AA404" s="39"/>
      <c r="AB404" s="219" t="str">
        <f>TEMPLATE_NAME&amp;" "&amp;TEMPLATE_VER</f>
        <v>AG Estimation Template -  Version 2.0.4</v>
      </c>
      <c r="AC404" s="39"/>
      <c r="AD404" s="12"/>
    </row>
    <row r="405" spans="1:30" s="11" customFormat="1" hidden="1" outlineLevel="1" x14ac:dyDescent="0.35">
      <c r="A405" s="93"/>
      <c r="B405" s="10"/>
      <c r="C405" s="80"/>
      <c r="D405" s="80"/>
      <c r="E405" s="80"/>
      <c r="F405" s="78"/>
      <c r="G405" s="28"/>
      <c r="H405" s="28"/>
      <c r="I405" s="28"/>
      <c r="J405" s="28"/>
      <c r="K405" s="28"/>
      <c r="L405" s="28"/>
      <c r="M405" s="285"/>
      <c r="N405" s="31"/>
      <c r="O405" s="31"/>
      <c r="P405" s="28"/>
      <c r="Q405" s="28"/>
      <c r="R405" s="28"/>
      <c r="S405" s="28"/>
      <c r="T405" s="28"/>
      <c r="U405" s="28"/>
      <c r="V405" s="28"/>
      <c r="W405" s="28"/>
      <c r="X405" s="28"/>
      <c r="Y405" s="28"/>
      <c r="Z405" s="28"/>
      <c r="AA405" s="28"/>
      <c r="AB405" s="31"/>
      <c r="AC405" s="31"/>
      <c r="AD405" s="12"/>
    </row>
    <row r="406" spans="1:30" s="11" customFormat="1" ht="15" hidden="1" customHeight="1" outlineLevel="1" x14ac:dyDescent="0.35">
      <c r="A406" s="93"/>
      <c r="B406" s="10"/>
      <c r="C406" s="80"/>
      <c r="D406" s="80"/>
      <c r="E406" s="80"/>
      <c r="F406" s="78"/>
      <c r="G406" s="28"/>
      <c r="H406" s="28"/>
      <c r="I406" s="28"/>
      <c r="J406" s="28"/>
      <c r="K406" s="28"/>
      <c r="L406" s="28"/>
      <c r="M406" s="285"/>
      <c r="N406" s="142" t="s">
        <v>130</v>
      </c>
      <c r="O406" s="31"/>
      <c r="P406" s="28"/>
      <c r="Q406" s="28"/>
      <c r="R406" s="28"/>
      <c r="S406" s="28"/>
      <c r="T406" s="28"/>
      <c r="U406" s="28"/>
      <c r="V406" s="28"/>
      <c r="W406" s="28"/>
      <c r="X406" s="28"/>
      <c r="Y406" s="28"/>
      <c r="Z406" s="28"/>
      <c r="AA406" s="28"/>
      <c r="AB406" s="31"/>
      <c r="AC406" s="31"/>
      <c r="AD406" s="12"/>
    </row>
    <row r="407" spans="1:30" s="11" customFormat="1" ht="14.25" hidden="1" customHeight="1" outlineLevel="1" x14ac:dyDescent="0.35">
      <c r="A407" s="93"/>
      <c r="B407" s="10"/>
      <c r="C407" s="78"/>
      <c r="D407" s="78"/>
      <c r="E407" s="78"/>
      <c r="F407" s="78"/>
      <c r="G407" s="28"/>
      <c r="H407" s="28"/>
      <c r="I407" s="28"/>
      <c r="J407" s="28"/>
      <c r="K407" s="28"/>
      <c r="L407" s="28"/>
      <c r="M407" s="285"/>
      <c r="N407" s="157" t="s">
        <v>5</v>
      </c>
      <c r="O407" s="155" t="s">
        <v>5</v>
      </c>
      <c r="P407" s="187"/>
      <c r="Q407" s="187"/>
      <c r="R407" s="188"/>
      <c r="S407" s="189"/>
      <c r="T407" s="187"/>
      <c r="U407" s="187"/>
      <c r="V407" s="187"/>
      <c r="W407" s="187"/>
      <c r="X407" s="28"/>
      <c r="Y407" s="28"/>
      <c r="Z407" s="28"/>
      <c r="AA407" s="28"/>
      <c r="AB407" s="28"/>
      <c r="AC407" s="31"/>
      <c r="AD407" s="12"/>
    </row>
    <row r="408" spans="1:30" s="11" customFormat="1" ht="14.25" hidden="1" customHeight="1" outlineLevel="1" x14ac:dyDescent="0.35">
      <c r="A408" s="93"/>
      <c r="B408" s="10"/>
      <c r="C408" s="78"/>
      <c r="D408" s="78"/>
      <c r="E408" s="78"/>
      <c r="F408" s="78"/>
      <c r="G408" s="28"/>
      <c r="H408" s="28"/>
      <c r="I408" s="28"/>
      <c r="J408" s="28"/>
      <c r="K408" s="28"/>
      <c r="L408" s="28"/>
      <c r="M408" s="285"/>
      <c r="N408" s="157" t="s">
        <v>30</v>
      </c>
      <c r="O408" s="156" t="s">
        <v>30</v>
      </c>
      <c r="P408" s="187"/>
      <c r="Q408" s="187"/>
      <c r="R408" s="189"/>
      <c r="S408" s="189"/>
      <c r="T408" s="187"/>
      <c r="U408" s="187"/>
      <c r="V408" s="187"/>
      <c r="W408" s="187"/>
      <c r="X408" s="28"/>
      <c r="Y408" s="28"/>
      <c r="Z408" s="28"/>
      <c r="AA408" s="28"/>
      <c r="AB408" s="28"/>
      <c r="AC408" s="31"/>
      <c r="AD408" s="12"/>
    </row>
    <row r="409" spans="1:30" s="11" customFormat="1" ht="14.25" hidden="1" customHeight="1" outlineLevel="1" x14ac:dyDescent="0.35">
      <c r="A409" s="93"/>
      <c r="B409" s="10"/>
      <c r="C409" s="78"/>
      <c r="D409" s="78"/>
      <c r="E409" s="78"/>
      <c r="F409" s="78"/>
      <c r="G409" s="28"/>
      <c r="H409" s="28"/>
      <c r="I409" s="28"/>
      <c r="J409" s="28"/>
      <c r="K409" s="28"/>
      <c r="L409" s="28"/>
      <c r="M409" s="285"/>
      <c r="N409" s="157" t="s">
        <v>36</v>
      </c>
      <c r="O409" s="156" t="s">
        <v>23</v>
      </c>
      <c r="P409" s="187"/>
      <c r="Q409" s="187"/>
      <c r="R409" s="189"/>
      <c r="S409" s="140"/>
      <c r="T409" s="140"/>
      <c r="U409" s="140"/>
      <c r="V409" s="187"/>
      <c r="W409" s="187"/>
      <c r="X409" s="28"/>
      <c r="Y409" s="28"/>
      <c r="Z409" s="28"/>
      <c r="AA409" s="28"/>
      <c r="AB409" s="28"/>
      <c r="AC409" s="31"/>
      <c r="AD409" s="12"/>
    </row>
    <row r="410" spans="1:30" s="11" customFormat="1" ht="14.25" hidden="1" customHeight="1" outlineLevel="1" x14ac:dyDescent="0.35">
      <c r="A410" s="93"/>
      <c r="B410" s="10"/>
      <c r="C410" s="78"/>
      <c r="D410" s="78"/>
      <c r="E410" s="78"/>
      <c r="F410" s="78"/>
      <c r="G410" s="28"/>
      <c r="H410" s="28"/>
      <c r="I410" s="28"/>
      <c r="J410" s="28"/>
      <c r="K410" s="28"/>
      <c r="L410" s="28"/>
      <c r="M410" s="285"/>
      <c r="N410" s="157" t="s">
        <v>31</v>
      </c>
      <c r="O410" s="156" t="s">
        <v>23</v>
      </c>
      <c r="P410" s="187"/>
      <c r="Q410" s="187"/>
      <c r="R410" s="189"/>
      <c r="S410" s="140"/>
      <c r="T410" s="140"/>
      <c r="U410" s="140"/>
      <c r="V410" s="187"/>
      <c r="W410" s="187"/>
      <c r="X410" s="28"/>
      <c r="Y410" s="28"/>
      <c r="Z410" s="28"/>
      <c r="AA410" s="28"/>
      <c r="AB410" s="28"/>
      <c r="AC410" s="31"/>
      <c r="AD410" s="12"/>
    </row>
    <row r="411" spans="1:30" s="11" customFormat="1" ht="14.25" hidden="1" customHeight="1" outlineLevel="1" x14ac:dyDescent="0.35">
      <c r="A411" s="93"/>
      <c r="B411" s="10"/>
      <c r="C411" s="78"/>
      <c r="D411" s="78"/>
      <c r="E411" s="78"/>
      <c r="F411" s="78"/>
      <c r="G411" s="28"/>
      <c r="H411" s="28"/>
      <c r="I411" s="28"/>
      <c r="J411" s="28"/>
      <c r="K411" s="28"/>
      <c r="L411" s="28"/>
      <c r="M411" s="285"/>
      <c r="N411" s="157" t="s">
        <v>56</v>
      </c>
      <c r="O411" s="156" t="s">
        <v>56</v>
      </c>
      <c r="P411" s="187"/>
      <c r="Q411" s="187"/>
      <c r="R411" s="189"/>
      <c r="S411" s="140"/>
      <c r="T411" s="140"/>
      <c r="U411" s="140"/>
      <c r="V411" s="187"/>
      <c r="W411" s="187"/>
      <c r="X411" s="28"/>
      <c r="Y411" s="28"/>
      <c r="Z411" s="28"/>
      <c r="AA411" s="28"/>
      <c r="AB411" s="28"/>
      <c r="AC411" s="31"/>
      <c r="AD411" s="12"/>
    </row>
    <row r="412" spans="1:30" s="11" customFormat="1" ht="14.25" hidden="1" customHeight="1" outlineLevel="1" x14ac:dyDescent="0.35">
      <c r="A412" s="93"/>
      <c r="B412" s="10"/>
      <c r="C412" s="78"/>
      <c r="D412" s="78"/>
      <c r="E412" s="78"/>
      <c r="F412" s="78"/>
      <c r="G412" s="28"/>
      <c r="H412" s="28"/>
      <c r="I412" s="28"/>
      <c r="J412" s="28"/>
      <c r="K412" s="28"/>
      <c r="L412" s="28"/>
      <c r="M412" s="285"/>
      <c r="N412" s="157" t="s">
        <v>67</v>
      </c>
      <c r="O412" s="156" t="s">
        <v>23</v>
      </c>
      <c r="P412" s="187"/>
      <c r="Q412" s="187"/>
      <c r="R412" s="155"/>
      <c r="S412" s="140"/>
      <c r="T412" s="140"/>
      <c r="U412" s="140"/>
      <c r="V412" s="187"/>
      <c r="W412" s="187"/>
      <c r="X412" s="28"/>
      <c r="Y412" s="28"/>
      <c r="Z412" s="28"/>
      <c r="AA412" s="28"/>
      <c r="AB412" s="28"/>
      <c r="AC412" s="31"/>
      <c r="AD412" s="12"/>
    </row>
    <row r="413" spans="1:30" s="11" customFormat="1" ht="14.25" hidden="1" customHeight="1" outlineLevel="1" x14ac:dyDescent="0.35">
      <c r="A413" s="93"/>
      <c r="B413" s="10"/>
      <c r="C413" s="78"/>
      <c r="D413" s="78"/>
      <c r="E413" s="78"/>
      <c r="F413" s="78"/>
      <c r="G413" s="28"/>
      <c r="H413" s="28"/>
      <c r="I413" s="28"/>
      <c r="J413" s="28"/>
      <c r="K413" s="28"/>
      <c r="L413" s="28"/>
      <c r="M413" s="285"/>
      <c r="N413" s="157" t="s">
        <v>4</v>
      </c>
      <c r="O413" s="155" t="s">
        <v>23</v>
      </c>
      <c r="P413" s="187"/>
      <c r="Q413" s="187"/>
      <c r="R413" s="187"/>
      <c r="S413" s="140"/>
      <c r="T413" s="140"/>
      <c r="U413" s="140"/>
      <c r="V413" s="187"/>
      <c r="W413" s="187"/>
      <c r="X413" s="28"/>
      <c r="Y413" s="28"/>
      <c r="Z413" s="28"/>
      <c r="AA413" s="28"/>
      <c r="AB413" s="28"/>
      <c r="AC413" s="31"/>
      <c r="AD413" s="12"/>
    </row>
    <row r="414" spans="1:30" s="11" customFormat="1" ht="14.25" hidden="1" customHeight="1" outlineLevel="1" x14ac:dyDescent="0.35">
      <c r="A414" s="93"/>
      <c r="B414" s="10"/>
      <c r="C414" s="78"/>
      <c r="D414" s="78"/>
      <c r="E414" s="78"/>
      <c r="F414" s="78"/>
      <c r="G414" s="28"/>
      <c r="H414" s="28"/>
      <c r="I414" s="28"/>
      <c r="J414" s="28"/>
      <c r="K414" s="28"/>
      <c r="L414" s="28"/>
      <c r="M414" s="285"/>
      <c r="N414" s="157" t="s">
        <v>26</v>
      </c>
      <c r="O414" s="155" t="s">
        <v>23</v>
      </c>
      <c r="P414" s="187"/>
      <c r="Q414" s="187"/>
      <c r="R414" s="187"/>
      <c r="S414" s="140"/>
      <c r="T414" s="140"/>
      <c r="U414" s="140"/>
      <c r="V414" s="187"/>
      <c r="W414" s="187"/>
      <c r="X414" s="28"/>
      <c r="Y414" s="28"/>
      <c r="Z414" s="28"/>
      <c r="AA414" s="28"/>
      <c r="AB414" s="28"/>
      <c r="AC414" s="31"/>
      <c r="AD414" s="12"/>
    </row>
    <row r="415" spans="1:30" s="11" customFormat="1" ht="14.25" hidden="1" customHeight="1" outlineLevel="1" x14ac:dyDescent="0.35">
      <c r="A415" s="93"/>
      <c r="B415" s="10"/>
      <c r="C415" s="78"/>
      <c r="D415" s="78"/>
      <c r="E415" s="78"/>
      <c r="F415" s="78"/>
      <c r="G415" s="28"/>
      <c r="H415" s="28"/>
      <c r="I415" s="28"/>
      <c r="J415" s="28"/>
      <c r="K415" s="28"/>
      <c r="L415" s="28"/>
      <c r="M415" s="285"/>
      <c r="N415" s="157"/>
      <c r="O415" s="28"/>
      <c r="P415" s="28"/>
      <c r="Q415" s="28"/>
      <c r="R415" s="28"/>
      <c r="S415" s="139"/>
      <c r="T415" s="139"/>
      <c r="U415" s="139"/>
      <c r="V415" s="139"/>
      <c r="W415" s="139"/>
      <c r="X415" s="28"/>
      <c r="Y415" s="28"/>
      <c r="Z415" s="28"/>
      <c r="AA415" s="28"/>
      <c r="AB415" s="139"/>
      <c r="AC415" s="31"/>
      <c r="AD415" s="12"/>
    </row>
    <row r="416" spans="1:30" s="11" customFormat="1" ht="15" hidden="1" customHeight="1" outlineLevel="1" x14ac:dyDescent="0.35">
      <c r="A416" s="93"/>
      <c r="B416" s="10"/>
      <c r="C416" s="80"/>
      <c r="D416" s="80"/>
      <c r="E416" s="80"/>
      <c r="F416" s="78"/>
      <c r="G416" s="28"/>
      <c r="H416" s="28"/>
      <c r="I416" s="28"/>
      <c r="J416" s="28"/>
      <c r="K416" s="28"/>
      <c r="L416" s="28"/>
      <c r="M416" s="285"/>
      <c r="N416" s="353" t="str">
        <f>"Total effort is "&amp;TEXT(TOTAL_EFFORT,"##,##,###")&amp;" PDs. How much up or down it can safely be without being way off?"</f>
        <v>Total effort is 983 PDs. How much up or down it can safely be without being way off?</v>
      </c>
      <c r="O416" s="142" t="s">
        <v>128</v>
      </c>
      <c r="P416" s="142" t="s">
        <v>129</v>
      </c>
      <c r="Q416" s="28"/>
      <c r="R416" s="28"/>
      <c r="S416" s="139"/>
      <c r="T416" s="139"/>
      <c r="U416" s="139"/>
      <c r="V416" s="139"/>
      <c r="W416" s="139"/>
      <c r="X416" s="28"/>
      <c r="Y416" s="28"/>
      <c r="Z416" s="28"/>
      <c r="AA416" s="28"/>
      <c r="AB416" s="31"/>
      <c r="AC416" s="31"/>
      <c r="AD416" s="12"/>
    </row>
    <row r="417" spans="1:30" s="11" customFormat="1" ht="15" hidden="1" customHeight="1" outlineLevel="1" x14ac:dyDescent="0.35">
      <c r="A417" s="93"/>
      <c r="B417" s="10"/>
      <c r="C417" s="80"/>
      <c r="D417" s="80"/>
      <c r="E417" s="80"/>
      <c r="F417" s="78"/>
      <c r="G417" s="28"/>
      <c r="H417" s="28"/>
      <c r="I417" s="28"/>
      <c r="J417" s="28"/>
      <c r="K417" s="28"/>
      <c r="L417" s="28"/>
      <c r="M417" s="285"/>
      <c r="N417" s="353"/>
      <c r="O417" s="151">
        <v>-0.2</v>
      </c>
      <c r="P417" s="152">
        <v>0.2</v>
      </c>
      <c r="Q417" s="28"/>
      <c r="R417" s="28"/>
      <c r="S417" s="139"/>
      <c r="T417" s="139"/>
      <c r="U417" s="139"/>
      <c r="V417" s="139"/>
      <c r="W417" s="139"/>
      <c r="X417" s="28"/>
      <c r="Y417" s="28"/>
      <c r="Z417" s="28"/>
      <c r="AA417" s="28"/>
      <c r="AB417" s="31"/>
      <c r="AC417" s="31"/>
      <c r="AD417" s="12"/>
    </row>
    <row r="418" spans="1:30" s="11" customFormat="1" hidden="1" outlineLevel="1" x14ac:dyDescent="0.35">
      <c r="A418" s="93"/>
      <c r="B418" s="10"/>
      <c r="C418" s="80"/>
      <c r="D418" s="80"/>
      <c r="E418" s="80"/>
      <c r="F418" s="78"/>
      <c r="G418" s="28"/>
      <c r="H418" s="28"/>
      <c r="I418" s="28"/>
      <c r="J418" s="28"/>
      <c r="K418" s="28"/>
      <c r="L418" s="28"/>
      <c r="M418" s="285"/>
      <c r="N418" s="353"/>
      <c r="O418" s="31"/>
      <c r="P418" s="28"/>
      <c r="Q418" s="28"/>
      <c r="R418" s="28"/>
      <c r="S418" s="28"/>
      <c r="T418" s="28"/>
      <c r="U418" s="28"/>
      <c r="V418" s="28"/>
      <c r="W418" s="28"/>
      <c r="X418" s="28"/>
      <c r="Y418" s="28"/>
      <c r="Z418" s="28"/>
      <c r="AA418" s="28"/>
      <c r="AB418" s="31"/>
      <c r="AC418" s="31"/>
      <c r="AD418" s="12"/>
    </row>
    <row r="419" spans="1:30" s="11" customFormat="1" hidden="1" outlineLevel="1" x14ac:dyDescent="0.35">
      <c r="A419" s="93"/>
      <c r="B419" s="10"/>
      <c r="C419" s="80"/>
      <c r="D419" s="80"/>
      <c r="E419" s="80"/>
      <c r="F419" s="78"/>
      <c r="G419" s="28"/>
      <c r="H419" s="28"/>
      <c r="I419" s="28"/>
      <c r="J419" s="28"/>
      <c r="K419" s="28"/>
      <c r="L419" s="28"/>
      <c r="M419" s="285"/>
      <c r="N419" s="161" t="s">
        <v>453</v>
      </c>
      <c r="O419" s="139"/>
      <c r="P419" s="162" t="s">
        <v>96</v>
      </c>
      <c r="Q419" s="28"/>
      <c r="R419" s="28"/>
      <c r="S419" s="28"/>
      <c r="T419" s="28"/>
      <c r="U419" s="28"/>
      <c r="V419" s="28"/>
      <c r="W419" s="28"/>
      <c r="X419" s="28"/>
      <c r="Y419" s="28"/>
      <c r="Z419" s="28"/>
      <c r="AA419" s="28"/>
      <c r="AB419" s="31"/>
      <c r="AC419" s="31"/>
      <c r="AD419" s="12"/>
    </row>
    <row r="420" spans="1:30" s="11" customFormat="1" hidden="1" outlineLevel="1" x14ac:dyDescent="0.35">
      <c r="A420" s="93"/>
      <c r="B420" s="10"/>
      <c r="C420" s="80"/>
      <c r="D420" s="80"/>
      <c r="E420" s="80"/>
      <c r="F420" s="78"/>
      <c r="G420" s="28"/>
      <c r="H420" s="28"/>
      <c r="I420" s="28"/>
      <c r="J420" s="28"/>
      <c r="K420" s="28"/>
      <c r="L420" s="28"/>
      <c r="M420" s="285"/>
      <c r="N420" s="263" t="s">
        <v>156</v>
      </c>
      <c r="O420" s="28"/>
      <c r="P420" s="160" t="s">
        <v>78</v>
      </c>
      <c r="Q420" s="141" t="s">
        <v>193</v>
      </c>
      <c r="R420" s="28"/>
      <c r="S420" s="28"/>
      <c r="T420" s="28"/>
      <c r="U420" s="28"/>
      <c r="V420" s="28"/>
      <c r="W420" s="28"/>
      <c r="X420" s="28"/>
      <c r="Y420" s="28"/>
      <c r="Z420" s="28"/>
      <c r="AA420" s="28"/>
      <c r="AB420" s="28"/>
      <c r="AC420" s="31"/>
      <c r="AD420" s="12"/>
    </row>
    <row r="421" spans="1:30" s="11" customFormat="1" hidden="1" outlineLevel="1" x14ac:dyDescent="0.35">
      <c r="A421" s="93"/>
      <c r="B421" s="10"/>
      <c r="C421" s="80"/>
      <c r="D421" s="80"/>
      <c r="E421" s="80"/>
      <c r="F421" s="78"/>
      <c r="G421" s="28"/>
      <c r="H421" s="28"/>
      <c r="I421" s="28"/>
      <c r="J421" s="28"/>
      <c r="K421" s="28"/>
      <c r="L421" s="28"/>
      <c r="M421" s="285"/>
      <c r="N421" s="263" t="s">
        <v>169</v>
      </c>
      <c r="O421" s="28"/>
      <c r="P421" s="160" t="s">
        <v>97</v>
      </c>
      <c r="Q421" s="141" t="s">
        <v>192</v>
      </c>
      <c r="R421" s="28"/>
      <c r="S421" s="28"/>
      <c r="T421" s="28"/>
      <c r="U421" s="28"/>
      <c r="V421" s="28"/>
      <c r="W421" s="28"/>
      <c r="X421" s="28"/>
      <c r="Y421" s="28"/>
      <c r="Z421" s="28"/>
      <c r="AA421" s="28"/>
      <c r="AB421" s="28"/>
      <c r="AC421" s="31"/>
      <c r="AD421" s="12"/>
    </row>
    <row r="422" spans="1:30" s="11" customFormat="1" hidden="1" outlineLevel="1" x14ac:dyDescent="0.35">
      <c r="A422" s="93"/>
      <c r="B422" s="10"/>
      <c r="C422" s="80"/>
      <c r="D422" s="80"/>
      <c r="E422" s="80"/>
      <c r="F422" s="78"/>
      <c r="G422" s="28"/>
      <c r="H422" s="28"/>
      <c r="I422" s="28"/>
      <c r="J422" s="28"/>
      <c r="K422" s="28"/>
      <c r="L422" s="28"/>
      <c r="M422" s="285"/>
      <c r="N422" s="263" t="s">
        <v>170</v>
      </c>
      <c r="O422" s="28"/>
      <c r="P422" s="28"/>
      <c r="Q422" s="28"/>
      <c r="R422" s="28"/>
      <c r="S422" s="28"/>
      <c r="T422" s="28"/>
      <c r="U422" s="160"/>
      <c r="V422" s="28"/>
      <c r="W422" s="28"/>
      <c r="X422" s="28"/>
      <c r="Y422" s="28"/>
      <c r="Z422" s="28"/>
      <c r="AA422" s="28"/>
      <c r="AB422" s="28"/>
      <c r="AC422" s="31"/>
      <c r="AD422" s="12"/>
    </row>
    <row r="423" spans="1:30" s="11" customFormat="1" ht="15" hidden="1" customHeight="1" outlineLevel="1" x14ac:dyDescent="0.35">
      <c r="A423" s="93"/>
      <c r="B423" s="10"/>
      <c r="C423" s="80"/>
      <c r="D423" s="80"/>
      <c r="E423" s="80"/>
      <c r="F423" s="78"/>
      <c r="G423" s="28"/>
      <c r="H423" s="28"/>
      <c r="I423" s="28"/>
      <c r="J423" s="28"/>
      <c r="K423" s="28"/>
      <c r="L423" s="28"/>
      <c r="M423" s="285"/>
      <c r="N423" s="263" t="s">
        <v>171</v>
      </c>
      <c r="O423" s="28"/>
      <c r="P423" s="28"/>
      <c r="Q423" s="28"/>
      <c r="R423" s="28"/>
      <c r="S423" s="28"/>
      <c r="T423" s="28"/>
      <c r="U423" s="28"/>
      <c r="V423" s="28"/>
      <c r="W423" s="28"/>
      <c r="X423" s="28"/>
      <c r="Y423" s="28"/>
      <c r="Z423" s="28"/>
      <c r="AA423" s="28"/>
      <c r="AB423" s="28"/>
      <c r="AC423" s="31"/>
      <c r="AD423" s="12"/>
    </row>
    <row r="424" spans="1:30" s="11" customFormat="1" hidden="1" outlineLevel="1" x14ac:dyDescent="0.35">
      <c r="A424" s="93"/>
      <c r="B424" s="10"/>
      <c r="C424" s="80"/>
      <c r="D424" s="80"/>
      <c r="E424" s="80"/>
      <c r="F424" s="78"/>
      <c r="G424" s="28"/>
      <c r="H424" s="28"/>
      <c r="I424" s="28"/>
      <c r="J424" s="28"/>
      <c r="K424" s="28"/>
      <c r="L424" s="28"/>
      <c r="M424" s="285"/>
      <c r="N424" s="263" t="s">
        <v>172</v>
      </c>
      <c r="O424" s="28"/>
      <c r="P424" s="28"/>
      <c r="Q424" s="28"/>
      <c r="R424" s="28"/>
      <c r="S424" s="28"/>
      <c r="T424" s="28"/>
      <c r="U424" s="28"/>
      <c r="V424" s="28"/>
      <c r="W424" s="28"/>
      <c r="X424" s="28"/>
      <c r="Y424" s="28"/>
      <c r="Z424" s="28"/>
      <c r="AA424" s="28"/>
      <c r="AB424" s="28"/>
      <c r="AC424" s="31"/>
      <c r="AD424" s="12"/>
    </row>
    <row r="425" spans="1:30" s="11" customFormat="1" hidden="1" outlineLevel="1" x14ac:dyDescent="0.35">
      <c r="A425" s="93"/>
      <c r="B425" s="10"/>
      <c r="C425" s="80"/>
      <c r="D425" s="80"/>
      <c r="E425" s="80"/>
      <c r="F425" s="78"/>
      <c r="G425" s="28"/>
      <c r="H425" s="28"/>
      <c r="I425" s="28"/>
      <c r="J425" s="28"/>
      <c r="K425" s="28"/>
      <c r="L425" s="28"/>
      <c r="M425" s="285"/>
      <c r="N425" s="263" t="s">
        <v>173</v>
      </c>
      <c r="O425" s="28"/>
      <c r="P425" s="28"/>
      <c r="Q425" s="28"/>
      <c r="R425" s="28"/>
      <c r="S425" s="28"/>
      <c r="T425" s="28"/>
      <c r="U425" s="28"/>
      <c r="V425" s="28"/>
      <c r="W425" s="28"/>
      <c r="X425" s="28"/>
      <c r="Y425" s="28"/>
      <c r="Z425" s="28"/>
      <c r="AA425" s="28"/>
      <c r="AB425" s="28"/>
      <c r="AC425" s="31"/>
      <c r="AD425" s="12"/>
    </row>
    <row r="426" spans="1:30" s="11" customFormat="1" hidden="1" outlineLevel="1" x14ac:dyDescent="0.35">
      <c r="A426" s="93"/>
      <c r="B426" s="10"/>
      <c r="C426" s="80"/>
      <c r="D426" s="80"/>
      <c r="E426" s="80"/>
      <c r="F426" s="78"/>
      <c r="G426" s="28"/>
      <c r="H426" s="28"/>
      <c r="I426" s="28"/>
      <c r="J426" s="28"/>
      <c r="K426" s="28"/>
      <c r="L426" s="28"/>
      <c r="M426" s="285"/>
      <c r="N426" s="263" t="s">
        <v>174</v>
      </c>
      <c r="O426" s="28"/>
      <c r="P426" s="28"/>
      <c r="Q426" s="28"/>
      <c r="R426" s="28"/>
      <c r="S426" s="28"/>
      <c r="T426" s="28"/>
      <c r="U426" s="28"/>
      <c r="V426" s="28"/>
      <c r="W426" s="28"/>
      <c r="X426" s="28"/>
      <c r="Y426" s="28"/>
      <c r="Z426" s="28"/>
      <c r="AA426" s="28"/>
      <c r="AB426" s="28"/>
      <c r="AC426" s="31"/>
      <c r="AD426" s="12"/>
    </row>
    <row r="427" spans="1:30" s="11" customFormat="1" hidden="1" outlineLevel="1" x14ac:dyDescent="0.35">
      <c r="A427" s="93"/>
      <c r="B427" s="10"/>
      <c r="C427" s="80"/>
      <c r="D427" s="80"/>
      <c r="E427" s="80"/>
      <c r="F427" s="78"/>
      <c r="G427" s="28"/>
      <c r="H427" s="28"/>
      <c r="I427" s="28"/>
      <c r="J427" s="28"/>
      <c r="K427" s="28"/>
      <c r="L427" s="28"/>
      <c r="M427" s="285"/>
      <c r="N427" s="263" t="s">
        <v>155</v>
      </c>
      <c r="O427" s="31"/>
      <c r="P427" s="141"/>
      <c r="Q427" s="28"/>
      <c r="R427" s="28"/>
      <c r="S427" s="28"/>
      <c r="T427" s="28"/>
      <c r="U427" s="28"/>
      <c r="V427" s="28"/>
      <c r="W427" s="28"/>
      <c r="X427" s="28"/>
      <c r="Y427" s="28"/>
      <c r="Z427" s="28"/>
      <c r="AA427" s="28"/>
      <c r="AB427" s="28"/>
      <c r="AC427" s="31"/>
      <c r="AD427" s="12"/>
    </row>
    <row r="428" spans="1:30" s="11" customFormat="1" hidden="1" outlineLevel="1" x14ac:dyDescent="0.35">
      <c r="A428" s="93"/>
      <c r="B428" s="10"/>
      <c r="C428" s="80"/>
      <c r="D428" s="80"/>
      <c r="E428" s="80"/>
      <c r="F428" s="78"/>
      <c r="G428" s="28"/>
      <c r="H428" s="28"/>
      <c r="I428" s="28"/>
      <c r="J428" s="28"/>
      <c r="K428" s="28"/>
      <c r="L428" s="28"/>
      <c r="M428" s="285"/>
      <c r="N428" s="263" t="s">
        <v>158</v>
      </c>
      <c r="O428" s="31"/>
      <c r="P428" s="28"/>
      <c r="Q428" s="28"/>
      <c r="R428" s="28"/>
      <c r="S428" s="28"/>
      <c r="T428" s="28"/>
      <c r="U428" s="28"/>
      <c r="V428" s="28"/>
      <c r="W428" s="28"/>
      <c r="X428" s="28"/>
      <c r="Y428" s="28"/>
      <c r="Z428" s="28"/>
      <c r="AA428" s="28"/>
      <c r="AB428" s="28"/>
      <c r="AC428" s="31"/>
      <c r="AD428" s="12"/>
    </row>
    <row r="429" spans="1:30" s="11" customFormat="1" hidden="1" outlineLevel="1" x14ac:dyDescent="0.35">
      <c r="A429" s="93"/>
      <c r="B429" s="10"/>
      <c r="C429" s="80"/>
      <c r="D429" s="80"/>
      <c r="E429" s="80"/>
      <c r="F429" s="78"/>
      <c r="G429" s="28"/>
      <c r="H429" s="28"/>
      <c r="I429" s="28"/>
      <c r="J429" s="28"/>
      <c r="K429" s="28"/>
      <c r="L429" s="28"/>
      <c r="M429" s="285"/>
      <c r="N429" s="263" t="s">
        <v>160</v>
      </c>
      <c r="O429" s="31"/>
      <c r="P429" s="28"/>
      <c r="Q429" s="28"/>
      <c r="R429" s="28"/>
      <c r="S429" s="28"/>
      <c r="T429" s="28"/>
      <c r="U429" s="28"/>
      <c r="V429" s="28"/>
      <c r="W429" s="28"/>
      <c r="X429" s="28"/>
      <c r="Y429" s="28"/>
      <c r="Z429" s="28"/>
      <c r="AA429" s="28"/>
      <c r="AB429" s="28"/>
      <c r="AC429" s="31"/>
      <c r="AD429" s="12"/>
    </row>
    <row r="430" spans="1:30" s="11" customFormat="1" hidden="1" outlineLevel="1" x14ac:dyDescent="0.35">
      <c r="A430" s="93"/>
      <c r="B430" s="10"/>
      <c r="C430" s="80"/>
      <c r="D430" s="80"/>
      <c r="E430" s="80"/>
      <c r="F430" s="78"/>
      <c r="G430" s="28"/>
      <c r="H430" s="28"/>
      <c r="I430" s="28"/>
      <c r="J430" s="28"/>
      <c r="K430" s="28"/>
      <c r="L430" s="28"/>
      <c r="M430" s="285"/>
      <c r="N430" s="263" t="s">
        <v>159</v>
      </c>
      <c r="O430" s="31"/>
      <c r="P430" s="28"/>
      <c r="Q430" s="28"/>
      <c r="R430" s="28"/>
      <c r="S430" s="28"/>
      <c r="T430" s="28"/>
      <c r="U430" s="28"/>
      <c r="V430" s="28"/>
      <c r="W430" s="28"/>
      <c r="X430" s="28"/>
      <c r="Y430" s="28"/>
      <c r="Z430" s="28"/>
      <c r="AA430" s="28"/>
      <c r="AB430" s="28"/>
      <c r="AC430" s="31"/>
      <c r="AD430" s="12"/>
    </row>
    <row r="431" spans="1:30" s="11" customFormat="1" hidden="1" outlineLevel="1" x14ac:dyDescent="0.35">
      <c r="A431" s="93"/>
      <c r="B431" s="10"/>
      <c r="C431" s="80"/>
      <c r="D431" s="80"/>
      <c r="E431" s="80"/>
      <c r="F431" s="78"/>
      <c r="G431" s="28"/>
      <c r="H431" s="28"/>
      <c r="I431" s="28"/>
      <c r="J431" s="28"/>
      <c r="K431" s="28"/>
      <c r="L431" s="28"/>
      <c r="M431" s="285"/>
      <c r="N431" s="263" t="s">
        <v>161</v>
      </c>
      <c r="O431" s="31"/>
      <c r="P431" s="28"/>
      <c r="Q431" s="28"/>
      <c r="R431" s="28"/>
      <c r="S431" s="28"/>
      <c r="T431" s="28"/>
      <c r="U431" s="28"/>
      <c r="V431" s="28"/>
      <c r="W431" s="28"/>
      <c r="X431" s="28"/>
      <c r="Y431" s="28"/>
      <c r="Z431" s="28"/>
      <c r="AA431" s="28"/>
      <c r="AB431" s="28"/>
      <c r="AC431" s="31"/>
      <c r="AD431" s="12"/>
    </row>
    <row r="432" spans="1:30" s="11" customFormat="1" hidden="1" outlineLevel="1" x14ac:dyDescent="0.35">
      <c r="A432" s="93"/>
      <c r="B432" s="10"/>
      <c r="C432" s="80"/>
      <c r="D432" s="80"/>
      <c r="E432" s="80"/>
      <c r="F432" s="78"/>
      <c r="G432" s="28"/>
      <c r="H432" s="28"/>
      <c r="I432" s="28"/>
      <c r="J432" s="28"/>
      <c r="K432" s="28"/>
      <c r="L432" s="28"/>
      <c r="M432" s="285"/>
      <c r="N432" s="263" t="s">
        <v>162</v>
      </c>
      <c r="O432" s="31"/>
      <c r="P432" s="28"/>
      <c r="Q432" s="28"/>
      <c r="R432" s="28"/>
      <c r="S432" s="28"/>
      <c r="T432" s="28"/>
      <c r="U432" s="28"/>
      <c r="V432" s="28"/>
      <c r="W432" s="28"/>
      <c r="X432" s="28"/>
      <c r="Y432" s="28"/>
      <c r="Z432" s="28"/>
      <c r="AA432" s="28"/>
      <c r="AB432" s="28"/>
      <c r="AC432" s="31"/>
      <c r="AD432" s="12"/>
    </row>
    <row r="433" spans="1:30" s="11" customFormat="1" hidden="1" outlineLevel="1" x14ac:dyDescent="0.35">
      <c r="A433" s="93"/>
      <c r="B433" s="10"/>
      <c r="C433" s="80"/>
      <c r="D433" s="80"/>
      <c r="E433" s="80"/>
      <c r="F433" s="78"/>
      <c r="G433" s="28"/>
      <c r="H433" s="28"/>
      <c r="I433" s="28"/>
      <c r="J433" s="28"/>
      <c r="K433" s="28"/>
      <c r="L433" s="28"/>
      <c r="M433" s="285"/>
      <c r="N433" s="263" t="s">
        <v>163</v>
      </c>
      <c r="O433" s="31"/>
      <c r="P433" s="28"/>
      <c r="Q433" s="28"/>
      <c r="R433" s="28"/>
      <c r="S433" s="28"/>
      <c r="T433" s="28"/>
      <c r="U433" s="28"/>
      <c r="V433" s="28"/>
      <c r="W433" s="28"/>
      <c r="X433" s="28"/>
      <c r="Y433" s="28"/>
      <c r="Z433" s="28"/>
      <c r="AA433" s="28"/>
      <c r="AB433" s="28"/>
      <c r="AC433" s="31"/>
      <c r="AD433" s="12"/>
    </row>
    <row r="434" spans="1:30" s="11" customFormat="1" hidden="1" outlineLevel="1" x14ac:dyDescent="0.35">
      <c r="A434" s="93"/>
      <c r="B434" s="10"/>
      <c r="C434" s="80"/>
      <c r="D434" s="80"/>
      <c r="E434" s="80"/>
      <c r="F434" s="78"/>
      <c r="G434" s="28"/>
      <c r="H434" s="28"/>
      <c r="I434" s="28"/>
      <c r="J434" s="28"/>
      <c r="K434" s="28"/>
      <c r="L434" s="28"/>
      <c r="M434" s="285"/>
      <c r="N434" s="263" t="s">
        <v>157</v>
      </c>
      <c r="O434" s="31"/>
      <c r="P434" s="28"/>
      <c r="Q434" s="28"/>
      <c r="R434" s="28"/>
      <c r="S434" s="28"/>
      <c r="T434" s="28"/>
      <c r="U434" s="28"/>
      <c r="V434" s="28"/>
      <c r="W434" s="28"/>
      <c r="X434" s="28"/>
      <c r="Y434" s="28"/>
      <c r="Z434" s="28"/>
      <c r="AA434" s="28"/>
      <c r="AB434" s="28"/>
      <c r="AC434" s="31"/>
      <c r="AD434" s="12"/>
    </row>
    <row r="435" spans="1:30" s="11" customFormat="1" hidden="1" outlineLevel="1" x14ac:dyDescent="0.35">
      <c r="A435" s="93"/>
      <c r="B435" s="10"/>
      <c r="C435" s="80"/>
      <c r="D435" s="80"/>
      <c r="E435" s="80"/>
      <c r="F435" s="78"/>
      <c r="G435" s="28"/>
      <c r="H435" s="28"/>
      <c r="I435" s="28"/>
      <c r="J435" s="28"/>
      <c r="K435" s="28"/>
      <c r="L435" s="28"/>
      <c r="M435" s="285"/>
      <c r="N435" s="263" t="s">
        <v>164</v>
      </c>
      <c r="O435" s="31"/>
      <c r="P435" s="28"/>
      <c r="Q435" s="28"/>
      <c r="R435" s="28"/>
      <c r="S435" s="28"/>
      <c r="T435" s="28"/>
      <c r="U435" s="28"/>
      <c r="V435" s="28"/>
      <c r="W435" s="28"/>
      <c r="X435" s="28"/>
      <c r="Y435" s="28"/>
      <c r="Z435" s="28"/>
      <c r="AA435" s="28"/>
      <c r="AB435" s="28"/>
      <c r="AC435" s="31"/>
      <c r="AD435" s="12"/>
    </row>
    <row r="436" spans="1:30" s="11" customFormat="1" hidden="1" outlineLevel="1" x14ac:dyDescent="0.35">
      <c r="A436" s="93"/>
      <c r="B436" s="10"/>
      <c r="C436" s="80"/>
      <c r="D436" s="80"/>
      <c r="E436" s="80"/>
      <c r="F436" s="78"/>
      <c r="G436" s="28"/>
      <c r="H436" s="28"/>
      <c r="I436" s="28"/>
      <c r="J436" s="28"/>
      <c r="K436" s="28"/>
      <c r="L436" s="28"/>
      <c r="M436" s="285"/>
      <c r="N436" s="263" t="s">
        <v>165</v>
      </c>
      <c r="O436" s="31"/>
      <c r="P436" s="28"/>
      <c r="Q436" s="28"/>
      <c r="R436" s="28"/>
      <c r="S436" s="28"/>
      <c r="T436" s="28"/>
      <c r="U436" s="28"/>
      <c r="V436" s="28"/>
      <c r="W436" s="28"/>
      <c r="X436" s="28"/>
      <c r="Y436" s="28"/>
      <c r="Z436" s="28"/>
      <c r="AA436" s="28"/>
      <c r="AB436" s="28"/>
      <c r="AC436" s="31"/>
      <c r="AD436" s="12"/>
    </row>
    <row r="437" spans="1:30" s="11" customFormat="1" hidden="1" outlineLevel="1" x14ac:dyDescent="0.35">
      <c r="A437" s="93"/>
      <c r="B437" s="10"/>
      <c r="C437" s="80"/>
      <c r="D437" s="80"/>
      <c r="E437" s="80"/>
      <c r="F437" s="78"/>
      <c r="G437" s="28"/>
      <c r="H437" s="28"/>
      <c r="I437" s="28"/>
      <c r="J437" s="28"/>
      <c r="K437" s="28"/>
      <c r="L437" s="28"/>
      <c r="M437" s="285"/>
      <c r="N437" s="263" t="s">
        <v>166</v>
      </c>
      <c r="O437" s="31"/>
      <c r="P437" s="28"/>
      <c r="Q437" s="28"/>
      <c r="R437" s="28"/>
      <c r="S437" s="28"/>
      <c r="T437" s="28"/>
      <c r="U437" s="28"/>
      <c r="V437" s="28"/>
      <c r="W437" s="28"/>
      <c r="X437" s="28"/>
      <c r="Y437" s="28"/>
      <c r="Z437" s="28"/>
      <c r="AA437" s="28"/>
      <c r="AB437" s="28"/>
      <c r="AC437" s="31"/>
      <c r="AD437" s="12"/>
    </row>
    <row r="438" spans="1:30" s="11" customFormat="1" hidden="1" outlineLevel="1" x14ac:dyDescent="0.35">
      <c r="A438" s="93"/>
      <c r="B438" s="10"/>
      <c r="C438" s="80"/>
      <c r="D438" s="80"/>
      <c r="E438" s="80"/>
      <c r="F438" s="78"/>
      <c r="G438" s="28"/>
      <c r="H438" s="28"/>
      <c r="I438" s="28"/>
      <c r="J438" s="28"/>
      <c r="K438" s="28"/>
      <c r="L438" s="28"/>
      <c r="M438" s="285"/>
      <c r="N438" s="263" t="s">
        <v>167</v>
      </c>
      <c r="O438" s="31"/>
      <c r="P438" s="28"/>
      <c r="Q438" s="28"/>
      <c r="R438" s="28"/>
      <c r="S438" s="28"/>
      <c r="T438" s="28"/>
      <c r="U438" s="28"/>
      <c r="V438" s="28"/>
      <c r="W438" s="28"/>
      <c r="X438" s="28"/>
      <c r="Y438" s="28"/>
      <c r="Z438" s="28"/>
      <c r="AA438" s="28"/>
      <c r="AB438" s="28"/>
      <c r="AC438" s="31"/>
      <c r="AD438" s="12"/>
    </row>
    <row r="439" spans="1:30" s="11" customFormat="1" hidden="1" outlineLevel="1" x14ac:dyDescent="0.35">
      <c r="A439" s="93"/>
      <c r="B439" s="10"/>
      <c r="C439" s="80"/>
      <c r="D439" s="80"/>
      <c r="E439" s="80"/>
      <c r="F439" s="78"/>
      <c r="G439" s="28"/>
      <c r="H439" s="28"/>
      <c r="I439" s="28"/>
      <c r="J439" s="28"/>
      <c r="K439" s="28"/>
      <c r="L439" s="28"/>
      <c r="M439" s="285"/>
      <c r="N439" s="263" t="s">
        <v>168</v>
      </c>
      <c r="O439" s="31"/>
      <c r="P439" s="28"/>
      <c r="Q439" s="28"/>
      <c r="R439" s="28"/>
      <c r="S439" s="28"/>
      <c r="T439" s="28"/>
      <c r="U439" s="28"/>
      <c r="V439" s="28"/>
      <c r="W439" s="28"/>
      <c r="X439" s="28"/>
      <c r="Y439" s="28"/>
      <c r="Z439" s="28"/>
      <c r="AA439" s="28"/>
      <c r="AB439" s="28"/>
      <c r="AC439" s="31"/>
      <c r="AD439" s="12"/>
    </row>
    <row r="440" spans="1:30" s="11" customFormat="1" hidden="1" outlineLevel="1" x14ac:dyDescent="0.35">
      <c r="A440" s="93"/>
      <c r="B440" s="10"/>
      <c r="C440" s="80"/>
      <c r="D440" s="80"/>
      <c r="E440" s="80"/>
      <c r="F440" s="78"/>
      <c r="G440" s="28"/>
      <c r="H440" s="28"/>
      <c r="I440" s="28"/>
      <c r="J440" s="28"/>
      <c r="K440" s="28"/>
      <c r="L440" s="28"/>
      <c r="M440" s="285"/>
      <c r="N440" s="139"/>
      <c r="O440" s="31"/>
      <c r="P440" s="28"/>
      <c r="Q440" s="28"/>
      <c r="R440" s="28"/>
      <c r="S440" s="28"/>
      <c r="T440" s="28"/>
      <c r="U440" s="28"/>
      <c r="V440" s="28"/>
      <c r="W440" s="28"/>
      <c r="X440" s="28"/>
      <c r="Y440" s="28"/>
      <c r="Z440" s="28"/>
      <c r="AA440" s="28"/>
      <c r="AB440" s="28"/>
      <c r="AC440" s="31"/>
      <c r="AD440" s="12"/>
    </row>
    <row r="441" spans="1:30" s="11" customFormat="1" ht="15" hidden="1" customHeight="1" outlineLevel="1" x14ac:dyDescent="0.3">
      <c r="A441" s="93"/>
      <c r="B441" s="10"/>
      <c r="C441" s="80"/>
      <c r="D441" s="80"/>
      <c r="E441" s="80"/>
      <c r="F441" s="78"/>
      <c r="G441" s="28"/>
      <c r="H441" s="28"/>
      <c r="I441" s="28"/>
      <c r="J441" s="28"/>
      <c r="K441" s="28"/>
      <c r="L441" s="28"/>
      <c r="M441" s="285"/>
      <c r="N441" s="165" t="s">
        <v>77</v>
      </c>
      <c r="O441" s="165" t="s">
        <v>144</v>
      </c>
      <c r="P441" s="28"/>
      <c r="Q441" s="186"/>
      <c r="R441" s="186"/>
      <c r="S441" s="28"/>
      <c r="T441" s="28"/>
      <c r="U441" s="28"/>
      <c r="V441" s="28"/>
      <c r="W441" s="28"/>
      <c r="X441" s="28"/>
      <c r="Y441" s="28"/>
      <c r="Z441" s="28"/>
      <c r="AA441" s="28"/>
      <c r="AB441" s="31"/>
      <c r="AC441" s="31"/>
      <c r="AD441" s="12"/>
    </row>
    <row r="442" spans="1:30" s="11" customFormat="1" ht="15" hidden="1" customHeight="1" outlineLevel="1" x14ac:dyDescent="0.35">
      <c r="A442" s="93"/>
      <c r="B442" s="10"/>
      <c r="C442" s="80"/>
      <c r="D442" s="80"/>
      <c r="E442" s="80"/>
      <c r="F442" s="78"/>
      <c r="G442" s="28"/>
      <c r="H442" s="28"/>
      <c r="I442" s="28"/>
      <c r="J442" s="28"/>
      <c r="K442" s="28"/>
      <c r="L442" s="28"/>
      <c r="M442" s="285"/>
      <c r="N442" s="159" t="s">
        <v>65</v>
      </c>
      <c r="O442" s="164">
        <v>0.5</v>
      </c>
      <c r="P442" s="354" t="s">
        <v>140</v>
      </c>
      <c r="Q442" s="354"/>
      <c r="R442" s="354"/>
      <c r="S442" s="28"/>
      <c r="T442" s="28"/>
      <c r="U442" s="28"/>
      <c r="V442" s="28"/>
      <c r="W442" s="28"/>
      <c r="X442" s="28"/>
      <c r="Y442" s="28"/>
      <c r="Z442" s="28"/>
      <c r="AA442" s="28"/>
      <c r="AB442" s="31"/>
      <c r="AC442" s="31"/>
      <c r="AD442" s="12"/>
    </row>
    <row r="443" spans="1:30" s="11" customFormat="1" hidden="1" outlineLevel="1" x14ac:dyDescent="0.35">
      <c r="A443" s="93"/>
      <c r="B443" s="10"/>
      <c r="C443" s="80"/>
      <c r="D443" s="80"/>
      <c r="E443" s="80"/>
      <c r="F443" s="78"/>
      <c r="G443" s="28"/>
      <c r="H443" s="28"/>
      <c r="I443" s="28"/>
      <c r="J443" s="28"/>
      <c r="K443" s="28"/>
      <c r="L443" s="28"/>
      <c r="M443" s="285"/>
      <c r="N443" s="159" t="s">
        <v>66</v>
      </c>
      <c r="O443" s="164">
        <v>0.25</v>
      </c>
      <c r="P443" s="354"/>
      <c r="Q443" s="354"/>
      <c r="R443" s="354"/>
      <c r="S443" s="28"/>
      <c r="T443" s="28"/>
      <c r="U443" s="28"/>
      <c r="V443" s="28"/>
      <c r="W443" s="28"/>
      <c r="X443" s="28"/>
      <c r="Y443" s="28"/>
      <c r="Z443" s="28"/>
      <c r="AA443" s="28"/>
      <c r="AB443" s="31"/>
      <c r="AC443" s="31"/>
      <c r="AD443" s="12"/>
    </row>
    <row r="444" spans="1:30" s="11" customFormat="1" hidden="1" outlineLevel="1" x14ac:dyDescent="0.35">
      <c r="A444" s="93"/>
      <c r="B444" s="10"/>
      <c r="C444" s="80"/>
      <c r="D444" s="80"/>
      <c r="E444" s="80"/>
      <c r="F444" s="78"/>
      <c r="G444" s="28"/>
      <c r="H444" s="28"/>
      <c r="I444" s="28"/>
      <c r="J444" s="28"/>
      <c r="K444" s="28"/>
      <c r="L444" s="28"/>
      <c r="M444" s="285"/>
      <c r="N444" s="31"/>
      <c r="O444" s="31"/>
      <c r="P444" s="354"/>
      <c r="Q444" s="354"/>
      <c r="R444" s="354"/>
      <c r="S444" s="28"/>
      <c r="T444" s="28"/>
      <c r="U444" s="28"/>
      <c r="V444" s="28"/>
      <c r="W444" s="28"/>
      <c r="X444" s="28"/>
      <c r="Y444" s="28"/>
      <c r="Z444" s="28"/>
      <c r="AA444" s="28"/>
      <c r="AB444" s="31"/>
      <c r="AC444" s="31"/>
      <c r="AD444" s="12"/>
    </row>
    <row r="445" spans="1:30" s="11" customFormat="1" hidden="1" outlineLevel="1" x14ac:dyDescent="0.35">
      <c r="A445" s="93"/>
      <c r="B445" s="10"/>
      <c r="C445" s="80"/>
      <c r="D445" s="80"/>
      <c r="E445" s="80"/>
      <c r="F445" s="78"/>
      <c r="G445" s="28"/>
      <c r="H445" s="28"/>
      <c r="I445" s="28"/>
      <c r="J445" s="28"/>
      <c r="K445" s="28"/>
      <c r="L445" s="28"/>
      <c r="M445" s="285"/>
      <c r="N445" s="31"/>
      <c r="O445" s="31"/>
      <c r="P445" s="354"/>
      <c r="Q445" s="354"/>
      <c r="R445" s="354"/>
      <c r="S445" s="28"/>
      <c r="T445" s="28"/>
      <c r="U445" s="28"/>
      <c r="V445" s="28"/>
      <c r="W445" s="28"/>
      <c r="X445" s="28"/>
      <c r="Y445" s="28"/>
      <c r="Z445" s="28"/>
      <c r="AA445" s="28"/>
      <c r="AB445" s="31"/>
      <c r="AC445" s="31"/>
      <c r="AD445" s="12"/>
    </row>
    <row r="446" spans="1:30" s="11" customFormat="1" hidden="1" outlineLevel="1" x14ac:dyDescent="0.3">
      <c r="A446" s="93"/>
      <c r="B446" s="10"/>
      <c r="C446" s="80"/>
      <c r="D446" s="80"/>
      <c r="E446" s="80"/>
      <c r="F446" s="78"/>
      <c r="G446" s="28"/>
      <c r="H446" s="28"/>
      <c r="I446" s="28"/>
      <c r="J446" s="28"/>
      <c r="K446" s="28"/>
      <c r="L446" s="28"/>
      <c r="M446" s="285"/>
      <c r="N446" s="161" t="s">
        <v>133</v>
      </c>
      <c r="O446" s="165" t="s">
        <v>144</v>
      </c>
      <c r="P446" s="28"/>
      <c r="Q446" s="28"/>
      <c r="R446" s="28"/>
      <c r="S446" s="28"/>
      <c r="T446" s="28"/>
      <c r="U446" s="28"/>
      <c r="V446" s="28"/>
      <c r="W446" s="28"/>
      <c r="X446" s="28"/>
      <c r="Y446" s="28"/>
      <c r="Z446" s="28"/>
      <c r="AA446" s="28"/>
      <c r="AB446" s="31"/>
      <c r="AC446" s="31"/>
      <c r="AD446" s="12"/>
    </row>
    <row r="447" spans="1:30" s="11" customFormat="1" hidden="1" outlineLevel="1" x14ac:dyDescent="0.35">
      <c r="A447" s="93"/>
      <c r="B447" s="10"/>
      <c r="C447" s="80"/>
      <c r="D447" s="80"/>
      <c r="E447" s="80"/>
      <c r="F447" s="78"/>
      <c r="G447" s="28"/>
      <c r="H447" s="28"/>
      <c r="I447" s="28"/>
      <c r="J447" s="28"/>
      <c r="K447" s="28"/>
      <c r="L447" s="28"/>
      <c r="M447" s="285"/>
      <c r="N447" s="271" t="s">
        <v>23</v>
      </c>
      <c r="O447" s="272">
        <v>0</v>
      </c>
      <c r="P447" s="354" t="s">
        <v>141</v>
      </c>
      <c r="Q447" s="354"/>
      <c r="R447" s="28"/>
      <c r="S447" s="28"/>
      <c r="T447" s="28"/>
      <c r="U447" s="28"/>
      <c r="V447" s="28"/>
      <c r="W447" s="28"/>
      <c r="X447" s="28"/>
      <c r="Y447" s="28"/>
      <c r="Z447" s="28"/>
      <c r="AA447" s="28"/>
      <c r="AB447" s="31"/>
      <c r="AC447" s="31"/>
      <c r="AD447" s="12"/>
    </row>
    <row r="448" spans="1:30" s="11" customFormat="1" ht="15" hidden="1" customHeight="1" outlineLevel="1" x14ac:dyDescent="0.35">
      <c r="A448" s="93"/>
      <c r="B448" s="10"/>
      <c r="C448" s="80"/>
      <c r="D448" s="80"/>
      <c r="E448" s="80"/>
      <c r="F448" s="78"/>
      <c r="G448" s="28"/>
      <c r="H448" s="28"/>
      <c r="I448" s="28"/>
      <c r="J448" s="28"/>
      <c r="K448" s="28"/>
      <c r="L448" s="28"/>
      <c r="M448" s="285"/>
      <c r="N448" s="271" t="s">
        <v>134</v>
      </c>
      <c r="O448" s="272">
        <v>0.25</v>
      </c>
      <c r="P448" s="354"/>
      <c r="Q448" s="354"/>
      <c r="R448" s="28"/>
      <c r="S448" s="28"/>
      <c r="T448" s="28"/>
      <c r="U448" s="28"/>
      <c r="V448" s="28"/>
      <c r="W448" s="28"/>
      <c r="X448" s="28"/>
      <c r="Y448" s="28"/>
      <c r="Z448" s="28"/>
      <c r="AA448" s="28"/>
      <c r="AB448" s="31"/>
      <c r="AC448" s="31"/>
      <c r="AD448" s="12"/>
    </row>
    <row r="449" spans="1:30" s="11" customFormat="1" hidden="1" outlineLevel="1" x14ac:dyDescent="0.35">
      <c r="A449" s="93"/>
      <c r="B449" s="10"/>
      <c r="C449" s="80"/>
      <c r="D449" s="80"/>
      <c r="E449" s="80"/>
      <c r="F449" s="78"/>
      <c r="G449" s="28"/>
      <c r="H449" s="28"/>
      <c r="I449" s="28"/>
      <c r="J449" s="28"/>
      <c r="K449" s="28"/>
      <c r="L449" s="28"/>
      <c r="M449" s="285"/>
      <c r="N449" s="271" t="s">
        <v>135</v>
      </c>
      <c r="O449" s="273">
        <v>0.1</v>
      </c>
      <c r="P449" s="28"/>
      <c r="Q449" s="28"/>
      <c r="R449" s="28"/>
      <c r="S449" s="28"/>
      <c r="T449" s="28"/>
      <c r="U449" s="28"/>
      <c r="V449" s="28"/>
      <c r="W449" s="28"/>
      <c r="X449" s="28"/>
      <c r="Y449" s="28"/>
      <c r="Z449" s="28"/>
      <c r="AA449" s="28"/>
      <c r="AB449" s="31"/>
      <c r="AC449" s="31"/>
      <c r="AD449" s="12"/>
    </row>
    <row r="450" spans="1:30" s="11" customFormat="1" hidden="1" outlineLevel="1" x14ac:dyDescent="0.35">
      <c r="A450" s="93"/>
      <c r="B450" s="10"/>
      <c r="C450" s="80"/>
      <c r="D450" s="80"/>
      <c r="E450" s="80"/>
      <c r="F450" s="78"/>
      <c r="G450" s="28"/>
      <c r="H450" s="28"/>
      <c r="I450" s="28"/>
      <c r="J450" s="28"/>
      <c r="K450" s="28"/>
      <c r="L450" s="28"/>
      <c r="M450" s="285"/>
      <c r="N450" s="271" t="s">
        <v>136</v>
      </c>
      <c r="O450" s="273">
        <v>0</v>
      </c>
      <c r="P450" s="28"/>
      <c r="Q450" s="28"/>
      <c r="R450" s="28"/>
      <c r="S450" s="28"/>
      <c r="T450" s="28"/>
      <c r="U450" s="28"/>
      <c r="V450" s="28"/>
      <c r="W450" s="28"/>
      <c r="X450" s="28"/>
      <c r="Y450" s="28"/>
      <c r="Z450" s="28"/>
      <c r="AA450" s="28"/>
      <c r="AB450" s="31"/>
      <c r="AC450" s="31"/>
      <c r="AD450" s="12"/>
    </row>
    <row r="451" spans="1:30" s="11" customFormat="1" hidden="1" outlineLevel="1" x14ac:dyDescent="0.35">
      <c r="A451" s="93"/>
      <c r="B451" s="10"/>
      <c r="C451" s="80"/>
      <c r="D451" s="80"/>
      <c r="E451" s="80"/>
      <c r="F451" s="78"/>
      <c r="G451" s="28"/>
      <c r="H451" s="28"/>
      <c r="I451" s="28"/>
      <c r="J451" s="28"/>
      <c r="K451" s="28"/>
      <c r="L451" s="28"/>
      <c r="M451" s="285"/>
      <c r="N451" s="271" t="s">
        <v>137</v>
      </c>
      <c r="O451" s="273">
        <v>0</v>
      </c>
      <c r="P451" s="28"/>
      <c r="Q451" s="28"/>
      <c r="R451" s="28"/>
      <c r="S451" s="28"/>
      <c r="T451" s="28"/>
      <c r="U451" s="28"/>
      <c r="V451" s="28"/>
      <c r="W451" s="28"/>
      <c r="X451" s="28"/>
      <c r="Y451" s="28"/>
      <c r="Z451" s="28"/>
      <c r="AA451" s="28"/>
      <c r="AB451" s="31"/>
      <c r="AC451" s="31"/>
      <c r="AD451" s="12"/>
    </row>
    <row r="452" spans="1:30" s="11" customFormat="1" hidden="1" outlineLevel="1" x14ac:dyDescent="0.35">
      <c r="A452" s="93"/>
      <c r="B452" s="10"/>
      <c r="C452" s="80"/>
      <c r="D452" s="80"/>
      <c r="E452" s="80"/>
      <c r="F452" s="78"/>
      <c r="G452" s="28"/>
      <c r="H452" s="28"/>
      <c r="I452" s="28"/>
      <c r="J452" s="28"/>
      <c r="K452" s="28"/>
      <c r="L452" s="28"/>
      <c r="M452" s="285"/>
      <c r="N452" s="271" t="s">
        <v>138</v>
      </c>
      <c r="O452" s="273">
        <v>0</v>
      </c>
      <c r="P452" s="28"/>
      <c r="Q452" s="28"/>
      <c r="R452" s="28"/>
      <c r="S452" s="28"/>
      <c r="T452" s="28"/>
      <c r="U452" s="28"/>
      <c r="V452" s="28"/>
      <c r="W452" s="28"/>
      <c r="X452" s="28"/>
      <c r="Y452" s="28"/>
      <c r="Z452" s="28"/>
      <c r="AA452" s="28"/>
      <c r="AB452" s="31"/>
      <c r="AC452" s="31"/>
      <c r="AD452" s="12"/>
    </row>
    <row r="453" spans="1:30" s="11" customFormat="1" hidden="1" outlineLevel="1" x14ac:dyDescent="0.35">
      <c r="A453" s="93"/>
      <c r="B453" s="10"/>
      <c r="C453" s="80"/>
      <c r="D453" s="80"/>
      <c r="E453" s="80"/>
      <c r="F453" s="78"/>
      <c r="G453" s="28"/>
      <c r="H453" s="28"/>
      <c r="I453" s="28"/>
      <c r="J453" s="28"/>
      <c r="K453" s="28"/>
      <c r="L453" s="28"/>
      <c r="M453" s="285"/>
      <c r="N453" s="31"/>
      <c r="O453" s="31"/>
      <c r="P453" s="28"/>
      <c r="Q453" s="28"/>
      <c r="R453" s="28"/>
      <c r="S453" s="28"/>
      <c r="T453" s="28"/>
      <c r="U453" s="28"/>
      <c r="V453" s="28"/>
      <c r="W453" s="28"/>
      <c r="X453" s="28"/>
      <c r="Y453" s="28"/>
      <c r="Z453" s="28"/>
      <c r="AA453" s="28"/>
      <c r="AB453" s="31"/>
      <c r="AC453" s="31"/>
      <c r="AD453" s="12"/>
    </row>
    <row r="454" spans="1:30" s="11" customFormat="1" hidden="1" outlineLevel="1" x14ac:dyDescent="0.3">
      <c r="A454" s="93"/>
      <c r="B454" s="10"/>
      <c r="C454" s="80"/>
      <c r="D454" s="80"/>
      <c r="E454" s="80"/>
      <c r="F454" s="78"/>
      <c r="G454" s="28"/>
      <c r="H454" s="28"/>
      <c r="I454" s="28"/>
      <c r="J454" s="28"/>
      <c r="K454" s="28"/>
      <c r="L454" s="28"/>
      <c r="M454" s="285"/>
      <c r="N454" s="161" t="s">
        <v>142</v>
      </c>
      <c r="O454" s="165" t="s">
        <v>144</v>
      </c>
      <c r="P454" s="28"/>
      <c r="Q454" s="28"/>
      <c r="R454" s="28"/>
      <c r="S454" s="28"/>
      <c r="T454" s="28"/>
      <c r="U454" s="28"/>
      <c r="V454" s="28"/>
      <c r="W454" s="28"/>
      <c r="X454" s="28"/>
      <c r="Y454" s="28"/>
      <c r="Z454" s="28"/>
      <c r="AA454" s="28"/>
      <c r="AB454" s="31"/>
      <c r="AC454" s="31"/>
      <c r="AD454" s="12"/>
    </row>
    <row r="455" spans="1:30" s="11" customFormat="1" ht="15" hidden="1" customHeight="1" outlineLevel="1" x14ac:dyDescent="0.35">
      <c r="A455" s="93"/>
      <c r="B455" s="10"/>
      <c r="C455" s="80"/>
      <c r="D455" s="80"/>
      <c r="E455" s="80"/>
      <c r="F455" s="78"/>
      <c r="G455" s="28"/>
      <c r="H455" s="28"/>
      <c r="I455" s="28"/>
      <c r="J455" s="28"/>
      <c r="K455" s="28"/>
      <c r="L455" s="28"/>
      <c r="M455" s="285"/>
      <c r="N455" s="158" t="str">
        <f>Lists!B46</f>
        <v>Low</v>
      </c>
      <c r="O455" s="164">
        <v>0.1</v>
      </c>
      <c r="P455" s="354" t="s">
        <v>143</v>
      </c>
      <c r="Q455" s="354"/>
      <c r="R455" s="28"/>
      <c r="S455" s="28"/>
      <c r="T455" s="28"/>
      <c r="U455" s="28"/>
      <c r="V455" s="28"/>
      <c r="W455" s="28"/>
      <c r="X455" s="28"/>
      <c r="Y455" s="28"/>
      <c r="Z455" s="28"/>
      <c r="AA455" s="28"/>
      <c r="AB455" s="31"/>
      <c r="AC455" s="31"/>
      <c r="AD455" s="12"/>
    </row>
    <row r="456" spans="1:30" s="11" customFormat="1" hidden="1" outlineLevel="1" x14ac:dyDescent="0.35">
      <c r="A456" s="93"/>
      <c r="B456" s="10"/>
      <c r="C456" s="80"/>
      <c r="D456" s="80"/>
      <c r="E456" s="80"/>
      <c r="F456" s="78"/>
      <c r="G456" s="28"/>
      <c r="H456" s="28"/>
      <c r="I456" s="28"/>
      <c r="J456" s="28"/>
      <c r="K456" s="28"/>
      <c r="L456" s="28"/>
      <c r="M456" s="285"/>
      <c r="N456" s="158" t="str">
        <f>Lists!B47</f>
        <v>Medium</v>
      </c>
      <c r="O456" s="164">
        <v>0.15</v>
      </c>
      <c r="P456" s="354"/>
      <c r="Q456" s="354"/>
      <c r="R456" s="28"/>
      <c r="S456" s="28"/>
      <c r="T456" s="28"/>
      <c r="U456" s="28"/>
      <c r="V456" s="28"/>
      <c r="W456" s="28"/>
      <c r="X456" s="28"/>
      <c r="Y456" s="28"/>
      <c r="Z456" s="28"/>
      <c r="AA456" s="28"/>
      <c r="AB456" s="31"/>
      <c r="AC456" s="31"/>
      <c r="AD456" s="12"/>
    </row>
    <row r="457" spans="1:30" s="11" customFormat="1" hidden="1" outlineLevel="1" x14ac:dyDescent="0.35">
      <c r="A457" s="93"/>
      <c r="B457" s="10"/>
      <c r="C457" s="80"/>
      <c r="D457" s="80"/>
      <c r="E457" s="80"/>
      <c r="F457" s="78"/>
      <c r="G457" s="28"/>
      <c r="H457" s="28"/>
      <c r="I457" s="28"/>
      <c r="J457" s="28"/>
      <c r="K457" s="28"/>
      <c r="L457" s="28"/>
      <c r="M457" s="285"/>
      <c r="N457" s="158" t="str">
        <f>Lists!B48</f>
        <v>High</v>
      </c>
      <c r="O457" s="164">
        <v>0.2</v>
      </c>
      <c r="P457" s="354"/>
      <c r="Q457" s="354"/>
      <c r="R457" s="28"/>
      <c r="S457" s="28"/>
      <c r="T457" s="28"/>
      <c r="U457" s="28"/>
      <c r="V457" s="28"/>
      <c r="W457" s="28"/>
      <c r="X457" s="28"/>
      <c r="Y457" s="28"/>
      <c r="Z457" s="28"/>
      <c r="AA457" s="28"/>
      <c r="AB457" s="31"/>
      <c r="AC457" s="31"/>
      <c r="AD457" s="12"/>
    </row>
    <row r="458" spans="1:30" s="11" customFormat="1" hidden="1" outlineLevel="1" x14ac:dyDescent="0.35">
      <c r="A458" s="93"/>
      <c r="B458" s="10"/>
      <c r="C458" s="80"/>
      <c r="D458" s="80"/>
      <c r="E458" s="80"/>
      <c r="F458" s="78"/>
      <c r="G458" s="28"/>
      <c r="H458" s="28"/>
      <c r="I458" s="28"/>
      <c r="J458" s="28"/>
      <c r="K458" s="28"/>
      <c r="L458" s="28"/>
      <c r="M458" s="285"/>
      <c r="N458" s="31"/>
      <c r="O458" s="31"/>
      <c r="P458" s="28"/>
      <c r="Q458" s="28"/>
      <c r="R458" s="28"/>
      <c r="S458" s="28"/>
      <c r="T458" s="28"/>
      <c r="U458" s="28"/>
      <c r="V458" s="28"/>
      <c r="W458" s="28"/>
      <c r="X458" s="28"/>
      <c r="Y458" s="28"/>
      <c r="Z458" s="28"/>
      <c r="AA458" s="28"/>
      <c r="AB458" s="31"/>
      <c r="AC458" s="31"/>
      <c r="AD458" s="12"/>
    </row>
    <row r="459" spans="1:30" s="11" customFormat="1" ht="20.25" hidden="1" customHeight="1" outlineLevel="1" x14ac:dyDescent="0.35">
      <c r="A459" s="93"/>
      <c r="B459" s="10"/>
      <c r="C459" s="78"/>
      <c r="D459" s="78"/>
      <c r="E459" s="78"/>
      <c r="F459" s="78"/>
      <c r="G459" s="43"/>
      <c r="H459" s="43"/>
      <c r="I459" s="43"/>
      <c r="J459" s="43"/>
      <c r="K459" s="43"/>
      <c r="L459" s="43"/>
      <c r="M459" s="281"/>
      <c r="N459" s="43"/>
      <c r="O459" s="43"/>
      <c r="P459" s="43"/>
      <c r="Q459" s="43"/>
      <c r="R459" s="43"/>
      <c r="S459" s="43"/>
      <c r="T459" s="43"/>
      <c r="U459" s="43"/>
      <c r="V459" s="43"/>
      <c r="W459" s="43"/>
      <c r="X459" s="43"/>
      <c r="Y459" s="43"/>
      <c r="Z459" s="43"/>
      <c r="AA459" s="43"/>
      <c r="AB459" s="43"/>
      <c r="AC459" s="43"/>
      <c r="AD459" s="12"/>
    </row>
    <row r="460" spans="1:30" x14ac:dyDescent="0.35">
      <c r="F460" s="78"/>
    </row>
    <row r="524" spans="1:30" s="11" customFormat="1" ht="20.25" customHeight="1" x14ac:dyDescent="0.35">
      <c r="A524" s="93"/>
      <c r="B524" s="10"/>
      <c r="C524" s="78"/>
      <c r="D524" s="78"/>
      <c r="E524" s="78"/>
      <c r="F524" s="78"/>
      <c r="G524" s="343" t="s">
        <v>48</v>
      </c>
      <c r="H524" s="343"/>
      <c r="I524" s="178"/>
      <c r="J524" s="43"/>
      <c r="K524" s="43"/>
      <c r="L524" s="39"/>
      <c r="M524" s="289" t="s">
        <v>125</v>
      </c>
      <c r="N524" s="39"/>
      <c r="O524" s="39"/>
      <c r="P524" s="39"/>
      <c r="Q524" s="39"/>
      <c r="R524" s="39"/>
      <c r="S524" s="39"/>
      <c r="T524" s="39"/>
      <c r="U524" s="39"/>
      <c r="V524" s="39"/>
      <c r="W524" s="39"/>
      <c r="X524" s="39"/>
      <c r="Y524" s="39"/>
      <c r="Z524" s="39"/>
      <c r="AA524" s="39"/>
      <c r="AB524" s="39"/>
      <c r="AC524" s="39"/>
      <c r="AD524" s="12"/>
    </row>
    <row r="525" spans="1:30" hidden="1" x14ac:dyDescent="0.35"/>
    <row r="526" spans="1:30" s="17" customFormat="1" ht="18.5" hidden="1" collapsed="1" x14ac:dyDescent="0.35">
      <c r="A526" s="93" t="s">
        <v>98</v>
      </c>
      <c r="B526" s="21"/>
      <c r="C526" s="81"/>
      <c r="D526" s="81"/>
      <c r="E526" s="81"/>
      <c r="F526" s="82"/>
      <c r="G526" s="55"/>
      <c r="H526" s="55"/>
      <c r="I526" s="55"/>
      <c r="J526" s="55"/>
      <c r="K526" s="55"/>
      <c r="L526" s="55" t="s">
        <v>105</v>
      </c>
      <c r="M526" s="284" t="s">
        <v>106</v>
      </c>
      <c r="N526" s="56"/>
      <c r="O526" s="57"/>
      <c r="P526" s="58"/>
      <c r="Q526" s="58"/>
      <c r="R526" s="58"/>
      <c r="S526" s="339">
        <f>CEILING(SUMIFS(T527:T532, J527:J532, "&lt;&gt;Yes", A527:A532,"T1"),1)</f>
        <v>0</v>
      </c>
      <c r="T526" s="339"/>
      <c r="U526" s="58"/>
      <c r="V526" s="58"/>
      <c r="W526" s="58"/>
      <c r="X526" s="58"/>
      <c r="Y526" s="58"/>
      <c r="Z526" s="58"/>
      <c r="AA526" s="58"/>
      <c r="AB526" s="58"/>
      <c r="AC526" s="58"/>
      <c r="AD526" s="26" t="str">
        <f>IF(M526="", "Section name cannot be empty.", "")</f>
        <v/>
      </c>
    </row>
    <row r="527" spans="1:30" s="11" customFormat="1" ht="1.5" hidden="1" customHeight="1" outlineLevel="1" x14ac:dyDescent="0.35">
      <c r="A527" s="93" t="s">
        <v>99</v>
      </c>
      <c r="B527" s="18"/>
      <c r="C527" s="78"/>
      <c r="D527" s="78"/>
      <c r="E527" s="78"/>
      <c r="F527" s="78"/>
      <c r="G527" s="28"/>
      <c r="H527" s="28"/>
      <c r="I527" s="28"/>
      <c r="J527" s="28"/>
      <c r="K527" s="28"/>
      <c r="L527" s="29">
        <v>0</v>
      </c>
      <c r="M527" s="285"/>
      <c r="N527" s="28"/>
      <c r="O527" s="28"/>
      <c r="P527" s="28"/>
      <c r="Q527" s="28"/>
      <c r="R527" s="28"/>
      <c r="S527" s="28"/>
      <c r="T527" s="30"/>
      <c r="U527" s="28"/>
      <c r="V527" s="28"/>
      <c r="W527" s="28"/>
      <c r="X527" s="30"/>
      <c r="Y527" s="28"/>
      <c r="Z527" s="28"/>
      <c r="AA527" s="28"/>
      <c r="AB527" s="31"/>
      <c r="AC527" s="31"/>
      <c r="AD527" s="12"/>
    </row>
    <row r="528" spans="1:30" s="17" customFormat="1" ht="15.5" hidden="1" outlineLevel="1" x14ac:dyDescent="0.35">
      <c r="A528" s="93" t="s">
        <v>100</v>
      </c>
      <c r="B528" s="21"/>
      <c r="C528" s="84"/>
      <c r="D528" s="84"/>
      <c r="E528" s="84"/>
      <c r="F528" s="83"/>
      <c r="G528" s="32"/>
      <c r="H528" s="32"/>
      <c r="I528" s="32"/>
      <c r="J528" s="32"/>
      <c r="K528" s="32"/>
      <c r="L528" s="20">
        <f ca="1">LOOKUP(1000,INDIRECT("L1:"&amp;CELL("address",INDIRECT("R[-1]C",FALSE))))+1</f>
        <v>1</v>
      </c>
      <c r="M528" s="317" t="s">
        <v>108</v>
      </c>
      <c r="N528" s="317"/>
      <c r="O528" s="5"/>
      <c r="P528" s="33"/>
      <c r="Q528" s="33"/>
      <c r="R528" s="33"/>
      <c r="S528" s="33"/>
      <c r="T528" s="167">
        <f>IF($S$6="Exclude", SUMIFS(S529:S531, J529:J531, "&lt;&gt;Yes", G529:G531, "&lt;&gt;Yes"), SUMIFS(S529:S531, J529:J531, "&lt;&gt;Yes"))</f>
        <v>0</v>
      </c>
      <c r="U528" s="33"/>
      <c r="V528" s="33"/>
      <c r="W528" s="33"/>
      <c r="X528" s="34"/>
      <c r="Y528" s="35"/>
      <c r="Z528" s="35"/>
      <c r="AA528" s="35"/>
      <c r="AB528" s="240" t="s">
        <v>443</v>
      </c>
      <c r="AC528" s="36"/>
      <c r="AD528" s="26" t="str">
        <f>IF(M528="", "Error: Task name cannot be empty.", "")</f>
        <v/>
      </c>
    </row>
    <row r="529" spans="1:30" s="15" customFormat="1" ht="1.5" hidden="1" customHeight="1" outlineLevel="2" x14ac:dyDescent="0.35">
      <c r="A529" s="93" t="s">
        <v>101</v>
      </c>
      <c r="B529" s="21"/>
      <c r="C529" s="84"/>
      <c r="D529" s="84"/>
      <c r="E529" s="84"/>
      <c r="F529" s="83"/>
      <c r="G529" s="32"/>
      <c r="H529" s="32"/>
      <c r="I529" s="32"/>
      <c r="J529" s="32"/>
      <c r="K529" s="32"/>
      <c r="L529" s="175">
        <f ca="1">L528</f>
        <v>1</v>
      </c>
      <c r="M529" s="176" t="s">
        <v>105</v>
      </c>
      <c r="N529" s="173"/>
      <c r="O529" s="174"/>
      <c r="P529" s="33"/>
      <c r="Q529" s="33"/>
      <c r="R529" s="33"/>
      <c r="S529" s="33"/>
      <c r="T529" s="167"/>
      <c r="U529" s="33"/>
      <c r="V529" s="33"/>
      <c r="W529" s="33"/>
      <c r="X529" s="34"/>
      <c r="Y529" s="35"/>
      <c r="Z529" s="35"/>
      <c r="AA529" s="35"/>
      <c r="AB529" s="36"/>
      <c r="AC529" s="36"/>
      <c r="AD529" s="26"/>
    </row>
    <row r="530" spans="1:30" ht="58" hidden="1" outlineLevel="2" x14ac:dyDescent="0.35">
      <c r="A530" s="93" t="s">
        <v>0</v>
      </c>
      <c r="B530" s="21"/>
      <c r="C530" s="85"/>
      <c r="D530" s="85"/>
      <c r="E530" s="85"/>
      <c r="F530" s="86"/>
      <c r="G530" s="22" t="s">
        <v>23</v>
      </c>
      <c r="H530" s="22" t="s">
        <v>23</v>
      </c>
      <c r="I530" s="23" t="s">
        <v>23</v>
      </c>
      <c r="J530" s="22" t="s">
        <v>23</v>
      </c>
      <c r="K530" s="38"/>
      <c r="L530" s="22"/>
      <c r="M530" s="286" t="str">
        <f ca="1">IFERROR(OFFSET(M530,-1,,1,1)+0.1,OFFSET(M530,-1,-1,1,1)&amp;".1")</f>
        <v>1.1</v>
      </c>
      <c r="N530" s="23" t="s">
        <v>442</v>
      </c>
      <c r="O530" s="23"/>
      <c r="P530" s="23"/>
      <c r="Q530" s="144"/>
      <c r="R530" s="137"/>
      <c r="S530" s="169">
        <f>CEILING((IF(J530="Yes", 0, IF(H530="-",AA530,AA530+AA530*VLOOKUP(H530,BUFFERS_BY_TYPE,2,FALSE)))) +
   (IF(J530="Yes", 0, IF(H530="-",AA530,AA530+AA530*VLOOKUP(H530,BUFFERS_BY_TYPE,2,FALSE))))*VLOOKUP($S$5, SALES_CALL_SCALE_ARRAY, 2,FALSE),0.25)</f>
        <v>0</v>
      </c>
      <c r="T530" s="170"/>
      <c r="U530" s="24">
        <v>0</v>
      </c>
      <c r="V530" s="24">
        <v>1</v>
      </c>
      <c r="W530" s="24">
        <v>0</v>
      </c>
      <c r="X530" s="168"/>
      <c r="Y530" s="169">
        <f>CEILING((IF(P530=AS_DEV_EFFORT, DEV_EFFORT*Q530%,
                           IF(P530=AS_DURATION_EFFORT, (MANUAL_DURATION*5)*Q530%,
                                    (IF(Q530&lt;=1,X530,
                                          IF(SUM(U530:W530)=0,(Q530*X530),
                                               (((Q530*U530)*(X530+(X530*EXTRA_FOR_H)))+
                                               ((Q530*V530)*X530)+
                                               ((Q530*W530)*(X530-(X530*LESS_FOR_L)))
                                    )*IF(R530=0,1,R530))))))+Z530), 0.25)</f>
        <v>0</v>
      </c>
      <c r="Z530" s="25"/>
      <c r="AA530" s="169">
        <f>Y530+Y530*VLOOKUP(I530,EXTRAS_ARRAY,2,FALSE)</f>
        <v>0</v>
      </c>
      <c r="AB530" s="23"/>
      <c r="AC530" s="37"/>
      <c r="AD530" s="26" t="str">
        <f>IF(J530&lt;&gt;"Yes",
IF(S530&lt;=0,"Error: Effort value is not defined or is invalid.",
IF(AND(SUM(U530:W530)&gt;0,SUM(U530:W530)&lt;&gt;1),"Error: Complexity % distribution should sum to 100%.",
IF(AND(P530=AS_DEV_EFFORT,X530&lt;&gt;0),"Error: PDs should not be defined when defining as dev effort %.",
IF(AND(P530=AS_DURATION_EFFORT,X530&lt;&gt;0),"Error: PDs should not be defined when defining as duration effort %.","")))))</f>
        <v>Error: Effort value is not defined or is invalid.</v>
      </c>
    </row>
    <row r="531" spans="1:30" s="11" customFormat="1" ht="7.5" hidden="1" customHeight="1" outlineLevel="2" x14ac:dyDescent="0.35">
      <c r="A531" s="93" t="s">
        <v>132</v>
      </c>
      <c r="B531" s="18"/>
      <c r="C531" s="78"/>
      <c r="D531" s="78"/>
      <c r="E531" s="78"/>
      <c r="F531" s="78"/>
      <c r="G531" s="10"/>
      <c r="H531" s="10"/>
      <c r="I531" s="10"/>
      <c r="J531" s="10"/>
      <c r="K531" s="10"/>
      <c r="L531" s="10"/>
      <c r="M531" s="287"/>
      <c r="N531" s="10"/>
      <c r="O531" s="10"/>
      <c r="P531" s="10"/>
      <c r="Q531" s="10"/>
      <c r="R531" s="10"/>
      <c r="S531" s="10"/>
      <c r="T531" s="18"/>
      <c r="U531" s="10"/>
      <c r="V531" s="10"/>
      <c r="W531" s="10"/>
      <c r="X531" s="18"/>
      <c r="Y531" s="10"/>
      <c r="Z531" s="10"/>
      <c r="AA531" s="10"/>
      <c r="AB531" s="60"/>
      <c r="AC531" s="60"/>
      <c r="AD531" s="12"/>
    </row>
    <row r="532" spans="1:30" s="11" customFormat="1" ht="1.5" hidden="1" customHeight="1" outlineLevel="1" x14ac:dyDescent="0.35">
      <c r="A532" s="93" t="s">
        <v>102</v>
      </c>
      <c r="B532" s="10"/>
      <c r="C532" s="78"/>
      <c r="D532" s="78"/>
      <c r="E532" s="78"/>
      <c r="F532" s="78"/>
      <c r="G532" s="59"/>
      <c r="H532" s="59"/>
      <c r="I532" s="59"/>
      <c r="J532" s="59"/>
      <c r="K532" s="59"/>
      <c r="L532" s="61"/>
      <c r="M532" s="288"/>
      <c r="N532" s="62"/>
      <c r="O532" s="62"/>
      <c r="P532" s="61"/>
      <c r="Q532" s="61"/>
      <c r="R532" s="61"/>
      <c r="S532" s="61"/>
      <c r="T532" s="61"/>
      <c r="U532" s="61"/>
      <c r="V532" s="61"/>
      <c r="W532" s="61"/>
      <c r="X532" s="61"/>
      <c r="Y532" s="61"/>
      <c r="Z532" s="61"/>
      <c r="AA532" s="61"/>
      <c r="AB532" s="62"/>
      <c r="AC532" s="62"/>
      <c r="AD532" s="12"/>
    </row>
    <row r="533" spans="1:30" hidden="1" collapsed="1" x14ac:dyDescent="0.35"/>
    <row r="534" spans="1:30" s="17" customFormat="1" ht="15.5" hidden="1" outlineLevel="1" x14ac:dyDescent="0.35">
      <c r="A534" s="93" t="s">
        <v>107</v>
      </c>
      <c r="B534" s="21"/>
      <c r="C534" s="84"/>
      <c r="D534" s="84"/>
      <c r="E534" s="84"/>
      <c r="F534" s="83"/>
      <c r="G534" s="185"/>
      <c r="H534" s="185"/>
      <c r="I534" s="185"/>
      <c r="J534" s="185"/>
      <c r="K534" s="185"/>
      <c r="L534" s="92" t="s">
        <v>109</v>
      </c>
      <c r="M534" s="318" t="s">
        <v>124</v>
      </c>
      <c r="N534" s="318"/>
      <c r="O534" s="87"/>
      <c r="P534" s="88"/>
      <c r="Q534" s="88"/>
      <c r="R534" s="88"/>
      <c r="S534" s="319">
        <f>SUMGROUP(ROW(), "T")</f>
        <v>0</v>
      </c>
      <c r="T534" s="319"/>
      <c r="U534" s="320"/>
      <c r="V534" s="320"/>
      <c r="W534" s="320"/>
      <c r="X534" s="89"/>
      <c r="Y534" s="90"/>
      <c r="Z534" s="90"/>
      <c r="AA534" s="90"/>
      <c r="AB534" s="243"/>
      <c r="AC534" s="91"/>
      <c r="AD534" s="26" t="str">
        <f>IF(M534="", "Error: Module name cannot be empty.", "")</f>
        <v/>
      </c>
    </row>
    <row r="535" spans="1:30" hidden="1" x14ac:dyDescent="0.35"/>
    <row r="536" spans="1:30" s="11" customFormat="1" ht="20.25" customHeight="1" x14ac:dyDescent="0.35">
      <c r="A536" s="93"/>
      <c r="B536" s="10"/>
      <c r="C536" s="78"/>
      <c r="D536" s="78"/>
      <c r="E536" s="78"/>
      <c r="F536" s="78"/>
      <c r="G536" s="43"/>
      <c r="H536" s="43"/>
      <c r="I536" s="43"/>
      <c r="J536" s="43"/>
      <c r="K536" s="43"/>
      <c r="L536" s="43"/>
      <c r="M536" s="281"/>
      <c r="N536" s="43"/>
      <c r="O536" s="43"/>
      <c r="P536" s="43"/>
      <c r="Q536" s="43"/>
      <c r="R536" s="43"/>
      <c r="S536" s="43"/>
      <c r="T536" s="43"/>
      <c r="U536" s="43"/>
      <c r="V536" s="43"/>
      <c r="W536" s="43"/>
      <c r="X536" s="43"/>
      <c r="Y536" s="43"/>
      <c r="Z536" s="43"/>
      <c r="AA536" s="43"/>
      <c r="AB536" s="43"/>
      <c r="AC536" s="43"/>
      <c r="AD536" s="12"/>
    </row>
  </sheetData>
  <sheetProtection algorithmName="SHA-512" hashValue="W6gT4skyeWpc8qqYJ1PVZca3G92M95ACk2aI5pJ095z0HokTZk5U+6/98+k6tb5GIkvXwVOPWqUiATojMNMIxA==" saltValue="6Jv2zOhBdYpoW/y29Iq7MQ==" spinCount="100000" sheet="1" objects="1" scenarios="1"/>
  <dataConsolidate/>
  <mergeCells count="121">
    <mergeCell ref="G376:H376"/>
    <mergeCell ref="U534:W534"/>
    <mergeCell ref="Q389:V389"/>
    <mergeCell ref="P379:P380"/>
    <mergeCell ref="G404:H404"/>
    <mergeCell ref="G524:H524"/>
    <mergeCell ref="Q378:V378"/>
    <mergeCell ref="O379:O380"/>
    <mergeCell ref="N416:N418"/>
    <mergeCell ref="P442:R445"/>
    <mergeCell ref="P447:Q448"/>
    <mergeCell ref="P455:Q457"/>
    <mergeCell ref="M534:N534"/>
    <mergeCell ref="M528:N528"/>
    <mergeCell ref="S526:T526"/>
    <mergeCell ref="S534:T534"/>
    <mergeCell ref="T398:U398"/>
    <mergeCell ref="T397:U397"/>
    <mergeCell ref="S331:T331"/>
    <mergeCell ref="M45:N45"/>
    <mergeCell ref="M51:N51"/>
    <mergeCell ref="M316:N316"/>
    <mergeCell ref="M279:N279"/>
    <mergeCell ref="M286:N286"/>
    <mergeCell ref="M296:N296"/>
    <mergeCell ref="S193:T193"/>
    <mergeCell ref="U193:W193"/>
    <mergeCell ref="M237:N237"/>
    <mergeCell ref="S237:T237"/>
    <mergeCell ref="U237:W237"/>
    <mergeCell ref="S242:T242"/>
    <mergeCell ref="M273:N273"/>
    <mergeCell ref="AB5:AB6"/>
    <mergeCell ref="P10:R10"/>
    <mergeCell ref="S12:T12"/>
    <mergeCell ref="S126:T126"/>
    <mergeCell ref="S252:T252"/>
    <mergeCell ref="S294:T294"/>
    <mergeCell ref="S143:T143"/>
    <mergeCell ref="M326:N326"/>
    <mergeCell ref="S324:T324"/>
    <mergeCell ref="M33:N33"/>
    <mergeCell ref="M39:N39"/>
    <mergeCell ref="C2:F9"/>
    <mergeCell ref="C10:F10"/>
    <mergeCell ref="G9:J9"/>
    <mergeCell ref="G333:H333"/>
    <mergeCell ref="C11:F11"/>
    <mergeCell ref="C12:E12"/>
    <mergeCell ref="G3:J3"/>
    <mergeCell ref="J5:K5"/>
    <mergeCell ref="U143:W143"/>
    <mergeCell ref="U173:W173"/>
    <mergeCell ref="Y391:AA395"/>
    <mergeCell ref="U10:W10"/>
    <mergeCell ref="M335:T336"/>
    <mergeCell ref="W379:X380"/>
    <mergeCell ref="W381:X381"/>
    <mergeCell ref="W382:X382"/>
    <mergeCell ref="W383:X383"/>
    <mergeCell ref="W384:X384"/>
    <mergeCell ref="W385:X385"/>
    <mergeCell ref="W386:X386"/>
    <mergeCell ref="W387:X387"/>
    <mergeCell ref="Q387:V387"/>
    <mergeCell ref="M14:N14"/>
    <mergeCell ref="M61:N61"/>
    <mergeCell ref="W389:X390"/>
    <mergeCell ref="S11:T11"/>
    <mergeCell ref="M20:N20"/>
    <mergeCell ref="M66:N66"/>
    <mergeCell ref="M84:N84"/>
    <mergeCell ref="M92:N92"/>
    <mergeCell ref="S59:T59"/>
    <mergeCell ref="M26:N26"/>
    <mergeCell ref="S173:T173"/>
    <mergeCell ref="M255:N255"/>
    <mergeCell ref="M254:N254"/>
    <mergeCell ref="S254:T254"/>
    <mergeCell ref="U254:W254"/>
    <mergeCell ref="M260:N260"/>
    <mergeCell ref="S260:T260"/>
    <mergeCell ref="U260:W260"/>
    <mergeCell ref="U242:W242"/>
    <mergeCell ref="M312:N312"/>
    <mergeCell ref="M225:N225"/>
    <mergeCell ref="M229:N229"/>
    <mergeCell ref="M233:N233"/>
    <mergeCell ref="M238:N238"/>
    <mergeCell ref="M202:N202"/>
    <mergeCell ref="M208:N208"/>
    <mergeCell ref="M212:N212"/>
    <mergeCell ref="M216:N216"/>
    <mergeCell ref="M220:N220"/>
    <mergeCell ref="M302:N302"/>
    <mergeCell ref="M307:N307"/>
    <mergeCell ref="M268:N268"/>
    <mergeCell ref="M261:N261"/>
    <mergeCell ref="M243:N243"/>
    <mergeCell ref="M242:N242"/>
    <mergeCell ref="M76:N76"/>
    <mergeCell ref="M105:N105"/>
    <mergeCell ref="M101:N101"/>
    <mergeCell ref="M113:N113"/>
    <mergeCell ref="M188:N188"/>
    <mergeCell ref="M194:N194"/>
    <mergeCell ref="M198:N198"/>
    <mergeCell ref="M155:N155"/>
    <mergeCell ref="M160:N160"/>
    <mergeCell ref="M164:N164"/>
    <mergeCell ref="M168:N168"/>
    <mergeCell ref="M174:N174"/>
    <mergeCell ref="M193:N193"/>
    <mergeCell ref="M128:N128"/>
    <mergeCell ref="M144:N144"/>
    <mergeCell ref="M135:N135"/>
    <mergeCell ref="M143:N143"/>
    <mergeCell ref="M150:N150"/>
    <mergeCell ref="M178:N178"/>
    <mergeCell ref="M182:N182"/>
    <mergeCell ref="M173:N173"/>
  </mergeCells>
  <conditionalFormatting sqref="B381">
    <cfRule type="cellIs" dxfId="1734" priority="11626" operator="equal">
      <formula>"."</formula>
    </cfRule>
  </conditionalFormatting>
  <conditionalFormatting sqref="C378:E378 C397:E400">
    <cfRule type="expression" dxfId="1733" priority="11506">
      <formula>$H378&lt;&gt;""</formula>
    </cfRule>
  </conditionalFormatting>
  <conditionalFormatting sqref="C379:E387">
    <cfRule type="expression" dxfId="1732" priority="11504">
      <formula>$H379&lt;&gt;""</formula>
    </cfRule>
  </conditionalFormatting>
  <conditionalFormatting sqref="B379">
    <cfRule type="cellIs" dxfId="1731" priority="11500" operator="equal">
      <formula>"."</formula>
    </cfRule>
  </conditionalFormatting>
  <conditionalFormatting sqref="B530">
    <cfRule type="expression" dxfId="1730" priority="11395">
      <formula>AD530&lt;&gt;""</formula>
    </cfRule>
  </conditionalFormatting>
  <conditionalFormatting sqref="Z530">
    <cfRule type="cellIs" dxfId="1729" priority="11393" operator="greaterThan">
      <formula>0</formula>
    </cfRule>
    <cfRule type="cellIs" dxfId="1728" priority="11394" operator="lessThan">
      <formula>0</formula>
    </cfRule>
  </conditionalFormatting>
  <conditionalFormatting sqref="S530">
    <cfRule type="cellIs" dxfId="1727" priority="11392" operator="lessThan">
      <formula>0</formula>
    </cfRule>
  </conditionalFormatting>
  <conditionalFormatting sqref="T528:T529">
    <cfRule type="expression" dxfId="1726" priority="11396">
      <formula>#REF!="Yes"</formula>
    </cfRule>
  </conditionalFormatting>
  <conditionalFormatting sqref="P530">
    <cfRule type="cellIs" dxfId="1725" priority="11389" operator="equal">
      <formula>AS_DURATION_EFFORT</formula>
    </cfRule>
    <cfRule type="cellIs" dxfId="1724" priority="11390" operator="equal">
      <formula>AS_DEV_EFFORT</formula>
    </cfRule>
  </conditionalFormatting>
  <conditionalFormatting sqref="S534">
    <cfRule type="expression" dxfId="1723" priority="11205">
      <formula>#REF!="Yes"</formula>
    </cfRule>
  </conditionalFormatting>
  <conditionalFormatting sqref="B526">
    <cfRule type="expression" dxfId="1722" priority="11197">
      <formula>AD526&lt;&gt;""</formula>
    </cfRule>
  </conditionalFormatting>
  <conditionalFormatting sqref="B528:B529">
    <cfRule type="expression" dxfId="1721" priority="11196">
      <formula>AD528&lt;&gt;""</formula>
    </cfRule>
  </conditionalFormatting>
  <conditionalFormatting sqref="B534">
    <cfRule type="expression" dxfId="1720" priority="11195">
      <formula>AD534&lt;&gt;""</formula>
    </cfRule>
  </conditionalFormatting>
  <conditionalFormatting sqref="L28:M28 L35:M35 O28:AC28 O35:AC35 L47:AC49 L53:AC56 L16:AC17 L23:AC24 L41:AC43 L63:AC64 L36:AC37 L68:AC74 L86:AC90 L78:AC82 L130:AC133 L146:AC148 L162:AC162 L166:AC166 L170:AC171 L176:AC176 L180:AC180 L184:AC186 L190:AC191 L196:AC196 L200:AC200 L204:AC206 L210:AC210 L214:AC214 L218:AC218 L152:AC153 L157:AC158 L222:AC223 L263:AC266 L257:AC258 L270:AC271 L245:AC249 L227:AC227 L231:AC231 L235:AC235 L281:AC284 L318:AC321 L328:AC328 L298:AC300 L240:AC240 L314:AC314 L288:AC291 L137:AC141 L107:AC111 L103:AC103 L115:AC123 L94:AC99 L304:AC305 L309:AC310 L530:AC530">
    <cfRule type="expression" dxfId="1719" priority="13484">
      <formula>AND($G16="Yes", $S$6="Exclude")</formula>
    </cfRule>
    <cfRule type="expression" dxfId="1718" priority="13485">
      <formula>$J16="Yes"</formula>
    </cfRule>
  </conditionalFormatting>
  <conditionalFormatting sqref="T5">
    <cfRule type="expression" dxfId="1717" priority="10778">
      <formula>OR($S$5="Reduce by:", $S$5="Increase by:")</formula>
    </cfRule>
  </conditionalFormatting>
  <conditionalFormatting sqref="F530">
    <cfRule type="expression" dxfId="1716" priority="8028">
      <formula>$K530&lt;&gt;""</formula>
    </cfRule>
  </conditionalFormatting>
  <conditionalFormatting sqref="C530">
    <cfRule type="expression" dxfId="1715" priority="7984">
      <formula>$G530&lt;&gt;"-"</formula>
    </cfRule>
  </conditionalFormatting>
  <conditionalFormatting sqref="D530">
    <cfRule type="expression" dxfId="1714" priority="7982">
      <formula>$H530&lt;&gt;"-"</formula>
    </cfRule>
  </conditionalFormatting>
  <conditionalFormatting sqref="E530">
    <cfRule type="expression" dxfId="1713" priority="7981">
      <formula>$I530&lt;&gt;"-"</formula>
    </cfRule>
  </conditionalFormatting>
  <conditionalFormatting sqref="B382">
    <cfRule type="cellIs" dxfId="1712" priority="4425" operator="equal">
      <formula>"."</formula>
    </cfRule>
  </conditionalFormatting>
  <conditionalFormatting sqref="B383">
    <cfRule type="cellIs" dxfId="1711" priority="4424" operator="equal">
      <formula>"."</formula>
    </cfRule>
  </conditionalFormatting>
  <conditionalFormatting sqref="B384">
    <cfRule type="cellIs" dxfId="1710" priority="4423" operator="equal">
      <formula>"."</formula>
    </cfRule>
  </conditionalFormatting>
  <conditionalFormatting sqref="B385">
    <cfRule type="cellIs" dxfId="1709" priority="4422" operator="equal">
      <formula>"."</formula>
    </cfRule>
  </conditionalFormatting>
  <conditionalFormatting sqref="B386">
    <cfRule type="cellIs" dxfId="1708" priority="4421" operator="equal">
      <formula>"."</formula>
    </cfRule>
  </conditionalFormatting>
  <conditionalFormatting sqref="B16">
    <cfRule type="expression" dxfId="1707" priority="4417">
      <formula>AD16&lt;&gt;""</formula>
    </cfRule>
  </conditionalFormatting>
  <conditionalFormatting sqref="Z16">
    <cfRule type="cellIs" dxfId="1706" priority="4415" operator="greaterThan">
      <formula>0</formula>
    </cfRule>
    <cfRule type="cellIs" dxfId="1705" priority="4416" operator="lessThan">
      <formula>0</formula>
    </cfRule>
  </conditionalFormatting>
  <conditionalFormatting sqref="S16">
    <cfRule type="cellIs" dxfId="1704" priority="4414" operator="lessThan">
      <formula>0</formula>
    </cfRule>
  </conditionalFormatting>
  <conditionalFormatting sqref="T14:T15">
    <cfRule type="expression" dxfId="1703" priority="4418">
      <formula>#REF!="Yes"</formula>
    </cfRule>
  </conditionalFormatting>
  <conditionalFormatting sqref="P16">
    <cfRule type="cellIs" dxfId="1702" priority="4412" operator="equal">
      <formula>AS_DURATION_EFFORT</formula>
    </cfRule>
    <cfRule type="cellIs" dxfId="1701" priority="4413" operator="equal">
      <formula>AS_DEV_EFFORT</formula>
    </cfRule>
  </conditionalFormatting>
  <conditionalFormatting sqref="B14:B15">
    <cfRule type="expression" dxfId="1700" priority="4411">
      <formula>AD14&lt;&gt;""</formula>
    </cfRule>
  </conditionalFormatting>
  <conditionalFormatting sqref="F16">
    <cfRule type="expression" dxfId="1699" priority="4410">
      <formula>$K16&lt;&gt;""</formula>
    </cfRule>
  </conditionalFormatting>
  <conditionalFormatting sqref="C16">
    <cfRule type="expression" dxfId="1698" priority="4409">
      <formula>$G16&lt;&gt;"-"</formula>
    </cfRule>
  </conditionalFormatting>
  <conditionalFormatting sqref="D16">
    <cfRule type="expression" dxfId="1697" priority="4408">
      <formula>$H16&lt;&gt;"-"</formula>
    </cfRule>
  </conditionalFormatting>
  <conditionalFormatting sqref="E16">
    <cfRule type="expression" dxfId="1696" priority="4407">
      <formula>$I16&lt;&gt;"-"</formula>
    </cfRule>
  </conditionalFormatting>
  <conditionalFormatting sqref="B17">
    <cfRule type="expression" dxfId="1695" priority="4404">
      <formula>AD17&lt;&gt;""</formula>
    </cfRule>
  </conditionalFormatting>
  <conditionalFormatting sqref="Z17">
    <cfRule type="cellIs" dxfId="1694" priority="4402" operator="greaterThan">
      <formula>0</formula>
    </cfRule>
    <cfRule type="cellIs" dxfId="1693" priority="4403" operator="lessThan">
      <formula>0</formula>
    </cfRule>
  </conditionalFormatting>
  <conditionalFormatting sqref="S17">
    <cfRule type="cellIs" dxfId="1692" priority="4401" operator="lessThan">
      <formula>0</formula>
    </cfRule>
  </conditionalFormatting>
  <conditionalFormatting sqref="P17">
    <cfRule type="cellIs" dxfId="1691" priority="4399" operator="equal">
      <formula>AS_DURATION_EFFORT</formula>
    </cfRule>
    <cfRule type="cellIs" dxfId="1690" priority="4400" operator="equal">
      <formula>AS_DEV_EFFORT</formula>
    </cfRule>
  </conditionalFormatting>
  <conditionalFormatting sqref="F17">
    <cfRule type="expression" dxfId="1689" priority="4398">
      <formula>$K17&lt;&gt;""</formula>
    </cfRule>
  </conditionalFormatting>
  <conditionalFormatting sqref="C17">
    <cfRule type="expression" dxfId="1688" priority="4397">
      <formula>$G17&lt;&gt;"-"</formula>
    </cfRule>
  </conditionalFormatting>
  <conditionalFormatting sqref="D17">
    <cfRule type="expression" dxfId="1687" priority="4396">
      <formula>$H17&lt;&gt;"-"</formula>
    </cfRule>
  </conditionalFormatting>
  <conditionalFormatting sqref="E17">
    <cfRule type="expression" dxfId="1686" priority="4395">
      <formula>$I17&lt;&gt;"-"</formula>
    </cfRule>
  </conditionalFormatting>
  <conditionalFormatting sqref="B63">
    <cfRule type="expression" dxfId="1685" priority="4391">
      <formula>AD63&lt;&gt;""</formula>
    </cfRule>
  </conditionalFormatting>
  <conditionalFormatting sqref="Z63">
    <cfRule type="cellIs" dxfId="1684" priority="4389" operator="greaterThan">
      <formula>0</formula>
    </cfRule>
    <cfRule type="cellIs" dxfId="1683" priority="4390" operator="lessThan">
      <formula>0</formula>
    </cfRule>
  </conditionalFormatting>
  <conditionalFormatting sqref="S63">
    <cfRule type="cellIs" dxfId="1682" priority="4388" operator="lessThan">
      <formula>0</formula>
    </cfRule>
  </conditionalFormatting>
  <conditionalFormatting sqref="T61:T62">
    <cfRule type="expression" dxfId="1681" priority="4392">
      <formula>#REF!="Yes"</formula>
    </cfRule>
  </conditionalFormatting>
  <conditionalFormatting sqref="P63">
    <cfRule type="cellIs" dxfId="1680" priority="4386" operator="equal">
      <formula>AS_DURATION_EFFORT</formula>
    </cfRule>
    <cfRule type="cellIs" dxfId="1679" priority="4387" operator="equal">
      <formula>AS_DEV_EFFORT</formula>
    </cfRule>
  </conditionalFormatting>
  <conditionalFormatting sqref="B61:B62">
    <cfRule type="expression" dxfId="1678" priority="4385">
      <formula>AD61&lt;&gt;""</formula>
    </cfRule>
  </conditionalFormatting>
  <conditionalFormatting sqref="F63">
    <cfRule type="expression" dxfId="1677" priority="4384">
      <formula>$K63&lt;&gt;""</formula>
    </cfRule>
  </conditionalFormatting>
  <conditionalFormatting sqref="C63">
    <cfRule type="expression" dxfId="1676" priority="4383">
      <formula>$G63&lt;&gt;"-"</formula>
    </cfRule>
  </conditionalFormatting>
  <conditionalFormatting sqref="D63">
    <cfRule type="expression" dxfId="1675" priority="4382">
      <formula>$H63&lt;&gt;"-"</formula>
    </cfRule>
  </conditionalFormatting>
  <conditionalFormatting sqref="E63">
    <cfRule type="expression" dxfId="1674" priority="4381">
      <formula>$I63&lt;&gt;"-"</formula>
    </cfRule>
  </conditionalFormatting>
  <conditionalFormatting sqref="B130">
    <cfRule type="expression" dxfId="1673" priority="4321">
      <formula>AD130&lt;&gt;""</formula>
    </cfRule>
  </conditionalFormatting>
  <conditionalFormatting sqref="Z130">
    <cfRule type="cellIs" dxfId="1672" priority="4319" operator="greaterThan">
      <formula>0</formula>
    </cfRule>
    <cfRule type="cellIs" dxfId="1671" priority="4320" operator="lessThan">
      <formula>0</formula>
    </cfRule>
  </conditionalFormatting>
  <conditionalFormatting sqref="S130">
    <cfRule type="cellIs" dxfId="1670" priority="4318" operator="lessThan">
      <formula>0</formula>
    </cfRule>
  </conditionalFormatting>
  <conditionalFormatting sqref="T128:T129">
    <cfRule type="expression" dxfId="1669" priority="4322">
      <formula>#REF!="Yes"</formula>
    </cfRule>
  </conditionalFormatting>
  <conditionalFormatting sqref="P130">
    <cfRule type="cellIs" dxfId="1668" priority="4316" operator="equal">
      <formula>AS_DURATION_EFFORT</formula>
    </cfRule>
    <cfRule type="cellIs" dxfId="1667" priority="4317" operator="equal">
      <formula>AS_DEV_EFFORT</formula>
    </cfRule>
  </conditionalFormatting>
  <conditionalFormatting sqref="B128:B129">
    <cfRule type="expression" dxfId="1666" priority="4315">
      <formula>AD128&lt;&gt;""</formula>
    </cfRule>
  </conditionalFormatting>
  <conditionalFormatting sqref="F130">
    <cfRule type="expression" dxfId="1665" priority="4314">
      <formula>$K130&lt;&gt;""</formula>
    </cfRule>
  </conditionalFormatting>
  <conditionalFormatting sqref="C130">
    <cfRule type="expression" dxfId="1664" priority="4313">
      <formula>$G130&lt;&gt;"-"</formula>
    </cfRule>
  </conditionalFormatting>
  <conditionalFormatting sqref="D130">
    <cfRule type="expression" dxfId="1663" priority="4312">
      <formula>$H130&lt;&gt;"-"</formula>
    </cfRule>
  </conditionalFormatting>
  <conditionalFormatting sqref="E130">
    <cfRule type="expression" dxfId="1662" priority="4311">
      <formula>$I130&lt;&gt;"-"</formula>
    </cfRule>
  </conditionalFormatting>
  <conditionalFormatting sqref="B146">
    <cfRule type="expression" dxfId="1661" priority="4293">
      <formula>AD146&lt;&gt;""</formula>
    </cfRule>
  </conditionalFormatting>
  <conditionalFormatting sqref="Z146">
    <cfRule type="cellIs" dxfId="1660" priority="4291" operator="greaterThan">
      <formula>0</formula>
    </cfRule>
    <cfRule type="cellIs" dxfId="1659" priority="4292" operator="lessThan">
      <formula>0</formula>
    </cfRule>
  </conditionalFormatting>
  <conditionalFormatting sqref="S146">
    <cfRule type="cellIs" dxfId="1658" priority="4290" operator="lessThan">
      <formula>0</formula>
    </cfRule>
  </conditionalFormatting>
  <conditionalFormatting sqref="T144:T145">
    <cfRule type="expression" dxfId="1657" priority="4294">
      <formula>#REF!="Yes"</formula>
    </cfRule>
  </conditionalFormatting>
  <conditionalFormatting sqref="P146">
    <cfRule type="cellIs" dxfId="1656" priority="4288" operator="equal">
      <formula>AS_DURATION_EFFORT</formula>
    </cfRule>
    <cfRule type="cellIs" dxfId="1655" priority="4289" operator="equal">
      <formula>AS_DEV_EFFORT</formula>
    </cfRule>
  </conditionalFormatting>
  <conditionalFormatting sqref="B144:B145">
    <cfRule type="expression" dxfId="1654" priority="4287">
      <formula>AD144&lt;&gt;""</formula>
    </cfRule>
  </conditionalFormatting>
  <conditionalFormatting sqref="F146">
    <cfRule type="expression" dxfId="1653" priority="4286">
      <formula>$K146&lt;&gt;""</formula>
    </cfRule>
  </conditionalFormatting>
  <conditionalFormatting sqref="C146">
    <cfRule type="expression" dxfId="1652" priority="4285">
      <formula>$G146&lt;&gt;"-"</formula>
    </cfRule>
  </conditionalFormatting>
  <conditionalFormatting sqref="D146">
    <cfRule type="expression" dxfId="1651" priority="4284">
      <formula>$H146&lt;&gt;"-"</formula>
    </cfRule>
  </conditionalFormatting>
  <conditionalFormatting sqref="E146">
    <cfRule type="expression" dxfId="1650" priority="4283">
      <formula>$I146&lt;&gt;"-"</formula>
    </cfRule>
  </conditionalFormatting>
  <conditionalFormatting sqref="B137">
    <cfRule type="expression" dxfId="1649" priority="4279">
      <formula>AD137&lt;&gt;""</formula>
    </cfRule>
  </conditionalFormatting>
  <conditionalFormatting sqref="Z137">
    <cfRule type="cellIs" dxfId="1648" priority="4277" operator="greaterThan">
      <formula>0</formula>
    </cfRule>
    <cfRule type="cellIs" dxfId="1647" priority="4278" operator="lessThan">
      <formula>0</formula>
    </cfRule>
  </conditionalFormatting>
  <conditionalFormatting sqref="S137">
    <cfRule type="cellIs" dxfId="1646" priority="4276" operator="lessThan">
      <formula>0</formula>
    </cfRule>
  </conditionalFormatting>
  <conditionalFormatting sqref="T135:T136">
    <cfRule type="expression" dxfId="1645" priority="4280">
      <formula>#REF!="Yes"</formula>
    </cfRule>
  </conditionalFormatting>
  <conditionalFormatting sqref="P137">
    <cfRule type="cellIs" dxfId="1644" priority="4274" operator="equal">
      <formula>AS_DURATION_EFFORT</formula>
    </cfRule>
    <cfRule type="cellIs" dxfId="1643" priority="4275" operator="equal">
      <formula>AS_DEV_EFFORT</formula>
    </cfRule>
  </conditionalFormatting>
  <conditionalFormatting sqref="B135:B136">
    <cfRule type="expression" dxfId="1642" priority="4273">
      <formula>AD135&lt;&gt;""</formula>
    </cfRule>
  </conditionalFormatting>
  <conditionalFormatting sqref="F137">
    <cfRule type="expression" dxfId="1641" priority="4272">
      <formula>$K137&lt;&gt;""</formula>
    </cfRule>
  </conditionalFormatting>
  <conditionalFormatting sqref="C137">
    <cfRule type="expression" dxfId="1640" priority="4271">
      <formula>$G137&lt;&gt;"-"</formula>
    </cfRule>
  </conditionalFormatting>
  <conditionalFormatting sqref="D137">
    <cfRule type="expression" dxfId="1639" priority="4270">
      <formula>$H137&lt;&gt;"-"</formula>
    </cfRule>
  </conditionalFormatting>
  <conditionalFormatting sqref="E137">
    <cfRule type="expression" dxfId="1638" priority="4269">
      <formula>$I137&lt;&gt;"-"</formula>
    </cfRule>
  </conditionalFormatting>
  <conditionalFormatting sqref="S143">
    <cfRule type="expression" dxfId="1637" priority="4264">
      <formula>#REF!="Yes"</formula>
    </cfRule>
  </conditionalFormatting>
  <conditionalFormatting sqref="B143">
    <cfRule type="expression" dxfId="1636" priority="4263">
      <formula>AD143&lt;&gt;""</formula>
    </cfRule>
  </conditionalFormatting>
  <conditionalFormatting sqref="B23">
    <cfRule type="expression" dxfId="1635" priority="4259">
      <formula>AD23&lt;&gt;""</formula>
    </cfRule>
  </conditionalFormatting>
  <conditionalFormatting sqref="Z23">
    <cfRule type="cellIs" dxfId="1634" priority="4257" operator="greaterThan">
      <formula>0</formula>
    </cfRule>
    <cfRule type="cellIs" dxfId="1633" priority="4258" operator="lessThan">
      <formula>0</formula>
    </cfRule>
  </conditionalFormatting>
  <conditionalFormatting sqref="S23">
    <cfRule type="cellIs" dxfId="1632" priority="4256" operator="lessThan">
      <formula>0</formula>
    </cfRule>
  </conditionalFormatting>
  <conditionalFormatting sqref="T20:T21">
    <cfRule type="expression" dxfId="1631" priority="4260">
      <formula>#REF!="Yes"</formula>
    </cfRule>
  </conditionalFormatting>
  <conditionalFormatting sqref="P23">
    <cfRule type="cellIs" dxfId="1630" priority="4254" operator="equal">
      <formula>AS_DURATION_EFFORT</formula>
    </cfRule>
    <cfRule type="cellIs" dxfId="1629" priority="4255" operator="equal">
      <formula>AS_DEV_EFFORT</formula>
    </cfRule>
  </conditionalFormatting>
  <conditionalFormatting sqref="B20:B21">
    <cfRule type="expression" dxfId="1628" priority="4253">
      <formula>AD20&lt;&gt;""</formula>
    </cfRule>
  </conditionalFormatting>
  <conditionalFormatting sqref="F23">
    <cfRule type="expression" dxfId="1627" priority="4252">
      <formula>$K23&lt;&gt;""</formula>
    </cfRule>
  </conditionalFormatting>
  <conditionalFormatting sqref="C23">
    <cfRule type="expression" dxfId="1626" priority="4251">
      <formula>$G23&lt;&gt;"-"</formula>
    </cfRule>
  </conditionalFormatting>
  <conditionalFormatting sqref="D23">
    <cfRule type="expression" dxfId="1625" priority="4250">
      <formula>$H23&lt;&gt;"-"</formula>
    </cfRule>
  </conditionalFormatting>
  <conditionalFormatting sqref="E23">
    <cfRule type="expression" dxfId="1624" priority="4249">
      <formula>$I23&lt;&gt;"-"</formula>
    </cfRule>
  </conditionalFormatting>
  <conditionalFormatting sqref="B24">
    <cfRule type="expression" dxfId="1623" priority="4246">
      <formula>AD24&lt;&gt;""</formula>
    </cfRule>
  </conditionalFormatting>
  <conditionalFormatting sqref="Z24">
    <cfRule type="cellIs" dxfId="1622" priority="4244" operator="greaterThan">
      <formula>0</formula>
    </cfRule>
    <cfRule type="cellIs" dxfId="1621" priority="4245" operator="lessThan">
      <formula>0</formula>
    </cfRule>
  </conditionalFormatting>
  <conditionalFormatting sqref="S24">
    <cfRule type="cellIs" dxfId="1620" priority="4243" operator="lessThan">
      <formula>0</formula>
    </cfRule>
  </conditionalFormatting>
  <conditionalFormatting sqref="P24">
    <cfRule type="cellIs" dxfId="1619" priority="4241" operator="equal">
      <formula>AS_DURATION_EFFORT</formula>
    </cfRule>
    <cfRule type="cellIs" dxfId="1618" priority="4242" operator="equal">
      <formula>AS_DEV_EFFORT</formula>
    </cfRule>
  </conditionalFormatting>
  <conditionalFormatting sqref="F24">
    <cfRule type="expression" dxfId="1617" priority="4240">
      <formula>$K24&lt;&gt;""</formula>
    </cfRule>
  </conditionalFormatting>
  <conditionalFormatting sqref="C24">
    <cfRule type="expression" dxfId="1616" priority="4239">
      <formula>$G24&lt;&gt;"-"</formula>
    </cfRule>
  </conditionalFormatting>
  <conditionalFormatting sqref="D24">
    <cfRule type="expression" dxfId="1615" priority="4238">
      <formula>$H24&lt;&gt;"-"</formula>
    </cfRule>
  </conditionalFormatting>
  <conditionalFormatting sqref="E24">
    <cfRule type="expression" dxfId="1614" priority="4237">
      <formula>$I24&lt;&gt;"-"</formula>
    </cfRule>
  </conditionalFormatting>
  <conditionalFormatting sqref="T66:T67">
    <cfRule type="expression" dxfId="1613" priority="4184">
      <formula>#REF!="Yes"</formula>
    </cfRule>
  </conditionalFormatting>
  <conditionalFormatting sqref="B66:B67">
    <cfRule type="expression" dxfId="1612" priority="4177">
      <formula>AD66&lt;&gt;""</formula>
    </cfRule>
  </conditionalFormatting>
  <conditionalFormatting sqref="B86">
    <cfRule type="expression" dxfId="1611" priority="4169">
      <formula>AD86&lt;&gt;""</formula>
    </cfRule>
  </conditionalFormatting>
  <conditionalFormatting sqref="Z86">
    <cfRule type="cellIs" dxfId="1610" priority="4167" operator="greaterThan">
      <formula>0</formula>
    </cfRule>
    <cfRule type="cellIs" dxfId="1609" priority="4168" operator="lessThan">
      <formula>0</formula>
    </cfRule>
  </conditionalFormatting>
  <conditionalFormatting sqref="S86">
    <cfRule type="cellIs" dxfId="1608" priority="4166" operator="lessThan">
      <formula>0</formula>
    </cfRule>
  </conditionalFormatting>
  <conditionalFormatting sqref="T84:T85">
    <cfRule type="expression" dxfId="1607" priority="4170">
      <formula>#REF!="Yes"</formula>
    </cfRule>
  </conditionalFormatting>
  <conditionalFormatting sqref="P86">
    <cfRule type="cellIs" dxfId="1606" priority="4164" operator="equal">
      <formula>AS_DURATION_EFFORT</formula>
    </cfRule>
    <cfRule type="cellIs" dxfId="1605" priority="4165" operator="equal">
      <formula>AS_DEV_EFFORT</formula>
    </cfRule>
  </conditionalFormatting>
  <conditionalFormatting sqref="B84:B85">
    <cfRule type="expression" dxfId="1604" priority="4163">
      <formula>AD84&lt;&gt;""</formula>
    </cfRule>
  </conditionalFormatting>
  <conditionalFormatting sqref="F86">
    <cfRule type="expression" dxfId="1603" priority="4162">
      <formula>$K86&lt;&gt;""</formula>
    </cfRule>
  </conditionalFormatting>
  <conditionalFormatting sqref="C86">
    <cfRule type="expression" dxfId="1602" priority="4161">
      <formula>$G86&lt;&gt;"-"</formula>
    </cfRule>
  </conditionalFormatting>
  <conditionalFormatting sqref="D86">
    <cfRule type="expression" dxfId="1601" priority="4160">
      <formula>$H86&lt;&gt;"-"</formula>
    </cfRule>
  </conditionalFormatting>
  <conditionalFormatting sqref="E86">
    <cfRule type="expression" dxfId="1600" priority="4159">
      <formula>$I86&lt;&gt;"-"</formula>
    </cfRule>
  </conditionalFormatting>
  <conditionalFormatting sqref="B94">
    <cfRule type="expression" dxfId="1599" priority="4155">
      <formula>AD94&lt;&gt;""</formula>
    </cfRule>
  </conditionalFormatting>
  <conditionalFormatting sqref="Z94">
    <cfRule type="cellIs" dxfId="1598" priority="4153" operator="greaterThan">
      <formula>0</formula>
    </cfRule>
    <cfRule type="cellIs" dxfId="1597" priority="4154" operator="lessThan">
      <formula>0</formula>
    </cfRule>
  </conditionalFormatting>
  <conditionalFormatting sqref="S94">
    <cfRule type="cellIs" dxfId="1596" priority="4152" operator="lessThan">
      <formula>0</formula>
    </cfRule>
  </conditionalFormatting>
  <conditionalFormatting sqref="T92:T93">
    <cfRule type="expression" dxfId="1595" priority="4156">
      <formula>#REF!="Yes"</formula>
    </cfRule>
  </conditionalFormatting>
  <conditionalFormatting sqref="P94">
    <cfRule type="cellIs" dxfId="1594" priority="4150" operator="equal">
      <formula>AS_DURATION_EFFORT</formula>
    </cfRule>
    <cfRule type="cellIs" dxfId="1593" priority="4151" operator="equal">
      <formula>AS_DEV_EFFORT</formula>
    </cfRule>
  </conditionalFormatting>
  <conditionalFormatting sqref="B92:B93">
    <cfRule type="expression" dxfId="1592" priority="4149">
      <formula>AD92&lt;&gt;""</formula>
    </cfRule>
  </conditionalFormatting>
  <conditionalFormatting sqref="F94">
    <cfRule type="expression" dxfId="1591" priority="4148">
      <formula>$K94&lt;&gt;""</formula>
    </cfRule>
  </conditionalFormatting>
  <conditionalFormatting sqref="C94">
    <cfRule type="expression" dxfId="1590" priority="4147">
      <formula>$G94&lt;&gt;"-"</formula>
    </cfRule>
  </conditionalFormatting>
  <conditionalFormatting sqref="D94">
    <cfRule type="expression" dxfId="1589" priority="4146">
      <formula>$H94&lt;&gt;"-"</formula>
    </cfRule>
  </conditionalFormatting>
  <conditionalFormatting sqref="E94">
    <cfRule type="expression" dxfId="1588" priority="4145">
      <formula>$I94&lt;&gt;"-"</formula>
    </cfRule>
  </conditionalFormatting>
  <conditionalFormatting sqref="B64">
    <cfRule type="expression" dxfId="1587" priority="4114">
      <formula>AD64&lt;&gt;""</formula>
    </cfRule>
  </conditionalFormatting>
  <conditionalFormatting sqref="Z64">
    <cfRule type="cellIs" dxfId="1586" priority="4112" operator="greaterThan">
      <formula>0</formula>
    </cfRule>
    <cfRule type="cellIs" dxfId="1585" priority="4113" operator="lessThan">
      <formula>0</formula>
    </cfRule>
  </conditionalFormatting>
  <conditionalFormatting sqref="S64">
    <cfRule type="cellIs" dxfId="1584" priority="4111" operator="lessThan">
      <formula>0</formula>
    </cfRule>
  </conditionalFormatting>
  <conditionalFormatting sqref="P64">
    <cfRule type="cellIs" dxfId="1583" priority="4109" operator="equal">
      <formula>AS_DURATION_EFFORT</formula>
    </cfRule>
    <cfRule type="cellIs" dxfId="1582" priority="4110" operator="equal">
      <formula>AS_DEV_EFFORT</formula>
    </cfRule>
  </conditionalFormatting>
  <conditionalFormatting sqref="F64">
    <cfRule type="expression" dxfId="1581" priority="4108">
      <formula>$K64&lt;&gt;""</formula>
    </cfRule>
  </conditionalFormatting>
  <conditionalFormatting sqref="C64">
    <cfRule type="expression" dxfId="1580" priority="4107">
      <formula>$G64&lt;&gt;"-"</formula>
    </cfRule>
  </conditionalFormatting>
  <conditionalFormatting sqref="D64">
    <cfRule type="expression" dxfId="1579" priority="4106">
      <formula>$H64&lt;&gt;"-"</formula>
    </cfRule>
  </conditionalFormatting>
  <conditionalFormatting sqref="E64">
    <cfRule type="expression" dxfId="1578" priority="4105">
      <formula>$I64&lt;&gt;"-"</formula>
    </cfRule>
  </conditionalFormatting>
  <conditionalFormatting sqref="B87">
    <cfRule type="expression" dxfId="1577" priority="4102">
      <formula>AD87&lt;&gt;""</formula>
    </cfRule>
  </conditionalFormatting>
  <conditionalFormatting sqref="Z87">
    <cfRule type="cellIs" dxfId="1576" priority="4100" operator="greaterThan">
      <formula>0</formula>
    </cfRule>
    <cfRule type="cellIs" dxfId="1575" priority="4101" operator="lessThan">
      <formula>0</formula>
    </cfRule>
  </conditionalFormatting>
  <conditionalFormatting sqref="S87">
    <cfRule type="cellIs" dxfId="1574" priority="4099" operator="lessThan">
      <formula>0</formula>
    </cfRule>
  </conditionalFormatting>
  <conditionalFormatting sqref="P87">
    <cfRule type="cellIs" dxfId="1573" priority="4097" operator="equal">
      <formula>AS_DURATION_EFFORT</formula>
    </cfRule>
    <cfRule type="cellIs" dxfId="1572" priority="4098" operator="equal">
      <formula>AS_DEV_EFFORT</formula>
    </cfRule>
  </conditionalFormatting>
  <conditionalFormatting sqref="F87">
    <cfRule type="expression" dxfId="1571" priority="4096">
      <formula>$K87&lt;&gt;""</formula>
    </cfRule>
  </conditionalFormatting>
  <conditionalFormatting sqref="C87">
    <cfRule type="expression" dxfId="1570" priority="4095">
      <formula>$G87&lt;&gt;"-"</formula>
    </cfRule>
  </conditionalFormatting>
  <conditionalFormatting sqref="D87">
    <cfRule type="expression" dxfId="1569" priority="4094">
      <formula>$H87&lt;&gt;"-"</formula>
    </cfRule>
  </conditionalFormatting>
  <conditionalFormatting sqref="E87">
    <cfRule type="expression" dxfId="1568" priority="4093">
      <formula>$I87&lt;&gt;"-"</formula>
    </cfRule>
  </conditionalFormatting>
  <conditionalFormatting sqref="B88">
    <cfRule type="expression" dxfId="1567" priority="4090">
      <formula>AD88&lt;&gt;""</formula>
    </cfRule>
  </conditionalFormatting>
  <conditionalFormatting sqref="Z88">
    <cfRule type="cellIs" dxfId="1566" priority="4088" operator="greaterThan">
      <formula>0</formula>
    </cfRule>
    <cfRule type="cellIs" dxfId="1565" priority="4089" operator="lessThan">
      <formula>0</formula>
    </cfRule>
  </conditionalFormatting>
  <conditionalFormatting sqref="S88">
    <cfRule type="cellIs" dxfId="1564" priority="4087" operator="lessThan">
      <formula>0</formula>
    </cfRule>
  </conditionalFormatting>
  <conditionalFormatting sqref="F88">
    <cfRule type="expression" dxfId="1563" priority="4084">
      <formula>$K88&lt;&gt;""</formula>
    </cfRule>
  </conditionalFormatting>
  <conditionalFormatting sqref="C88">
    <cfRule type="expression" dxfId="1562" priority="4083">
      <formula>$G88&lt;&gt;"-"</formula>
    </cfRule>
  </conditionalFormatting>
  <conditionalFormatting sqref="D88">
    <cfRule type="expression" dxfId="1561" priority="4082">
      <formula>$H88&lt;&gt;"-"</formula>
    </cfRule>
  </conditionalFormatting>
  <conditionalFormatting sqref="E88">
    <cfRule type="expression" dxfId="1560" priority="4081">
      <formula>$I88&lt;&gt;"-"</formula>
    </cfRule>
  </conditionalFormatting>
  <conditionalFormatting sqref="B90">
    <cfRule type="expression" dxfId="1559" priority="4078">
      <formula>AD90&lt;&gt;""</formula>
    </cfRule>
  </conditionalFormatting>
  <conditionalFormatting sqref="Z90">
    <cfRule type="cellIs" dxfId="1558" priority="4076" operator="greaterThan">
      <formula>0</formula>
    </cfRule>
    <cfRule type="cellIs" dxfId="1557" priority="4077" operator="lessThan">
      <formula>0</formula>
    </cfRule>
  </conditionalFormatting>
  <conditionalFormatting sqref="S90">
    <cfRule type="cellIs" dxfId="1556" priority="4075" operator="lessThan">
      <formula>0</formula>
    </cfRule>
  </conditionalFormatting>
  <conditionalFormatting sqref="F90">
    <cfRule type="expression" dxfId="1555" priority="4072">
      <formula>$K90&lt;&gt;""</formula>
    </cfRule>
  </conditionalFormatting>
  <conditionalFormatting sqref="C90">
    <cfRule type="expression" dxfId="1554" priority="4071">
      <formula>$G90&lt;&gt;"-"</formula>
    </cfRule>
  </conditionalFormatting>
  <conditionalFormatting sqref="D90">
    <cfRule type="expression" dxfId="1553" priority="4070">
      <formula>$H90&lt;&gt;"-"</formula>
    </cfRule>
  </conditionalFormatting>
  <conditionalFormatting sqref="E90">
    <cfRule type="expression" dxfId="1552" priority="4069">
      <formula>$I90&lt;&gt;"-"</formula>
    </cfRule>
  </conditionalFormatting>
  <conditionalFormatting sqref="B133">
    <cfRule type="expression" dxfId="1551" priority="3910">
      <formula>AD133&lt;&gt;""</formula>
    </cfRule>
  </conditionalFormatting>
  <conditionalFormatting sqref="Z133">
    <cfRule type="cellIs" dxfId="1550" priority="3908" operator="greaterThan">
      <formula>0</formula>
    </cfRule>
    <cfRule type="cellIs" dxfId="1549" priority="3909" operator="lessThan">
      <formula>0</formula>
    </cfRule>
  </conditionalFormatting>
  <conditionalFormatting sqref="S133">
    <cfRule type="cellIs" dxfId="1548" priority="3907" operator="lessThan">
      <formula>0</formula>
    </cfRule>
  </conditionalFormatting>
  <conditionalFormatting sqref="P133">
    <cfRule type="cellIs" dxfId="1547" priority="3905" operator="equal">
      <formula>AS_DURATION_EFFORT</formula>
    </cfRule>
    <cfRule type="cellIs" dxfId="1546" priority="3906" operator="equal">
      <formula>AS_DEV_EFFORT</formula>
    </cfRule>
  </conditionalFormatting>
  <conditionalFormatting sqref="F133">
    <cfRule type="expression" dxfId="1545" priority="3904">
      <formula>$K133&lt;&gt;""</formula>
    </cfRule>
  </conditionalFormatting>
  <conditionalFormatting sqref="C133">
    <cfRule type="expression" dxfId="1544" priority="3903">
      <formula>$G133&lt;&gt;"-"</formula>
    </cfRule>
  </conditionalFormatting>
  <conditionalFormatting sqref="D133">
    <cfRule type="expression" dxfId="1543" priority="3902">
      <formula>$H133&lt;&gt;"-"</formula>
    </cfRule>
  </conditionalFormatting>
  <conditionalFormatting sqref="E133">
    <cfRule type="expression" dxfId="1542" priority="3901">
      <formula>$I133&lt;&gt;"-"</formula>
    </cfRule>
  </conditionalFormatting>
  <conditionalFormatting sqref="B132">
    <cfRule type="expression" dxfId="1541" priority="3898">
      <formula>AD132&lt;&gt;""</formula>
    </cfRule>
  </conditionalFormatting>
  <conditionalFormatting sqref="Z132">
    <cfRule type="cellIs" dxfId="1540" priority="3896" operator="greaterThan">
      <formula>0</formula>
    </cfRule>
    <cfRule type="cellIs" dxfId="1539" priority="3897" operator="lessThan">
      <formula>0</formula>
    </cfRule>
  </conditionalFormatting>
  <conditionalFormatting sqref="S132">
    <cfRule type="cellIs" dxfId="1538" priority="3895" operator="lessThan">
      <formula>0</formula>
    </cfRule>
  </conditionalFormatting>
  <conditionalFormatting sqref="P132">
    <cfRule type="cellIs" dxfId="1537" priority="3893" operator="equal">
      <formula>AS_DURATION_EFFORT</formula>
    </cfRule>
    <cfRule type="cellIs" dxfId="1536" priority="3894" operator="equal">
      <formula>AS_DEV_EFFORT</formula>
    </cfRule>
  </conditionalFormatting>
  <conditionalFormatting sqref="F132">
    <cfRule type="expression" dxfId="1535" priority="3892">
      <formula>$K132&lt;&gt;""</formula>
    </cfRule>
  </conditionalFormatting>
  <conditionalFormatting sqref="C132">
    <cfRule type="expression" dxfId="1534" priority="3891">
      <formula>$G132&lt;&gt;"-"</formula>
    </cfRule>
  </conditionalFormatting>
  <conditionalFormatting sqref="D132">
    <cfRule type="expression" dxfId="1533" priority="3890">
      <formula>$H132&lt;&gt;"-"</formula>
    </cfRule>
  </conditionalFormatting>
  <conditionalFormatting sqref="E132">
    <cfRule type="expression" dxfId="1532" priority="3889">
      <formula>$I132&lt;&gt;"-"</formula>
    </cfRule>
  </conditionalFormatting>
  <conditionalFormatting sqref="B131">
    <cfRule type="expression" dxfId="1531" priority="3886">
      <formula>AD131&lt;&gt;""</formula>
    </cfRule>
  </conditionalFormatting>
  <conditionalFormatting sqref="Z131">
    <cfRule type="cellIs" dxfId="1530" priority="3884" operator="greaterThan">
      <formula>0</formula>
    </cfRule>
    <cfRule type="cellIs" dxfId="1529" priority="3885" operator="lessThan">
      <formula>0</formula>
    </cfRule>
  </conditionalFormatting>
  <conditionalFormatting sqref="S131">
    <cfRule type="cellIs" dxfId="1528" priority="3883" operator="lessThan">
      <formula>0</formula>
    </cfRule>
  </conditionalFormatting>
  <conditionalFormatting sqref="P131">
    <cfRule type="cellIs" dxfId="1527" priority="3881" operator="equal">
      <formula>AS_DURATION_EFFORT</formula>
    </cfRule>
    <cfRule type="cellIs" dxfId="1526" priority="3882" operator="equal">
      <formula>AS_DEV_EFFORT</formula>
    </cfRule>
  </conditionalFormatting>
  <conditionalFormatting sqref="F131">
    <cfRule type="expression" dxfId="1525" priority="3880">
      <formula>$K131&lt;&gt;""</formula>
    </cfRule>
  </conditionalFormatting>
  <conditionalFormatting sqref="C131">
    <cfRule type="expression" dxfId="1524" priority="3879">
      <formula>$G131&lt;&gt;"-"</formula>
    </cfRule>
  </conditionalFormatting>
  <conditionalFormatting sqref="D131">
    <cfRule type="expression" dxfId="1523" priority="3878">
      <formula>$H131&lt;&gt;"-"</formula>
    </cfRule>
  </conditionalFormatting>
  <conditionalFormatting sqref="E131">
    <cfRule type="expression" dxfId="1522" priority="3877">
      <formula>$I131&lt;&gt;"-"</formula>
    </cfRule>
  </conditionalFormatting>
  <conditionalFormatting sqref="B140">
    <cfRule type="expression" dxfId="1521" priority="3874">
      <formula>AD140&lt;&gt;""</formula>
    </cfRule>
  </conditionalFormatting>
  <conditionalFormatting sqref="Z140">
    <cfRule type="cellIs" dxfId="1520" priority="3872" operator="greaterThan">
      <formula>0</formula>
    </cfRule>
    <cfRule type="cellIs" dxfId="1519" priority="3873" operator="lessThan">
      <formula>0</formula>
    </cfRule>
  </conditionalFormatting>
  <conditionalFormatting sqref="S140">
    <cfRule type="cellIs" dxfId="1518" priority="3871" operator="lessThan">
      <formula>0</formula>
    </cfRule>
  </conditionalFormatting>
  <conditionalFormatting sqref="P140">
    <cfRule type="cellIs" dxfId="1517" priority="3869" operator="equal">
      <formula>AS_DURATION_EFFORT</formula>
    </cfRule>
    <cfRule type="cellIs" dxfId="1516" priority="3870" operator="equal">
      <formula>AS_DEV_EFFORT</formula>
    </cfRule>
  </conditionalFormatting>
  <conditionalFormatting sqref="F140">
    <cfRule type="expression" dxfId="1515" priority="3868">
      <formula>$K140&lt;&gt;""</formula>
    </cfRule>
  </conditionalFormatting>
  <conditionalFormatting sqref="C140">
    <cfRule type="expression" dxfId="1514" priority="3867">
      <formula>$G140&lt;&gt;"-"</formula>
    </cfRule>
  </conditionalFormatting>
  <conditionalFormatting sqref="D140">
    <cfRule type="expression" dxfId="1513" priority="3866">
      <formula>$H140&lt;&gt;"-"</formula>
    </cfRule>
  </conditionalFormatting>
  <conditionalFormatting sqref="E140">
    <cfRule type="expression" dxfId="1512" priority="3865">
      <formula>$I140&lt;&gt;"-"</formula>
    </cfRule>
  </conditionalFormatting>
  <conditionalFormatting sqref="B139">
    <cfRule type="expression" dxfId="1511" priority="3862">
      <formula>AD139&lt;&gt;""</formula>
    </cfRule>
  </conditionalFormatting>
  <conditionalFormatting sqref="Z139">
    <cfRule type="cellIs" dxfId="1510" priority="3860" operator="greaterThan">
      <formula>0</formula>
    </cfRule>
    <cfRule type="cellIs" dxfId="1509" priority="3861" operator="lessThan">
      <formula>0</formula>
    </cfRule>
  </conditionalFormatting>
  <conditionalFormatting sqref="S139">
    <cfRule type="cellIs" dxfId="1508" priority="3859" operator="lessThan">
      <formula>0</formula>
    </cfRule>
  </conditionalFormatting>
  <conditionalFormatting sqref="P139">
    <cfRule type="cellIs" dxfId="1507" priority="3857" operator="equal">
      <formula>AS_DURATION_EFFORT</formula>
    </cfRule>
    <cfRule type="cellIs" dxfId="1506" priority="3858" operator="equal">
      <formula>AS_DEV_EFFORT</formula>
    </cfRule>
  </conditionalFormatting>
  <conditionalFormatting sqref="F139">
    <cfRule type="expression" dxfId="1505" priority="3856">
      <formula>$K139&lt;&gt;""</formula>
    </cfRule>
  </conditionalFormatting>
  <conditionalFormatting sqref="C139">
    <cfRule type="expression" dxfId="1504" priority="3855">
      <formula>$G139&lt;&gt;"-"</formula>
    </cfRule>
  </conditionalFormatting>
  <conditionalFormatting sqref="D139">
    <cfRule type="expression" dxfId="1503" priority="3854">
      <formula>$H139&lt;&gt;"-"</formula>
    </cfRule>
  </conditionalFormatting>
  <conditionalFormatting sqref="E139">
    <cfRule type="expression" dxfId="1502" priority="3853">
      <formula>$I139&lt;&gt;"-"</formula>
    </cfRule>
  </conditionalFormatting>
  <conditionalFormatting sqref="B138">
    <cfRule type="expression" dxfId="1501" priority="3838">
      <formula>AD138&lt;&gt;""</formula>
    </cfRule>
  </conditionalFormatting>
  <conditionalFormatting sqref="Z138">
    <cfRule type="cellIs" dxfId="1500" priority="3836" operator="greaterThan">
      <formula>0</formula>
    </cfRule>
    <cfRule type="cellIs" dxfId="1499" priority="3837" operator="lessThan">
      <formula>0</formula>
    </cfRule>
  </conditionalFormatting>
  <conditionalFormatting sqref="S138">
    <cfRule type="cellIs" dxfId="1498" priority="3835" operator="lessThan">
      <formula>0</formula>
    </cfRule>
  </conditionalFormatting>
  <conditionalFormatting sqref="P138">
    <cfRule type="cellIs" dxfId="1497" priority="3833" operator="equal">
      <formula>AS_DURATION_EFFORT</formula>
    </cfRule>
    <cfRule type="cellIs" dxfId="1496" priority="3834" operator="equal">
      <formula>AS_DEV_EFFORT</formula>
    </cfRule>
  </conditionalFormatting>
  <conditionalFormatting sqref="F138">
    <cfRule type="expression" dxfId="1495" priority="3832">
      <formula>$K138&lt;&gt;""</formula>
    </cfRule>
  </conditionalFormatting>
  <conditionalFormatting sqref="C138">
    <cfRule type="expression" dxfId="1494" priority="3831">
      <formula>$G138&lt;&gt;"-"</formula>
    </cfRule>
  </conditionalFormatting>
  <conditionalFormatting sqref="D138">
    <cfRule type="expression" dxfId="1493" priority="3830">
      <formula>$H138&lt;&gt;"-"</formula>
    </cfRule>
  </conditionalFormatting>
  <conditionalFormatting sqref="E138">
    <cfRule type="expression" dxfId="1492" priority="3829">
      <formula>$I138&lt;&gt;"-"</formula>
    </cfRule>
  </conditionalFormatting>
  <conditionalFormatting sqref="B147">
    <cfRule type="expression" dxfId="1491" priority="3826">
      <formula>AD147&lt;&gt;""</formula>
    </cfRule>
  </conditionalFormatting>
  <conditionalFormatting sqref="Z147">
    <cfRule type="cellIs" dxfId="1490" priority="3824" operator="greaterThan">
      <formula>0</formula>
    </cfRule>
    <cfRule type="cellIs" dxfId="1489" priority="3825" operator="lessThan">
      <formula>0</formula>
    </cfRule>
  </conditionalFormatting>
  <conditionalFormatting sqref="S147">
    <cfRule type="cellIs" dxfId="1488" priority="3823" operator="lessThan">
      <formula>0</formula>
    </cfRule>
  </conditionalFormatting>
  <conditionalFormatting sqref="P147">
    <cfRule type="cellIs" dxfId="1487" priority="3821" operator="equal">
      <formula>AS_DURATION_EFFORT</formula>
    </cfRule>
    <cfRule type="cellIs" dxfId="1486" priority="3822" operator="equal">
      <formula>AS_DEV_EFFORT</formula>
    </cfRule>
  </conditionalFormatting>
  <conditionalFormatting sqref="F147">
    <cfRule type="expression" dxfId="1485" priority="3820">
      <formula>$K147&lt;&gt;""</formula>
    </cfRule>
  </conditionalFormatting>
  <conditionalFormatting sqref="C147">
    <cfRule type="expression" dxfId="1484" priority="3819">
      <formula>$G147&lt;&gt;"-"</formula>
    </cfRule>
  </conditionalFormatting>
  <conditionalFormatting sqref="D147">
    <cfRule type="expression" dxfId="1483" priority="3818">
      <formula>$H147&lt;&gt;"-"</formula>
    </cfRule>
  </conditionalFormatting>
  <conditionalFormatting sqref="E147">
    <cfRule type="expression" dxfId="1482" priority="3817">
      <formula>$I147&lt;&gt;"-"</formula>
    </cfRule>
  </conditionalFormatting>
  <conditionalFormatting sqref="B270">
    <cfRule type="expression" dxfId="1481" priority="3781">
      <formula>AD270&lt;&gt;""</formula>
    </cfRule>
  </conditionalFormatting>
  <conditionalFormatting sqref="Z270">
    <cfRule type="cellIs" dxfId="1480" priority="3779" operator="greaterThan">
      <formula>0</formula>
    </cfRule>
    <cfRule type="cellIs" dxfId="1479" priority="3780" operator="lessThan">
      <formula>0</formula>
    </cfRule>
  </conditionalFormatting>
  <conditionalFormatting sqref="S270">
    <cfRule type="cellIs" dxfId="1478" priority="3778" operator="lessThan">
      <formula>0</formula>
    </cfRule>
  </conditionalFormatting>
  <conditionalFormatting sqref="T268:T269">
    <cfRule type="expression" dxfId="1477" priority="3782">
      <formula>#REF!="Yes"</formula>
    </cfRule>
  </conditionalFormatting>
  <conditionalFormatting sqref="P270">
    <cfRule type="cellIs" dxfId="1476" priority="3776" operator="equal">
      <formula>AS_DURATION_EFFORT</formula>
    </cfRule>
    <cfRule type="cellIs" dxfId="1475" priority="3777" operator="equal">
      <formula>AS_DEV_EFFORT</formula>
    </cfRule>
  </conditionalFormatting>
  <conditionalFormatting sqref="B268:B269">
    <cfRule type="expression" dxfId="1474" priority="3775">
      <formula>AD268&lt;&gt;""</formula>
    </cfRule>
  </conditionalFormatting>
  <conditionalFormatting sqref="F270">
    <cfRule type="expression" dxfId="1473" priority="3774">
      <formula>$K270&lt;&gt;""</formula>
    </cfRule>
  </conditionalFormatting>
  <conditionalFormatting sqref="C270">
    <cfRule type="expression" dxfId="1472" priority="3773">
      <formula>$G270&lt;&gt;"-"</formula>
    </cfRule>
  </conditionalFormatting>
  <conditionalFormatting sqref="D270">
    <cfRule type="expression" dxfId="1471" priority="3772">
      <formula>$H270&lt;&gt;"-"</formula>
    </cfRule>
  </conditionalFormatting>
  <conditionalFormatting sqref="E270">
    <cfRule type="expression" dxfId="1470" priority="3771">
      <formula>$I270&lt;&gt;"-"</formula>
    </cfRule>
  </conditionalFormatting>
  <conditionalFormatting sqref="B271">
    <cfRule type="expression" dxfId="1469" priority="3768">
      <formula>AD271&lt;&gt;""</formula>
    </cfRule>
  </conditionalFormatting>
  <conditionalFormatting sqref="Z271">
    <cfRule type="cellIs" dxfId="1468" priority="3766" operator="greaterThan">
      <formula>0</formula>
    </cfRule>
    <cfRule type="cellIs" dxfId="1467" priority="3767" operator="lessThan">
      <formula>0</formula>
    </cfRule>
  </conditionalFormatting>
  <conditionalFormatting sqref="S271">
    <cfRule type="cellIs" dxfId="1466" priority="3765" operator="lessThan">
      <formula>0</formula>
    </cfRule>
  </conditionalFormatting>
  <conditionalFormatting sqref="F271">
    <cfRule type="expression" dxfId="1465" priority="3762">
      <formula>$K271&lt;&gt;""</formula>
    </cfRule>
  </conditionalFormatting>
  <conditionalFormatting sqref="C271">
    <cfRule type="expression" dxfId="1464" priority="3761">
      <formula>$G271&lt;&gt;"-"</formula>
    </cfRule>
  </conditionalFormatting>
  <conditionalFormatting sqref="D271">
    <cfRule type="expression" dxfId="1463" priority="3760">
      <formula>$H271&lt;&gt;"-"</formula>
    </cfRule>
  </conditionalFormatting>
  <conditionalFormatting sqref="E271">
    <cfRule type="expression" dxfId="1462" priority="3759">
      <formula>$I271&lt;&gt;"-"</formula>
    </cfRule>
  </conditionalFormatting>
  <conditionalFormatting sqref="B281">
    <cfRule type="expression" dxfId="1461" priority="3755">
      <formula>AD281&lt;&gt;""</formula>
    </cfRule>
  </conditionalFormatting>
  <conditionalFormatting sqref="Z281">
    <cfRule type="cellIs" dxfId="1460" priority="3753" operator="greaterThan">
      <formula>0</formula>
    </cfRule>
    <cfRule type="cellIs" dxfId="1459" priority="3754" operator="lessThan">
      <formula>0</formula>
    </cfRule>
  </conditionalFormatting>
  <conditionalFormatting sqref="S281">
    <cfRule type="cellIs" dxfId="1458" priority="3752" operator="lessThan">
      <formula>0</formula>
    </cfRule>
  </conditionalFormatting>
  <conditionalFormatting sqref="T279:T280">
    <cfRule type="expression" dxfId="1457" priority="3756">
      <formula>#REF!="Yes"</formula>
    </cfRule>
  </conditionalFormatting>
  <conditionalFormatting sqref="P288">
    <cfRule type="cellIs" dxfId="1456" priority="3692" operator="equal">
      <formula>AS_DURATION_EFFORT</formula>
    </cfRule>
    <cfRule type="cellIs" dxfId="1455" priority="3693" operator="equal">
      <formula>AS_DEV_EFFORT</formula>
    </cfRule>
  </conditionalFormatting>
  <conditionalFormatting sqref="B279:B280">
    <cfRule type="expression" dxfId="1454" priority="3749">
      <formula>AD279&lt;&gt;""</formula>
    </cfRule>
  </conditionalFormatting>
  <conditionalFormatting sqref="F281">
    <cfRule type="expression" dxfId="1453" priority="3748">
      <formula>$K281&lt;&gt;""</formula>
    </cfRule>
  </conditionalFormatting>
  <conditionalFormatting sqref="C281">
    <cfRule type="expression" dxfId="1452" priority="3747">
      <formula>$G281&lt;&gt;"-"</formula>
    </cfRule>
  </conditionalFormatting>
  <conditionalFormatting sqref="D281">
    <cfRule type="expression" dxfId="1451" priority="3746">
      <formula>$H281&lt;&gt;"-"</formula>
    </cfRule>
  </conditionalFormatting>
  <conditionalFormatting sqref="E281">
    <cfRule type="expression" dxfId="1450" priority="3745">
      <formula>$I281&lt;&gt;"-"</formula>
    </cfRule>
  </conditionalFormatting>
  <conditionalFormatting sqref="B282">
    <cfRule type="expression" dxfId="1449" priority="3742">
      <formula>AD282&lt;&gt;""</formula>
    </cfRule>
  </conditionalFormatting>
  <conditionalFormatting sqref="Z282">
    <cfRule type="cellIs" dxfId="1448" priority="3740" operator="greaterThan">
      <formula>0</formula>
    </cfRule>
    <cfRule type="cellIs" dxfId="1447" priority="3741" operator="lessThan">
      <formula>0</formula>
    </cfRule>
  </conditionalFormatting>
  <conditionalFormatting sqref="S282">
    <cfRule type="cellIs" dxfId="1446" priority="3739" operator="lessThan">
      <formula>0</formula>
    </cfRule>
  </conditionalFormatting>
  <conditionalFormatting sqref="P283">
    <cfRule type="cellIs" dxfId="1445" priority="3703" operator="equal">
      <formula>AS_DURATION_EFFORT</formula>
    </cfRule>
    <cfRule type="cellIs" dxfId="1444" priority="3704" operator="equal">
      <formula>AS_DEV_EFFORT</formula>
    </cfRule>
  </conditionalFormatting>
  <conditionalFormatting sqref="F282">
    <cfRule type="expression" dxfId="1443" priority="3736">
      <formula>$K282&lt;&gt;""</formula>
    </cfRule>
  </conditionalFormatting>
  <conditionalFormatting sqref="C282">
    <cfRule type="expression" dxfId="1442" priority="3735">
      <formula>$G282&lt;&gt;"-"</formula>
    </cfRule>
  </conditionalFormatting>
  <conditionalFormatting sqref="D282">
    <cfRule type="expression" dxfId="1441" priority="3734">
      <formula>$H282&lt;&gt;"-"</formula>
    </cfRule>
  </conditionalFormatting>
  <conditionalFormatting sqref="E282">
    <cfRule type="expression" dxfId="1440" priority="3733">
      <formula>$I282&lt;&gt;"-"</formula>
    </cfRule>
  </conditionalFormatting>
  <conditionalFormatting sqref="B284">
    <cfRule type="expression" dxfId="1439" priority="3730">
      <formula>AD284&lt;&gt;""</formula>
    </cfRule>
  </conditionalFormatting>
  <conditionalFormatting sqref="Z284">
    <cfRule type="cellIs" dxfId="1438" priority="3728" operator="greaterThan">
      <formula>0</formula>
    </cfRule>
    <cfRule type="cellIs" dxfId="1437" priority="3729" operator="lessThan">
      <formula>0</formula>
    </cfRule>
  </conditionalFormatting>
  <conditionalFormatting sqref="S284">
    <cfRule type="cellIs" dxfId="1436" priority="3727" operator="lessThan">
      <formula>0</formula>
    </cfRule>
  </conditionalFormatting>
  <conditionalFormatting sqref="P284">
    <cfRule type="cellIs" dxfId="1435" priority="3725" operator="equal">
      <formula>AS_DURATION_EFFORT</formula>
    </cfRule>
    <cfRule type="cellIs" dxfId="1434" priority="3726" operator="equal">
      <formula>AS_DEV_EFFORT</formula>
    </cfRule>
  </conditionalFormatting>
  <conditionalFormatting sqref="F284">
    <cfRule type="expression" dxfId="1433" priority="3724">
      <formula>$K284&lt;&gt;""</formula>
    </cfRule>
  </conditionalFormatting>
  <conditionalFormatting sqref="C284">
    <cfRule type="expression" dxfId="1432" priority="3723">
      <formula>$G284&lt;&gt;"-"</formula>
    </cfRule>
  </conditionalFormatting>
  <conditionalFormatting sqref="D284">
    <cfRule type="expression" dxfId="1431" priority="3722">
      <formula>$H284&lt;&gt;"-"</formula>
    </cfRule>
  </conditionalFormatting>
  <conditionalFormatting sqref="E284">
    <cfRule type="expression" dxfId="1430" priority="3721">
      <formula>$I284&lt;&gt;"-"</formula>
    </cfRule>
  </conditionalFormatting>
  <conditionalFormatting sqref="B283">
    <cfRule type="expression" dxfId="1429" priority="3718">
      <formula>AD283&lt;&gt;""</formula>
    </cfRule>
  </conditionalFormatting>
  <conditionalFormatting sqref="Z283">
    <cfRule type="cellIs" dxfId="1428" priority="3716" operator="greaterThan">
      <formula>0</formula>
    </cfRule>
    <cfRule type="cellIs" dxfId="1427" priority="3717" operator="lessThan">
      <formula>0</formula>
    </cfRule>
  </conditionalFormatting>
  <conditionalFormatting sqref="S283">
    <cfRule type="cellIs" dxfId="1426" priority="3715" operator="lessThan">
      <formula>0</formula>
    </cfRule>
  </conditionalFormatting>
  <conditionalFormatting sqref="P281">
    <cfRule type="cellIs" dxfId="1425" priority="3705" operator="equal">
      <formula>AS_DURATION_EFFORT</formula>
    </cfRule>
    <cfRule type="cellIs" dxfId="1424" priority="3706" operator="equal">
      <formula>AS_DEV_EFFORT</formula>
    </cfRule>
  </conditionalFormatting>
  <conditionalFormatting sqref="F283">
    <cfRule type="expression" dxfId="1423" priority="3712">
      <formula>$K283&lt;&gt;""</formula>
    </cfRule>
  </conditionalFormatting>
  <conditionalFormatting sqref="C283">
    <cfRule type="expression" dxfId="1422" priority="3711">
      <formula>$G283&lt;&gt;"-"</formula>
    </cfRule>
  </conditionalFormatting>
  <conditionalFormatting sqref="D283">
    <cfRule type="expression" dxfId="1421" priority="3710">
      <formula>$H283&lt;&gt;"-"</formula>
    </cfRule>
  </conditionalFormatting>
  <conditionalFormatting sqref="E283">
    <cfRule type="expression" dxfId="1420" priority="3709">
      <formula>$I283&lt;&gt;"-"</formula>
    </cfRule>
  </conditionalFormatting>
  <conditionalFormatting sqref="P282:P283">
    <cfRule type="cellIs" dxfId="1419" priority="3701" operator="equal">
      <formula>AS_DURATION_EFFORT</formula>
    </cfRule>
    <cfRule type="cellIs" dxfId="1418" priority="3702" operator="equal">
      <formula>AS_DEV_EFFORT</formula>
    </cfRule>
  </conditionalFormatting>
  <conditionalFormatting sqref="B288">
    <cfRule type="expression" dxfId="1417" priority="3697">
      <formula>AD288&lt;&gt;""</formula>
    </cfRule>
  </conditionalFormatting>
  <conditionalFormatting sqref="Z288">
    <cfRule type="cellIs" dxfId="1416" priority="3695" operator="greaterThan">
      <formula>0</formula>
    </cfRule>
    <cfRule type="cellIs" dxfId="1415" priority="3696" operator="lessThan">
      <formula>0</formula>
    </cfRule>
  </conditionalFormatting>
  <conditionalFormatting sqref="S288">
    <cfRule type="cellIs" dxfId="1414" priority="3694" operator="lessThan">
      <formula>0</formula>
    </cfRule>
  </conditionalFormatting>
  <conditionalFormatting sqref="T286:T287">
    <cfRule type="expression" dxfId="1413" priority="3698">
      <formula>#REF!="Yes"</formula>
    </cfRule>
  </conditionalFormatting>
  <conditionalFormatting sqref="B286:B287">
    <cfRule type="expression" dxfId="1412" priority="3691">
      <formula>AD286&lt;&gt;""</formula>
    </cfRule>
  </conditionalFormatting>
  <conditionalFormatting sqref="F288">
    <cfRule type="expression" dxfId="1411" priority="3690">
      <formula>$K288&lt;&gt;""</formula>
    </cfRule>
  </conditionalFormatting>
  <conditionalFormatting sqref="C288">
    <cfRule type="expression" dxfId="1410" priority="3689">
      <formula>$G288&lt;&gt;"-"</formula>
    </cfRule>
  </conditionalFormatting>
  <conditionalFormatting sqref="D288">
    <cfRule type="expression" dxfId="1409" priority="3688">
      <formula>$H288&lt;&gt;"-"</formula>
    </cfRule>
  </conditionalFormatting>
  <conditionalFormatting sqref="E288">
    <cfRule type="expression" dxfId="1408" priority="3687">
      <formula>$I288&lt;&gt;"-"</formula>
    </cfRule>
  </conditionalFormatting>
  <conditionalFormatting sqref="P289">
    <cfRule type="cellIs" dxfId="1407" priority="3655" operator="equal">
      <formula>AS_DURATION_EFFORT</formula>
    </cfRule>
    <cfRule type="cellIs" dxfId="1406" priority="3656" operator="equal">
      <formula>AS_DEV_EFFORT</formula>
    </cfRule>
  </conditionalFormatting>
  <conditionalFormatting sqref="B289">
    <cfRule type="expression" dxfId="1405" priority="3660">
      <formula>AD289&lt;&gt;""</formula>
    </cfRule>
  </conditionalFormatting>
  <conditionalFormatting sqref="Z289">
    <cfRule type="cellIs" dxfId="1404" priority="3658" operator="greaterThan">
      <formula>0</formula>
    </cfRule>
    <cfRule type="cellIs" dxfId="1403" priority="3659" operator="lessThan">
      <formula>0</formula>
    </cfRule>
  </conditionalFormatting>
  <conditionalFormatting sqref="S289">
    <cfRule type="cellIs" dxfId="1402" priority="3657" operator="lessThan">
      <formula>0</formula>
    </cfRule>
  </conditionalFormatting>
  <conditionalFormatting sqref="F289">
    <cfRule type="expression" dxfId="1401" priority="3654">
      <formula>$K289&lt;&gt;""</formula>
    </cfRule>
  </conditionalFormatting>
  <conditionalFormatting sqref="C289">
    <cfRule type="expression" dxfId="1400" priority="3653">
      <formula>$G289&lt;&gt;"-"</formula>
    </cfRule>
  </conditionalFormatting>
  <conditionalFormatting sqref="D289">
    <cfRule type="expression" dxfId="1399" priority="3652">
      <formula>$H289&lt;&gt;"-"</formula>
    </cfRule>
  </conditionalFormatting>
  <conditionalFormatting sqref="E289">
    <cfRule type="expression" dxfId="1398" priority="3651">
      <formula>$I289&lt;&gt;"-"</formula>
    </cfRule>
  </conditionalFormatting>
  <conditionalFormatting sqref="B299">
    <cfRule type="expression" dxfId="1397" priority="3619">
      <formula>AD299&lt;&gt;""</formula>
    </cfRule>
  </conditionalFormatting>
  <conditionalFormatting sqref="Z299">
    <cfRule type="cellIs" dxfId="1396" priority="3617" operator="greaterThan">
      <formula>0</formula>
    </cfRule>
    <cfRule type="cellIs" dxfId="1395" priority="3618" operator="lessThan">
      <formula>0</formula>
    </cfRule>
  </conditionalFormatting>
  <conditionalFormatting sqref="S299">
    <cfRule type="cellIs" dxfId="1394" priority="3616" operator="lessThan">
      <formula>0</formula>
    </cfRule>
  </conditionalFormatting>
  <conditionalFormatting sqref="T296:T297">
    <cfRule type="expression" dxfId="1393" priority="3620">
      <formula>#REF!="Yes"</formula>
    </cfRule>
  </conditionalFormatting>
  <conditionalFormatting sqref="P299">
    <cfRule type="cellIs" dxfId="1392" priority="3614" operator="equal">
      <formula>AS_DURATION_EFFORT</formula>
    </cfRule>
    <cfRule type="cellIs" dxfId="1391" priority="3615" operator="equal">
      <formula>AS_DEV_EFFORT</formula>
    </cfRule>
  </conditionalFormatting>
  <conditionalFormatting sqref="B296:B297">
    <cfRule type="expression" dxfId="1390" priority="3613">
      <formula>AD296&lt;&gt;""</formula>
    </cfRule>
  </conditionalFormatting>
  <conditionalFormatting sqref="F299">
    <cfRule type="expression" dxfId="1389" priority="3612">
      <formula>$K299&lt;&gt;""</formula>
    </cfRule>
  </conditionalFormatting>
  <conditionalFormatting sqref="C299">
    <cfRule type="expression" dxfId="1388" priority="3611">
      <formula>$G299&lt;&gt;"-"</formula>
    </cfRule>
  </conditionalFormatting>
  <conditionalFormatting sqref="D299">
    <cfRule type="expression" dxfId="1387" priority="3610">
      <formula>$H299&lt;&gt;"-"</formula>
    </cfRule>
  </conditionalFormatting>
  <conditionalFormatting sqref="E299">
    <cfRule type="expression" dxfId="1386" priority="3609">
      <formula>$I299&lt;&gt;"-"</formula>
    </cfRule>
  </conditionalFormatting>
  <conditionalFormatting sqref="B300">
    <cfRule type="expression" dxfId="1385" priority="3606">
      <formula>AD300&lt;&gt;""</formula>
    </cfRule>
  </conditionalFormatting>
  <conditionalFormatting sqref="Z300">
    <cfRule type="cellIs" dxfId="1384" priority="3604" operator="greaterThan">
      <formula>0</formula>
    </cfRule>
    <cfRule type="cellIs" dxfId="1383" priority="3605" operator="lessThan">
      <formula>0</formula>
    </cfRule>
  </conditionalFormatting>
  <conditionalFormatting sqref="S300">
    <cfRule type="cellIs" dxfId="1382" priority="3603" operator="lessThan">
      <formula>0</formula>
    </cfRule>
  </conditionalFormatting>
  <conditionalFormatting sqref="P300">
    <cfRule type="cellIs" dxfId="1381" priority="3601" operator="equal">
      <formula>AS_DURATION_EFFORT</formula>
    </cfRule>
    <cfRule type="cellIs" dxfId="1380" priority="3602" operator="equal">
      <formula>AS_DEV_EFFORT</formula>
    </cfRule>
  </conditionalFormatting>
  <conditionalFormatting sqref="F300">
    <cfRule type="expression" dxfId="1379" priority="3600">
      <formula>$K300&lt;&gt;""</formula>
    </cfRule>
  </conditionalFormatting>
  <conditionalFormatting sqref="C300">
    <cfRule type="expression" dxfId="1378" priority="3599">
      <formula>$G300&lt;&gt;"-"</formula>
    </cfRule>
  </conditionalFormatting>
  <conditionalFormatting sqref="D300">
    <cfRule type="expression" dxfId="1377" priority="3598">
      <formula>$H300&lt;&gt;"-"</formula>
    </cfRule>
  </conditionalFormatting>
  <conditionalFormatting sqref="E300">
    <cfRule type="expression" dxfId="1376" priority="3597">
      <formula>$I300&lt;&gt;"-"</formula>
    </cfRule>
  </conditionalFormatting>
  <conditionalFormatting sqref="B305">
    <cfRule type="expression" dxfId="1375" priority="3593">
      <formula>AD305&lt;&gt;""</formula>
    </cfRule>
  </conditionalFormatting>
  <conditionalFormatting sqref="Z305">
    <cfRule type="cellIs" dxfId="1374" priority="3591" operator="greaterThan">
      <formula>0</formula>
    </cfRule>
    <cfRule type="cellIs" dxfId="1373" priority="3592" operator="lessThan">
      <formula>0</formula>
    </cfRule>
  </conditionalFormatting>
  <conditionalFormatting sqref="S305">
    <cfRule type="cellIs" dxfId="1372" priority="3590" operator="lessThan">
      <formula>0</formula>
    </cfRule>
  </conditionalFormatting>
  <conditionalFormatting sqref="T302:T303">
    <cfRule type="expression" dxfId="1371" priority="3594">
      <formula>#REF!="Yes"</formula>
    </cfRule>
  </conditionalFormatting>
  <conditionalFormatting sqref="P305">
    <cfRule type="cellIs" dxfId="1370" priority="3588" operator="equal">
      <formula>AS_DURATION_EFFORT</formula>
    </cfRule>
    <cfRule type="cellIs" dxfId="1369" priority="3589" operator="equal">
      <formula>AS_DEV_EFFORT</formula>
    </cfRule>
  </conditionalFormatting>
  <conditionalFormatting sqref="B302:B303">
    <cfRule type="expression" dxfId="1368" priority="3587">
      <formula>AD302&lt;&gt;""</formula>
    </cfRule>
  </conditionalFormatting>
  <conditionalFormatting sqref="F305">
    <cfRule type="expression" dxfId="1367" priority="3586">
      <formula>$K305&lt;&gt;""</formula>
    </cfRule>
  </conditionalFormatting>
  <conditionalFormatting sqref="C305">
    <cfRule type="expression" dxfId="1366" priority="3585">
      <formula>$G305&lt;&gt;"-"</formula>
    </cfRule>
  </conditionalFormatting>
  <conditionalFormatting sqref="D305">
    <cfRule type="expression" dxfId="1365" priority="3584">
      <formula>$H305&lt;&gt;"-"</formula>
    </cfRule>
  </conditionalFormatting>
  <conditionalFormatting sqref="E305">
    <cfRule type="expression" dxfId="1364" priority="3583">
      <formula>$I305&lt;&gt;"-"</formula>
    </cfRule>
  </conditionalFormatting>
  <conditionalFormatting sqref="B310">
    <cfRule type="expression" dxfId="1363" priority="3555">
      <formula>AD310&lt;&gt;""</formula>
    </cfRule>
  </conditionalFormatting>
  <conditionalFormatting sqref="Z310">
    <cfRule type="cellIs" dxfId="1362" priority="3553" operator="greaterThan">
      <formula>0</formula>
    </cfRule>
    <cfRule type="cellIs" dxfId="1361" priority="3554" operator="lessThan">
      <formula>0</formula>
    </cfRule>
  </conditionalFormatting>
  <conditionalFormatting sqref="S310">
    <cfRule type="cellIs" dxfId="1360" priority="3552" operator="lessThan">
      <formula>0</formula>
    </cfRule>
  </conditionalFormatting>
  <conditionalFormatting sqref="T307:T308">
    <cfRule type="expression" dxfId="1359" priority="3556">
      <formula>#REF!="Yes"</formula>
    </cfRule>
  </conditionalFormatting>
  <conditionalFormatting sqref="P310">
    <cfRule type="cellIs" dxfId="1358" priority="3550" operator="equal">
      <formula>AS_DURATION_EFFORT</formula>
    </cfRule>
    <cfRule type="cellIs" dxfId="1357" priority="3551" operator="equal">
      <formula>AS_DEV_EFFORT</formula>
    </cfRule>
  </conditionalFormatting>
  <conditionalFormatting sqref="B307:B308">
    <cfRule type="expression" dxfId="1356" priority="3549">
      <formula>AD307&lt;&gt;""</formula>
    </cfRule>
  </conditionalFormatting>
  <conditionalFormatting sqref="F310">
    <cfRule type="expression" dxfId="1355" priority="3548">
      <formula>$K310&lt;&gt;""</formula>
    </cfRule>
  </conditionalFormatting>
  <conditionalFormatting sqref="C310">
    <cfRule type="expression" dxfId="1354" priority="3547">
      <formula>$G310&lt;&gt;"-"</formula>
    </cfRule>
  </conditionalFormatting>
  <conditionalFormatting sqref="D310">
    <cfRule type="expression" dxfId="1353" priority="3546">
      <formula>$H310&lt;&gt;"-"</formula>
    </cfRule>
  </conditionalFormatting>
  <conditionalFormatting sqref="E310">
    <cfRule type="expression" dxfId="1352" priority="3545">
      <formula>$I310&lt;&gt;"-"</formula>
    </cfRule>
  </conditionalFormatting>
  <conditionalFormatting sqref="B318">
    <cfRule type="expression" dxfId="1351" priority="3529">
      <formula>AD318&lt;&gt;""</formula>
    </cfRule>
  </conditionalFormatting>
  <conditionalFormatting sqref="Z318">
    <cfRule type="cellIs" dxfId="1350" priority="3527" operator="greaterThan">
      <formula>0</formula>
    </cfRule>
    <cfRule type="cellIs" dxfId="1349" priority="3528" operator="lessThan">
      <formula>0</formula>
    </cfRule>
  </conditionalFormatting>
  <conditionalFormatting sqref="S318">
    <cfRule type="cellIs" dxfId="1348" priority="3526" operator="lessThan">
      <formula>0</formula>
    </cfRule>
  </conditionalFormatting>
  <conditionalFormatting sqref="T316:T317">
    <cfRule type="expression" dxfId="1347" priority="3530">
      <formula>#REF!="Yes"</formula>
    </cfRule>
  </conditionalFormatting>
  <conditionalFormatting sqref="P318">
    <cfRule type="cellIs" dxfId="1346" priority="3524" operator="equal">
      <formula>AS_DURATION_EFFORT</formula>
    </cfRule>
    <cfRule type="cellIs" dxfId="1345" priority="3525" operator="equal">
      <formula>AS_DEV_EFFORT</formula>
    </cfRule>
  </conditionalFormatting>
  <conditionalFormatting sqref="B316:B317">
    <cfRule type="expression" dxfId="1344" priority="3523">
      <formula>AD316&lt;&gt;""</formula>
    </cfRule>
  </conditionalFormatting>
  <conditionalFormatting sqref="F318">
    <cfRule type="expression" dxfId="1343" priority="3522">
      <formula>$K318&lt;&gt;""</formula>
    </cfRule>
  </conditionalFormatting>
  <conditionalFormatting sqref="C318">
    <cfRule type="expression" dxfId="1342" priority="3521">
      <formula>$G318&lt;&gt;"-"</formula>
    </cfRule>
  </conditionalFormatting>
  <conditionalFormatting sqref="D318">
    <cfRule type="expression" dxfId="1341" priority="3520">
      <formula>$H318&lt;&gt;"-"</formula>
    </cfRule>
  </conditionalFormatting>
  <conditionalFormatting sqref="E318">
    <cfRule type="expression" dxfId="1340" priority="3519">
      <formula>$I318&lt;&gt;"-"</formula>
    </cfRule>
  </conditionalFormatting>
  <conditionalFormatting sqref="B321">
    <cfRule type="expression" dxfId="1339" priority="3516">
      <formula>AD321&lt;&gt;""</formula>
    </cfRule>
  </conditionalFormatting>
  <conditionalFormatting sqref="Z321">
    <cfRule type="cellIs" dxfId="1338" priority="3514" operator="greaterThan">
      <formula>0</formula>
    </cfRule>
    <cfRule type="cellIs" dxfId="1337" priority="3515" operator="lessThan">
      <formula>0</formula>
    </cfRule>
  </conditionalFormatting>
  <conditionalFormatting sqref="S321">
    <cfRule type="cellIs" dxfId="1336" priority="3513" operator="lessThan">
      <formula>0</formula>
    </cfRule>
  </conditionalFormatting>
  <conditionalFormatting sqref="P321">
    <cfRule type="cellIs" dxfId="1335" priority="3511" operator="equal">
      <formula>AS_DURATION_EFFORT</formula>
    </cfRule>
    <cfRule type="cellIs" dxfId="1334" priority="3512" operator="equal">
      <formula>AS_DEV_EFFORT</formula>
    </cfRule>
  </conditionalFormatting>
  <conditionalFormatting sqref="F321">
    <cfRule type="expression" dxfId="1333" priority="3510">
      <formula>$K321&lt;&gt;""</formula>
    </cfRule>
  </conditionalFormatting>
  <conditionalFormatting sqref="C321">
    <cfRule type="expression" dxfId="1332" priority="3509">
      <formula>$G321&lt;&gt;"-"</formula>
    </cfRule>
  </conditionalFormatting>
  <conditionalFormatting sqref="D321">
    <cfRule type="expression" dxfId="1331" priority="3508">
      <formula>$H321&lt;&gt;"-"</formula>
    </cfRule>
  </conditionalFormatting>
  <conditionalFormatting sqref="E321">
    <cfRule type="expression" dxfId="1330" priority="3507">
      <formula>$I321&lt;&gt;"-"</formula>
    </cfRule>
  </conditionalFormatting>
  <conditionalFormatting sqref="B320">
    <cfRule type="expression" dxfId="1329" priority="3504">
      <formula>AD320&lt;&gt;""</formula>
    </cfRule>
  </conditionalFormatting>
  <conditionalFormatting sqref="Z320">
    <cfRule type="cellIs" dxfId="1328" priority="3502" operator="greaterThan">
      <formula>0</formula>
    </cfRule>
    <cfRule type="cellIs" dxfId="1327" priority="3503" operator="lessThan">
      <formula>0</formula>
    </cfRule>
  </conditionalFormatting>
  <conditionalFormatting sqref="S320">
    <cfRule type="cellIs" dxfId="1326" priority="3501" operator="lessThan">
      <formula>0</formula>
    </cfRule>
  </conditionalFormatting>
  <conditionalFormatting sqref="P320">
    <cfRule type="cellIs" dxfId="1325" priority="3499" operator="equal">
      <formula>AS_DURATION_EFFORT</formula>
    </cfRule>
    <cfRule type="cellIs" dxfId="1324" priority="3500" operator="equal">
      <formula>AS_DEV_EFFORT</formula>
    </cfRule>
  </conditionalFormatting>
  <conditionalFormatting sqref="F320">
    <cfRule type="expression" dxfId="1323" priority="3498">
      <formula>$K320&lt;&gt;""</formula>
    </cfRule>
  </conditionalFormatting>
  <conditionalFormatting sqref="C320">
    <cfRule type="expression" dxfId="1322" priority="3497">
      <formula>$G320&lt;&gt;"-"</formula>
    </cfRule>
  </conditionalFormatting>
  <conditionalFormatting sqref="D320">
    <cfRule type="expression" dxfId="1321" priority="3496">
      <formula>$H320&lt;&gt;"-"</formula>
    </cfRule>
  </conditionalFormatting>
  <conditionalFormatting sqref="E320">
    <cfRule type="expression" dxfId="1320" priority="3495">
      <formula>$I320&lt;&gt;"-"</formula>
    </cfRule>
  </conditionalFormatting>
  <conditionalFormatting sqref="B319">
    <cfRule type="expression" dxfId="1319" priority="3492">
      <formula>AD319&lt;&gt;""</formula>
    </cfRule>
  </conditionalFormatting>
  <conditionalFormatting sqref="Z319">
    <cfRule type="cellIs" dxfId="1318" priority="3490" operator="greaterThan">
      <formula>0</formula>
    </cfRule>
    <cfRule type="cellIs" dxfId="1317" priority="3491" operator="lessThan">
      <formula>0</formula>
    </cfRule>
  </conditionalFormatting>
  <conditionalFormatting sqref="S319">
    <cfRule type="cellIs" dxfId="1316" priority="3489" operator="lessThan">
      <formula>0</formula>
    </cfRule>
  </conditionalFormatting>
  <conditionalFormatting sqref="P319">
    <cfRule type="cellIs" dxfId="1315" priority="3487" operator="equal">
      <formula>AS_DURATION_EFFORT</formula>
    </cfRule>
    <cfRule type="cellIs" dxfId="1314" priority="3488" operator="equal">
      <formula>AS_DEV_EFFORT</formula>
    </cfRule>
  </conditionalFormatting>
  <conditionalFormatting sqref="F319">
    <cfRule type="expression" dxfId="1313" priority="3486">
      <formula>$K319&lt;&gt;""</formula>
    </cfRule>
  </conditionalFormatting>
  <conditionalFormatting sqref="C319">
    <cfRule type="expression" dxfId="1312" priority="3485">
      <formula>$G319&lt;&gt;"-"</formula>
    </cfRule>
  </conditionalFormatting>
  <conditionalFormatting sqref="D319">
    <cfRule type="expression" dxfId="1311" priority="3484">
      <formula>$H319&lt;&gt;"-"</formula>
    </cfRule>
  </conditionalFormatting>
  <conditionalFormatting sqref="E319">
    <cfRule type="expression" dxfId="1310" priority="3483">
      <formula>$I319&lt;&gt;"-"</formula>
    </cfRule>
  </conditionalFormatting>
  <conditionalFormatting sqref="B328">
    <cfRule type="expression" dxfId="1309" priority="3473">
      <formula>AD328&lt;&gt;""</formula>
    </cfRule>
  </conditionalFormatting>
  <conditionalFormatting sqref="Z328">
    <cfRule type="cellIs" dxfId="1308" priority="3471" operator="greaterThan">
      <formula>0</formula>
    </cfRule>
    <cfRule type="cellIs" dxfId="1307" priority="3472" operator="lessThan">
      <formula>0</formula>
    </cfRule>
  </conditionalFormatting>
  <conditionalFormatting sqref="S328">
    <cfRule type="cellIs" dxfId="1306" priority="3470" operator="lessThan">
      <formula>0</formula>
    </cfRule>
  </conditionalFormatting>
  <conditionalFormatting sqref="T326:T327">
    <cfRule type="expression" dxfId="1305" priority="3474">
      <formula>#REF!="Yes"</formula>
    </cfRule>
  </conditionalFormatting>
  <conditionalFormatting sqref="P328">
    <cfRule type="cellIs" dxfId="1304" priority="3468" operator="equal">
      <formula>AS_DURATION_EFFORT</formula>
    </cfRule>
    <cfRule type="cellIs" dxfId="1303" priority="3469" operator="equal">
      <formula>AS_DEV_EFFORT</formula>
    </cfRule>
  </conditionalFormatting>
  <conditionalFormatting sqref="B326:B327">
    <cfRule type="expression" dxfId="1302" priority="3467">
      <formula>AD326&lt;&gt;""</formula>
    </cfRule>
  </conditionalFormatting>
  <conditionalFormatting sqref="F328">
    <cfRule type="expression" dxfId="1301" priority="3466">
      <formula>$K328&lt;&gt;""</formula>
    </cfRule>
  </conditionalFormatting>
  <conditionalFormatting sqref="C328">
    <cfRule type="expression" dxfId="1300" priority="3465">
      <formula>$G328&lt;&gt;"-"</formula>
    </cfRule>
  </conditionalFormatting>
  <conditionalFormatting sqref="D328">
    <cfRule type="expression" dxfId="1299" priority="3464">
      <formula>$H328&lt;&gt;"-"</formula>
    </cfRule>
  </conditionalFormatting>
  <conditionalFormatting sqref="E328">
    <cfRule type="expression" dxfId="1298" priority="3463">
      <formula>$I328&lt;&gt;"-"</formula>
    </cfRule>
  </conditionalFormatting>
  <conditionalFormatting sqref="B18">
    <cfRule type="expression" dxfId="1297" priority="2520">
      <formula>AD18&lt;&gt;""</formula>
    </cfRule>
  </conditionalFormatting>
  <conditionalFormatting sqref="Z18">
    <cfRule type="cellIs" dxfId="1296" priority="2518" operator="greaterThan">
      <formula>0</formula>
    </cfRule>
    <cfRule type="cellIs" dxfId="1295" priority="2519" operator="lessThan">
      <formula>0</formula>
    </cfRule>
  </conditionalFormatting>
  <conditionalFormatting sqref="S18">
    <cfRule type="cellIs" dxfId="1294" priority="2517" operator="lessThan">
      <formula>0</formula>
    </cfRule>
  </conditionalFormatting>
  <conditionalFormatting sqref="L18:M18 O18 R18:AC18">
    <cfRule type="expression" dxfId="1293" priority="2521">
      <formula>AND($G18="Yes", $S$6="Exclude")</formula>
    </cfRule>
    <cfRule type="expression" dxfId="1292" priority="2522">
      <formula>$J18="Yes"</formula>
    </cfRule>
  </conditionalFormatting>
  <conditionalFormatting sqref="F18">
    <cfRule type="expression" dxfId="1291" priority="2514">
      <formula>$K18&lt;&gt;""</formula>
    </cfRule>
  </conditionalFormatting>
  <conditionalFormatting sqref="C18">
    <cfRule type="expression" dxfId="1290" priority="2513">
      <formula>$G18&lt;&gt;"-"</formula>
    </cfRule>
  </conditionalFormatting>
  <conditionalFormatting sqref="D18">
    <cfRule type="expression" dxfId="1289" priority="2512">
      <formula>$H18&lt;&gt;"-"</formula>
    </cfRule>
  </conditionalFormatting>
  <conditionalFormatting sqref="E18">
    <cfRule type="expression" dxfId="1288" priority="2511">
      <formula>$I18&lt;&gt;"-"</formula>
    </cfRule>
  </conditionalFormatting>
  <conditionalFormatting sqref="B28">
    <cfRule type="expression" dxfId="1287" priority="2507">
      <formula>AD28&lt;&gt;""</formula>
    </cfRule>
  </conditionalFormatting>
  <conditionalFormatting sqref="Z28">
    <cfRule type="cellIs" dxfId="1286" priority="2505" operator="greaterThan">
      <formula>0</formula>
    </cfRule>
    <cfRule type="cellIs" dxfId="1285" priority="2506" operator="lessThan">
      <formula>0</formula>
    </cfRule>
  </conditionalFormatting>
  <conditionalFormatting sqref="S28">
    <cfRule type="cellIs" dxfId="1284" priority="2504" operator="lessThan">
      <formula>0</formula>
    </cfRule>
  </conditionalFormatting>
  <conditionalFormatting sqref="T26:T27">
    <cfRule type="expression" dxfId="1283" priority="2508">
      <formula>#REF!="Yes"</formula>
    </cfRule>
  </conditionalFormatting>
  <conditionalFormatting sqref="P28">
    <cfRule type="cellIs" dxfId="1282" priority="2502" operator="equal">
      <formula>AS_DURATION_EFFORT</formula>
    </cfRule>
    <cfRule type="cellIs" dxfId="1281" priority="2503" operator="equal">
      <formula>AS_DEV_EFFORT</formula>
    </cfRule>
  </conditionalFormatting>
  <conditionalFormatting sqref="B26:B27">
    <cfRule type="expression" dxfId="1280" priority="2501">
      <formula>AD26&lt;&gt;""</formula>
    </cfRule>
  </conditionalFormatting>
  <conditionalFormatting sqref="F28">
    <cfRule type="expression" dxfId="1279" priority="2500">
      <formula>$K28&lt;&gt;""</formula>
    </cfRule>
  </conditionalFormatting>
  <conditionalFormatting sqref="C28">
    <cfRule type="expression" dxfId="1278" priority="2499">
      <formula>$G28&lt;&gt;"-"</formula>
    </cfRule>
  </conditionalFormatting>
  <conditionalFormatting sqref="D28">
    <cfRule type="expression" dxfId="1277" priority="2498">
      <formula>$H28&lt;&gt;"-"</formula>
    </cfRule>
  </conditionalFormatting>
  <conditionalFormatting sqref="E28">
    <cfRule type="expression" dxfId="1276" priority="2497">
      <formula>$I28&lt;&gt;"-"</formula>
    </cfRule>
  </conditionalFormatting>
  <conditionalFormatting sqref="B35">
    <cfRule type="expression" dxfId="1275" priority="2493">
      <formula>AD35&lt;&gt;""</formula>
    </cfRule>
  </conditionalFormatting>
  <conditionalFormatting sqref="Z35">
    <cfRule type="cellIs" dxfId="1274" priority="2491" operator="greaterThan">
      <formula>0</formula>
    </cfRule>
    <cfRule type="cellIs" dxfId="1273" priority="2492" operator="lessThan">
      <formula>0</formula>
    </cfRule>
  </conditionalFormatting>
  <conditionalFormatting sqref="S35">
    <cfRule type="cellIs" dxfId="1272" priority="2490" operator="lessThan">
      <formula>0</formula>
    </cfRule>
  </conditionalFormatting>
  <conditionalFormatting sqref="T33:T34">
    <cfRule type="expression" dxfId="1271" priority="2494">
      <formula>#REF!="Yes"</formula>
    </cfRule>
  </conditionalFormatting>
  <conditionalFormatting sqref="P35">
    <cfRule type="cellIs" dxfId="1270" priority="2488" operator="equal">
      <formula>AS_DURATION_EFFORT</formula>
    </cfRule>
    <cfRule type="cellIs" dxfId="1269" priority="2489" operator="equal">
      <formula>AS_DEV_EFFORT</formula>
    </cfRule>
  </conditionalFormatting>
  <conditionalFormatting sqref="B33:B34">
    <cfRule type="expression" dxfId="1268" priority="2487">
      <formula>AD33&lt;&gt;""</formula>
    </cfRule>
  </conditionalFormatting>
  <conditionalFormatting sqref="F35">
    <cfRule type="expression" dxfId="1267" priority="2486">
      <formula>$K35&lt;&gt;""</formula>
    </cfRule>
  </conditionalFormatting>
  <conditionalFormatting sqref="C35">
    <cfRule type="expression" dxfId="1266" priority="2485">
      <formula>$G35&lt;&gt;"-"</formula>
    </cfRule>
  </conditionalFormatting>
  <conditionalFormatting sqref="D35">
    <cfRule type="expression" dxfId="1265" priority="2484">
      <formula>$H35&lt;&gt;"-"</formula>
    </cfRule>
  </conditionalFormatting>
  <conditionalFormatting sqref="E35">
    <cfRule type="expression" dxfId="1264" priority="2483">
      <formula>$I35&lt;&gt;"-"</formula>
    </cfRule>
  </conditionalFormatting>
  <conditionalFormatting sqref="B41">
    <cfRule type="expression" dxfId="1263" priority="2479">
      <formula>AD41&lt;&gt;""</formula>
    </cfRule>
  </conditionalFormatting>
  <conditionalFormatting sqref="Z41">
    <cfRule type="cellIs" dxfId="1262" priority="2477" operator="greaterThan">
      <formula>0</formula>
    </cfRule>
    <cfRule type="cellIs" dxfId="1261" priority="2478" operator="lessThan">
      <formula>0</formula>
    </cfRule>
  </conditionalFormatting>
  <conditionalFormatting sqref="S41">
    <cfRule type="cellIs" dxfId="1260" priority="2476" operator="lessThan">
      <formula>0</formula>
    </cfRule>
  </conditionalFormatting>
  <conditionalFormatting sqref="T39:T40">
    <cfRule type="expression" dxfId="1259" priority="2480">
      <formula>#REF!="Yes"</formula>
    </cfRule>
  </conditionalFormatting>
  <conditionalFormatting sqref="P41">
    <cfRule type="cellIs" dxfId="1258" priority="2474" operator="equal">
      <formula>AS_DURATION_EFFORT</formula>
    </cfRule>
    <cfRule type="cellIs" dxfId="1257" priority="2475" operator="equal">
      <formula>AS_DEV_EFFORT</formula>
    </cfRule>
  </conditionalFormatting>
  <conditionalFormatting sqref="B39:B40">
    <cfRule type="expression" dxfId="1256" priority="2473">
      <formula>AD39&lt;&gt;""</formula>
    </cfRule>
  </conditionalFormatting>
  <conditionalFormatting sqref="F41">
    <cfRule type="expression" dxfId="1255" priority="2472">
      <formula>$K41&lt;&gt;""</formula>
    </cfRule>
  </conditionalFormatting>
  <conditionalFormatting sqref="C41">
    <cfRule type="expression" dxfId="1254" priority="2471">
      <formula>$G41&lt;&gt;"-"</formula>
    </cfRule>
  </conditionalFormatting>
  <conditionalFormatting sqref="D41">
    <cfRule type="expression" dxfId="1253" priority="2470">
      <formula>$H41&lt;&gt;"-"</formula>
    </cfRule>
  </conditionalFormatting>
  <conditionalFormatting sqref="E41">
    <cfRule type="expression" dxfId="1252" priority="2469">
      <formula>$I41&lt;&gt;"-"</formula>
    </cfRule>
  </conditionalFormatting>
  <conditionalFormatting sqref="T45:T46">
    <cfRule type="expression" dxfId="1251" priority="2466">
      <formula>#REF!="Yes"</formula>
    </cfRule>
  </conditionalFormatting>
  <conditionalFormatting sqref="B45:B46">
    <cfRule type="expression" dxfId="1250" priority="2459">
      <formula>AD45&lt;&gt;""</formula>
    </cfRule>
  </conditionalFormatting>
  <conditionalFormatting sqref="B53">
    <cfRule type="expression" dxfId="1249" priority="2451">
      <formula>AD53&lt;&gt;""</formula>
    </cfRule>
  </conditionalFormatting>
  <conditionalFormatting sqref="Z53">
    <cfRule type="cellIs" dxfId="1248" priority="2449" operator="greaterThan">
      <formula>0</formula>
    </cfRule>
    <cfRule type="cellIs" dxfId="1247" priority="2450" operator="lessThan">
      <formula>0</formula>
    </cfRule>
  </conditionalFormatting>
  <conditionalFormatting sqref="S53">
    <cfRule type="cellIs" dxfId="1246" priority="2448" operator="lessThan">
      <formula>0</formula>
    </cfRule>
  </conditionalFormatting>
  <conditionalFormatting sqref="T51:T52">
    <cfRule type="expression" dxfId="1245" priority="2452">
      <formula>#REF!="Yes"</formula>
    </cfRule>
  </conditionalFormatting>
  <conditionalFormatting sqref="P53">
    <cfRule type="cellIs" dxfId="1244" priority="2446" operator="equal">
      <formula>AS_DURATION_EFFORT</formula>
    </cfRule>
    <cfRule type="cellIs" dxfId="1243" priority="2447" operator="equal">
      <formula>AS_DEV_EFFORT</formula>
    </cfRule>
  </conditionalFormatting>
  <conditionalFormatting sqref="B51:B52">
    <cfRule type="expression" dxfId="1242" priority="2445">
      <formula>AD51&lt;&gt;""</formula>
    </cfRule>
  </conditionalFormatting>
  <conditionalFormatting sqref="F53">
    <cfRule type="expression" dxfId="1241" priority="2444">
      <formula>$K53&lt;&gt;""</formula>
    </cfRule>
  </conditionalFormatting>
  <conditionalFormatting sqref="C53">
    <cfRule type="expression" dxfId="1240" priority="2443">
      <formula>$G53&lt;&gt;"-"</formula>
    </cfRule>
  </conditionalFormatting>
  <conditionalFormatting sqref="D53">
    <cfRule type="expression" dxfId="1239" priority="2442">
      <formula>$H53&lt;&gt;"-"</formula>
    </cfRule>
  </conditionalFormatting>
  <conditionalFormatting sqref="E53">
    <cfRule type="expression" dxfId="1238" priority="2441">
      <formula>$I53&lt;&gt;"-"</formula>
    </cfRule>
  </conditionalFormatting>
  <conditionalFormatting sqref="N18">
    <cfRule type="expression" dxfId="1237" priority="2439">
      <formula>AND($G18="Yes", $S$6="Exclude")</formula>
    </cfRule>
    <cfRule type="expression" dxfId="1236" priority="2440">
      <formula>$J18="Yes"</formula>
    </cfRule>
  </conditionalFormatting>
  <conditionalFormatting sqref="P18">
    <cfRule type="cellIs" dxfId="1235" priority="2435" operator="equal">
      <formula>AS_DURATION_EFFORT</formula>
    </cfRule>
    <cfRule type="cellIs" dxfId="1234" priority="2436" operator="equal">
      <formula>AS_DEV_EFFORT</formula>
    </cfRule>
  </conditionalFormatting>
  <conditionalFormatting sqref="P18:Q18">
    <cfRule type="expression" dxfId="1233" priority="2437">
      <formula>AND($G18="Yes", $S$6="Exclude")</formula>
    </cfRule>
    <cfRule type="expression" dxfId="1232" priority="2438">
      <formula>$J18="Yes"</formula>
    </cfRule>
  </conditionalFormatting>
  <conditionalFormatting sqref="B22">
    <cfRule type="expression" dxfId="1231" priority="2432">
      <formula>AD22&lt;&gt;""</formula>
    </cfRule>
  </conditionalFormatting>
  <conditionalFormatting sqref="Z22">
    <cfRule type="cellIs" dxfId="1230" priority="2430" operator="greaterThan">
      <formula>0</formula>
    </cfRule>
    <cfRule type="cellIs" dxfId="1229" priority="2431" operator="lessThan">
      <formula>0</formula>
    </cfRule>
  </conditionalFormatting>
  <conditionalFormatting sqref="S22">
    <cfRule type="cellIs" dxfId="1228" priority="2429" operator="lessThan">
      <formula>0</formula>
    </cfRule>
  </conditionalFormatting>
  <conditionalFormatting sqref="P22">
    <cfRule type="cellIs" dxfId="1227" priority="2427" operator="equal">
      <formula>AS_DURATION_EFFORT</formula>
    </cfRule>
    <cfRule type="cellIs" dxfId="1226" priority="2428" operator="equal">
      <formula>AS_DEV_EFFORT</formula>
    </cfRule>
  </conditionalFormatting>
  <conditionalFormatting sqref="L22:M22 O22:AC22">
    <cfRule type="expression" dxfId="1225" priority="2433">
      <formula>AND($G22="Yes", $S$6="Exclude")</formula>
    </cfRule>
    <cfRule type="expression" dxfId="1224" priority="2434">
      <formula>$J22="Yes"</formula>
    </cfRule>
  </conditionalFormatting>
  <conditionalFormatting sqref="F22">
    <cfRule type="expression" dxfId="1223" priority="2426">
      <formula>$K22&lt;&gt;""</formula>
    </cfRule>
  </conditionalFormatting>
  <conditionalFormatting sqref="C22">
    <cfRule type="expression" dxfId="1222" priority="2425">
      <formula>$G22&lt;&gt;"-"</formula>
    </cfRule>
  </conditionalFormatting>
  <conditionalFormatting sqref="D22">
    <cfRule type="expression" dxfId="1221" priority="2424">
      <formula>$H22&lt;&gt;"-"</formula>
    </cfRule>
  </conditionalFormatting>
  <conditionalFormatting sqref="E22">
    <cfRule type="expression" dxfId="1220" priority="2423">
      <formula>$I22&lt;&gt;"-"</formula>
    </cfRule>
  </conditionalFormatting>
  <conditionalFormatting sqref="N22">
    <cfRule type="expression" dxfId="1219" priority="2421">
      <formula>AND($G22="Yes", $S$6="Exclude")</formula>
    </cfRule>
    <cfRule type="expression" dxfId="1218" priority="2422">
      <formula>$J22="Yes"</formula>
    </cfRule>
  </conditionalFormatting>
  <conditionalFormatting sqref="B31">
    <cfRule type="expression" dxfId="1217" priority="2418">
      <formula>AD31&lt;&gt;""</formula>
    </cfRule>
  </conditionalFormatting>
  <conditionalFormatting sqref="Z31">
    <cfRule type="cellIs" dxfId="1216" priority="2416" operator="greaterThan">
      <formula>0</formula>
    </cfRule>
    <cfRule type="cellIs" dxfId="1215" priority="2417" operator="lessThan">
      <formula>0</formula>
    </cfRule>
  </conditionalFormatting>
  <conditionalFormatting sqref="S31">
    <cfRule type="cellIs" dxfId="1214" priority="2415" operator="lessThan">
      <formula>0</formula>
    </cfRule>
  </conditionalFormatting>
  <conditionalFormatting sqref="P31">
    <cfRule type="cellIs" dxfId="1213" priority="2413" operator="equal">
      <formula>AS_DURATION_EFFORT</formula>
    </cfRule>
    <cfRule type="cellIs" dxfId="1212" priority="2414" operator="equal">
      <formula>AS_DEV_EFFORT</formula>
    </cfRule>
  </conditionalFormatting>
  <conditionalFormatting sqref="L31:M31 O31:AC31">
    <cfRule type="expression" dxfId="1211" priority="2419">
      <formula>AND($G31="Yes", $S$6="Exclude")</formula>
    </cfRule>
    <cfRule type="expression" dxfId="1210" priority="2420">
      <formula>$J31="Yes"</formula>
    </cfRule>
  </conditionalFormatting>
  <conditionalFormatting sqref="F31">
    <cfRule type="expression" dxfId="1209" priority="2412">
      <formula>$K31&lt;&gt;""</formula>
    </cfRule>
  </conditionalFormatting>
  <conditionalFormatting sqref="C31">
    <cfRule type="expression" dxfId="1208" priority="2411">
      <formula>$G31&lt;&gt;"-"</formula>
    </cfRule>
  </conditionalFormatting>
  <conditionalFormatting sqref="D31">
    <cfRule type="expression" dxfId="1207" priority="2410">
      <formula>$H31&lt;&gt;"-"</formula>
    </cfRule>
  </conditionalFormatting>
  <conditionalFormatting sqref="E31">
    <cfRule type="expression" dxfId="1206" priority="2409">
      <formula>$I31&lt;&gt;"-"</formula>
    </cfRule>
  </conditionalFormatting>
  <conditionalFormatting sqref="B30">
    <cfRule type="expression" dxfId="1205" priority="2406">
      <formula>AD30&lt;&gt;""</formula>
    </cfRule>
  </conditionalFormatting>
  <conditionalFormatting sqref="Z30">
    <cfRule type="cellIs" dxfId="1204" priority="2404" operator="greaterThan">
      <formula>0</formula>
    </cfRule>
    <cfRule type="cellIs" dxfId="1203" priority="2405" operator="lessThan">
      <formula>0</formula>
    </cfRule>
  </conditionalFormatting>
  <conditionalFormatting sqref="S30">
    <cfRule type="cellIs" dxfId="1202" priority="2403" operator="lessThan">
      <formula>0</formula>
    </cfRule>
  </conditionalFormatting>
  <conditionalFormatting sqref="P30">
    <cfRule type="cellIs" dxfId="1201" priority="2401" operator="equal">
      <formula>AS_DURATION_EFFORT</formula>
    </cfRule>
    <cfRule type="cellIs" dxfId="1200" priority="2402" operator="equal">
      <formula>AS_DEV_EFFORT</formula>
    </cfRule>
  </conditionalFormatting>
  <conditionalFormatting sqref="L30:M30 P30:AC30">
    <cfRule type="expression" dxfId="1199" priority="2407">
      <formula>AND($G30="Yes", $S$6="Exclude")</formula>
    </cfRule>
    <cfRule type="expression" dxfId="1198" priority="2408">
      <formula>$J30="Yes"</formula>
    </cfRule>
  </conditionalFormatting>
  <conditionalFormatting sqref="F30">
    <cfRule type="expression" dxfId="1197" priority="2400">
      <formula>$K30&lt;&gt;""</formula>
    </cfRule>
  </conditionalFormatting>
  <conditionalFormatting sqref="C30">
    <cfRule type="expression" dxfId="1196" priority="2399">
      <formula>$G30&lt;&gt;"-"</formula>
    </cfRule>
  </conditionalFormatting>
  <conditionalFormatting sqref="D30">
    <cfRule type="expression" dxfId="1195" priority="2398">
      <formula>$H30&lt;&gt;"-"</formula>
    </cfRule>
  </conditionalFormatting>
  <conditionalFormatting sqref="E30">
    <cfRule type="expression" dxfId="1194" priority="2397">
      <formula>$I30&lt;&gt;"-"</formula>
    </cfRule>
  </conditionalFormatting>
  <conditionalFormatting sqref="B29">
    <cfRule type="expression" dxfId="1193" priority="2394">
      <formula>AD29&lt;&gt;""</formula>
    </cfRule>
  </conditionalFormatting>
  <conditionalFormatting sqref="Z29">
    <cfRule type="cellIs" dxfId="1192" priority="2392" operator="greaterThan">
      <formula>0</formula>
    </cfRule>
    <cfRule type="cellIs" dxfId="1191" priority="2393" operator="lessThan">
      <formula>0</formula>
    </cfRule>
  </conditionalFormatting>
  <conditionalFormatting sqref="S29">
    <cfRule type="cellIs" dxfId="1190" priority="2391" operator="lessThan">
      <formula>0</formula>
    </cfRule>
  </conditionalFormatting>
  <conditionalFormatting sqref="P29">
    <cfRule type="cellIs" dxfId="1189" priority="2389" operator="equal">
      <formula>AS_DURATION_EFFORT</formula>
    </cfRule>
    <cfRule type="cellIs" dxfId="1188" priority="2390" operator="equal">
      <formula>AS_DEV_EFFORT</formula>
    </cfRule>
  </conditionalFormatting>
  <conditionalFormatting sqref="L29:M29 P29:AC29">
    <cfRule type="expression" dxfId="1187" priority="2395">
      <formula>AND($G29="Yes", $S$6="Exclude")</formula>
    </cfRule>
    <cfRule type="expression" dxfId="1186" priority="2396">
      <formula>$J29="Yes"</formula>
    </cfRule>
  </conditionalFormatting>
  <conditionalFormatting sqref="F29">
    <cfRule type="expression" dxfId="1185" priority="2388">
      <formula>$K29&lt;&gt;""</formula>
    </cfRule>
  </conditionalFormatting>
  <conditionalFormatting sqref="C29">
    <cfRule type="expression" dxfId="1184" priority="2387">
      <formula>$G29&lt;&gt;"-"</formula>
    </cfRule>
  </conditionalFormatting>
  <conditionalFormatting sqref="D29">
    <cfRule type="expression" dxfId="1183" priority="2386">
      <formula>$H29&lt;&gt;"-"</formula>
    </cfRule>
  </conditionalFormatting>
  <conditionalFormatting sqref="E29">
    <cfRule type="expression" dxfId="1182" priority="2385">
      <formula>$I29&lt;&gt;"-"</formula>
    </cfRule>
  </conditionalFormatting>
  <conditionalFormatting sqref="N30:N31">
    <cfRule type="expression" dxfId="1181" priority="2383">
      <formula>AND($G30="Yes", $S$6="Exclude")</formula>
    </cfRule>
    <cfRule type="expression" dxfId="1180" priority="2384">
      <formula>$J30="Yes"</formula>
    </cfRule>
  </conditionalFormatting>
  <conditionalFormatting sqref="N28">
    <cfRule type="expression" dxfId="1179" priority="2381">
      <formula>AND($G28="Yes", $S$6="Exclude")</formula>
    </cfRule>
    <cfRule type="expression" dxfId="1178" priority="2382">
      <formula>$J28="Yes"</formula>
    </cfRule>
  </conditionalFormatting>
  <conditionalFormatting sqref="N29">
    <cfRule type="expression" dxfId="1177" priority="2379">
      <formula>AND($G29="Yes", $S$6="Exclude")</formula>
    </cfRule>
    <cfRule type="expression" dxfId="1176" priority="2380">
      <formula>$J29="Yes"</formula>
    </cfRule>
  </conditionalFormatting>
  <conditionalFormatting sqref="O30">
    <cfRule type="expression" dxfId="1175" priority="2377">
      <formula>AND($G30="Yes", $S$6="Exclude")</formula>
    </cfRule>
    <cfRule type="expression" dxfId="1174" priority="2378">
      <formula>$J30="Yes"</formula>
    </cfRule>
  </conditionalFormatting>
  <conditionalFormatting sqref="O29">
    <cfRule type="expression" dxfId="1173" priority="2375">
      <formula>AND($G29="Yes", $S$6="Exclude")</formula>
    </cfRule>
    <cfRule type="expression" dxfId="1172" priority="2376">
      <formula>$J29="Yes"</formula>
    </cfRule>
  </conditionalFormatting>
  <conditionalFormatting sqref="B37">
    <cfRule type="expression" dxfId="1171" priority="2372">
      <formula>AD37&lt;&gt;""</formula>
    </cfRule>
  </conditionalFormatting>
  <conditionalFormatting sqref="Z37">
    <cfRule type="cellIs" dxfId="1170" priority="2370" operator="greaterThan">
      <formula>0</formula>
    </cfRule>
    <cfRule type="cellIs" dxfId="1169" priority="2371" operator="lessThan">
      <formula>0</formula>
    </cfRule>
  </conditionalFormatting>
  <conditionalFormatting sqref="S37">
    <cfRule type="cellIs" dxfId="1168" priority="2369" operator="lessThan">
      <formula>0</formula>
    </cfRule>
  </conditionalFormatting>
  <conditionalFormatting sqref="P37">
    <cfRule type="cellIs" dxfId="1167" priority="2367" operator="equal">
      <formula>AS_DURATION_EFFORT</formula>
    </cfRule>
    <cfRule type="cellIs" dxfId="1166" priority="2368" operator="equal">
      <formula>AS_DEV_EFFORT</formula>
    </cfRule>
  </conditionalFormatting>
  <conditionalFormatting sqref="F37">
    <cfRule type="expression" dxfId="1165" priority="2366">
      <formula>$K37&lt;&gt;""</formula>
    </cfRule>
  </conditionalFormatting>
  <conditionalFormatting sqref="C37">
    <cfRule type="expression" dxfId="1164" priority="2365">
      <formula>$G37&lt;&gt;"-"</formula>
    </cfRule>
  </conditionalFormatting>
  <conditionalFormatting sqref="D37">
    <cfRule type="expression" dxfId="1163" priority="2364">
      <formula>$H37&lt;&gt;"-"</formula>
    </cfRule>
  </conditionalFormatting>
  <conditionalFormatting sqref="E37">
    <cfRule type="expression" dxfId="1162" priority="2363">
      <formula>$I37&lt;&gt;"-"</formula>
    </cfRule>
  </conditionalFormatting>
  <conditionalFormatting sqref="B36">
    <cfRule type="expression" dxfId="1161" priority="2348">
      <formula>AD36&lt;&gt;""</formula>
    </cfRule>
  </conditionalFormatting>
  <conditionalFormatting sqref="Z36">
    <cfRule type="cellIs" dxfId="1160" priority="2346" operator="greaterThan">
      <formula>0</formula>
    </cfRule>
    <cfRule type="cellIs" dxfId="1159" priority="2347" operator="lessThan">
      <formula>0</formula>
    </cfRule>
  </conditionalFormatting>
  <conditionalFormatting sqref="S36">
    <cfRule type="cellIs" dxfId="1158" priority="2345" operator="lessThan">
      <formula>0</formula>
    </cfRule>
  </conditionalFormatting>
  <conditionalFormatting sqref="P36">
    <cfRule type="cellIs" dxfId="1157" priority="2343" operator="equal">
      <formula>AS_DURATION_EFFORT</formula>
    </cfRule>
    <cfRule type="cellIs" dxfId="1156" priority="2344" operator="equal">
      <formula>AS_DEV_EFFORT</formula>
    </cfRule>
  </conditionalFormatting>
  <conditionalFormatting sqref="F36">
    <cfRule type="expression" dxfId="1155" priority="2342">
      <formula>$K36&lt;&gt;""</formula>
    </cfRule>
  </conditionalFormatting>
  <conditionalFormatting sqref="C36">
    <cfRule type="expression" dxfId="1154" priority="2341">
      <formula>$G36&lt;&gt;"-"</formula>
    </cfRule>
  </conditionalFormatting>
  <conditionalFormatting sqref="D36">
    <cfRule type="expression" dxfId="1153" priority="2340">
      <formula>$H36&lt;&gt;"-"</formula>
    </cfRule>
  </conditionalFormatting>
  <conditionalFormatting sqref="E36">
    <cfRule type="expression" dxfId="1152" priority="2339">
      <formula>$I36&lt;&gt;"-"</formula>
    </cfRule>
  </conditionalFormatting>
  <conditionalFormatting sqref="N35">
    <cfRule type="expression" dxfId="1151" priority="2325">
      <formula>AND($G35="Yes", $S$6="Exclude")</formula>
    </cfRule>
    <cfRule type="expression" dxfId="1150" priority="2326">
      <formula>$J35="Yes"</formula>
    </cfRule>
  </conditionalFormatting>
  <conditionalFormatting sqref="B43">
    <cfRule type="expression" dxfId="1149" priority="2308">
      <formula>AD43&lt;&gt;""</formula>
    </cfRule>
  </conditionalFormatting>
  <conditionalFormatting sqref="Z43">
    <cfRule type="cellIs" dxfId="1148" priority="2306" operator="greaterThan">
      <formula>0</formula>
    </cfRule>
    <cfRule type="cellIs" dxfId="1147" priority="2307" operator="lessThan">
      <formula>0</formula>
    </cfRule>
  </conditionalFormatting>
  <conditionalFormatting sqref="S43">
    <cfRule type="cellIs" dxfId="1146" priority="2305" operator="lessThan">
      <formula>0</formula>
    </cfRule>
  </conditionalFormatting>
  <conditionalFormatting sqref="P43">
    <cfRule type="cellIs" dxfId="1145" priority="2303" operator="equal">
      <formula>AS_DURATION_EFFORT</formula>
    </cfRule>
    <cfRule type="cellIs" dxfId="1144" priority="2304" operator="equal">
      <formula>AS_DEV_EFFORT</formula>
    </cfRule>
  </conditionalFormatting>
  <conditionalFormatting sqref="F43">
    <cfRule type="expression" dxfId="1143" priority="2302">
      <formula>$K43&lt;&gt;""</formula>
    </cfRule>
  </conditionalFormatting>
  <conditionalFormatting sqref="C43">
    <cfRule type="expression" dxfId="1142" priority="2301">
      <formula>$G43&lt;&gt;"-"</formula>
    </cfRule>
  </conditionalFormatting>
  <conditionalFormatting sqref="D43">
    <cfRule type="expression" dxfId="1141" priority="2300">
      <formula>$H43&lt;&gt;"-"</formula>
    </cfRule>
  </conditionalFormatting>
  <conditionalFormatting sqref="E43">
    <cfRule type="expression" dxfId="1140" priority="2299">
      <formula>$I43&lt;&gt;"-"</formula>
    </cfRule>
  </conditionalFormatting>
  <conditionalFormatting sqref="B42">
    <cfRule type="expression" dxfId="1139" priority="2296">
      <formula>AD42&lt;&gt;""</formula>
    </cfRule>
  </conditionalFormatting>
  <conditionalFormatting sqref="Z42">
    <cfRule type="cellIs" dxfId="1138" priority="2294" operator="greaterThan">
      <formula>0</formula>
    </cfRule>
    <cfRule type="cellIs" dxfId="1137" priority="2295" operator="lessThan">
      <formula>0</formula>
    </cfRule>
  </conditionalFormatting>
  <conditionalFormatting sqref="S42">
    <cfRule type="cellIs" dxfId="1136" priority="2293" operator="lessThan">
      <formula>0</formula>
    </cfRule>
  </conditionalFormatting>
  <conditionalFormatting sqref="P42">
    <cfRule type="cellIs" dxfId="1135" priority="2291" operator="equal">
      <formula>AS_DURATION_EFFORT</formula>
    </cfRule>
    <cfRule type="cellIs" dxfId="1134" priority="2292" operator="equal">
      <formula>AS_DEV_EFFORT</formula>
    </cfRule>
  </conditionalFormatting>
  <conditionalFormatting sqref="F42">
    <cfRule type="expression" dxfId="1133" priority="2290">
      <formula>$K42&lt;&gt;""</formula>
    </cfRule>
  </conditionalFormatting>
  <conditionalFormatting sqref="C42">
    <cfRule type="expression" dxfId="1132" priority="2289">
      <formula>$G42&lt;&gt;"-"</formula>
    </cfRule>
  </conditionalFormatting>
  <conditionalFormatting sqref="D42">
    <cfRule type="expression" dxfId="1131" priority="2288">
      <formula>$H42&lt;&gt;"-"</formula>
    </cfRule>
  </conditionalFormatting>
  <conditionalFormatting sqref="E42">
    <cfRule type="expression" dxfId="1130" priority="2287">
      <formula>$I42&lt;&gt;"-"</formula>
    </cfRule>
  </conditionalFormatting>
  <conditionalFormatting sqref="P41">
    <cfRule type="cellIs" dxfId="1129" priority="2283" operator="equal">
      <formula>AS_DURATION_EFFORT</formula>
    </cfRule>
    <cfRule type="cellIs" dxfId="1128" priority="2284" operator="equal">
      <formula>AS_DEV_EFFORT</formula>
    </cfRule>
  </conditionalFormatting>
  <conditionalFormatting sqref="B49">
    <cfRule type="expression" dxfId="1127" priority="2280">
      <formula>AD49&lt;&gt;""</formula>
    </cfRule>
  </conditionalFormatting>
  <conditionalFormatting sqref="Z49">
    <cfRule type="cellIs" dxfId="1126" priority="2278" operator="greaterThan">
      <formula>0</formula>
    </cfRule>
    <cfRule type="cellIs" dxfId="1125" priority="2279" operator="lessThan">
      <formula>0</formula>
    </cfRule>
  </conditionalFormatting>
  <conditionalFormatting sqref="S49">
    <cfRule type="cellIs" dxfId="1124" priority="2277" operator="lessThan">
      <formula>0</formula>
    </cfRule>
  </conditionalFormatting>
  <conditionalFormatting sqref="P49">
    <cfRule type="cellIs" dxfId="1123" priority="2275" operator="equal">
      <formula>AS_DURATION_EFFORT</formula>
    </cfRule>
    <cfRule type="cellIs" dxfId="1122" priority="2276" operator="equal">
      <formula>AS_DEV_EFFORT</formula>
    </cfRule>
  </conditionalFormatting>
  <conditionalFormatting sqref="F49">
    <cfRule type="expression" dxfId="1121" priority="2274">
      <formula>$K49&lt;&gt;""</formula>
    </cfRule>
  </conditionalFormatting>
  <conditionalFormatting sqref="C49">
    <cfRule type="expression" dxfId="1120" priority="2273">
      <formula>$G49&lt;&gt;"-"</formula>
    </cfRule>
  </conditionalFormatting>
  <conditionalFormatting sqref="D49">
    <cfRule type="expression" dxfId="1119" priority="2272">
      <formula>$H49&lt;&gt;"-"</formula>
    </cfRule>
  </conditionalFormatting>
  <conditionalFormatting sqref="E49">
    <cfRule type="expression" dxfId="1118" priority="2271">
      <formula>$I49&lt;&gt;"-"</formula>
    </cfRule>
  </conditionalFormatting>
  <conditionalFormatting sqref="B48">
    <cfRule type="expression" dxfId="1117" priority="2268">
      <formula>AD48&lt;&gt;""</formula>
    </cfRule>
  </conditionalFormatting>
  <conditionalFormatting sqref="Z48">
    <cfRule type="cellIs" dxfId="1116" priority="2266" operator="greaterThan">
      <formula>0</formula>
    </cfRule>
    <cfRule type="cellIs" dxfId="1115" priority="2267" operator="lessThan">
      <formula>0</formula>
    </cfRule>
  </conditionalFormatting>
  <conditionalFormatting sqref="S48">
    <cfRule type="cellIs" dxfId="1114" priority="2265" operator="lessThan">
      <formula>0</formula>
    </cfRule>
  </conditionalFormatting>
  <conditionalFormatting sqref="P48">
    <cfRule type="cellIs" dxfId="1113" priority="2263" operator="equal">
      <formula>AS_DURATION_EFFORT</formula>
    </cfRule>
    <cfRule type="cellIs" dxfId="1112" priority="2264" operator="equal">
      <formula>AS_DEV_EFFORT</formula>
    </cfRule>
  </conditionalFormatting>
  <conditionalFormatting sqref="F48">
    <cfRule type="expression" dxfId="1111" priority="2262">
      <formula>$K48&lt;&gt;""</formula>
    </cfRule>
  </conditionalFormatting>
  <conditionalFormatting sqref="C48">
    <cfRule type="expression" dxfId="1110" priority="2261">
      <formula>$G48&lt;&gt;"-"</formula>
    </cfRule>
  </conditionalFormatting>
  <conditionalFormatting sqref="D48">
    <cfRule type="expression" dxfId="1109" priority="2260">
      <formula>$H48&lt;&gt;"-"</formula>
    </cfRule>
  </conditionalFormatting>
  <conditionalFormatting sqref="E48">
    <cfRule type="expression" dxfId="1108" priority="2259">
      <formula>$I48&lt;&gt;"-"</formula>
    </cfRule>
  </conditionalFormatting>
  <conditionalFormatting sqref="B47">
    <cfRule type="expression" dxfId="1107" priority="2232">
      <formula>AD47&lt;&gt;""</formula>
    </cfRule>
  </conditionalFormatting>
  <conditionalFormatting sqref="Z47">
    <cfRule type="cellIs" dxfId="1106" priority="2230" operator="greaterThan">
      <formula>0</formula>
    </cfRule>
    <cfRule type="cellIs" dxfId="1105" priority="2231" operator="lessThan">
      <formula>0</formula>
    </cfRule>
  </conditionalFormatting>
  <conditionalFormatting sqref="S47">
    <cfRule type="cellIs" dxfId="1104" priority="2229" operator="lessThan">
      <formula>0</formula>
    </cfRule>
  </conditionalFormatting>
  <conditionalFormatting sqref="P47">
    <cfRule type="cellIs" dxfId="1103" priority="2227" operator="equal">
      <formula>AS_DURATION_EFFORT</formula>
    </cfRule>
    <cfRule type="cellIs" dxfId="1102" priority="2228" operator="equal">
      <formula>AS_DEV_EFFORT</formula>
    </cfRule>
  </conditionalFormatting>
  <conditionalFormatting sqref="F47">
    <cfRule type="expression" dxfId="1101" priority="2226">
      <formula>$K47&lt;&gt;""</formula>
    </cfRule>
  </conditionalFormatting>
  <conditionalFormatting sqref="C47">
    <cfRule type="expression" dxfId="1100" priority="2225">
      <formula>$G47&lt;&gt;"-"</formula>
    </cfRule>
  </conditionalFormatting>
  <conditionalFormatting sqref="D47">
    <cfRule type="expression" dxfId="1099" priority="2224">
      <formula>$H47&lt;&gt;"-"</formula>
    </cfRule>
  </conditionalFormatting>
  <conditionalFormatting sqref="E47">
    <cfRule type="expression" dxfId="1098" priority="2223">
      <formula>$I47&lt;&gt;"-"</formula>
    </cfRule>
  </conditionalFormatting>
  <conditionalFormatting sqref="B56">
    <cfRule type="expression" dxfId="1097" priority="2218">
      <formula>AD56&lt;&gt;""</formula>
    </cfRule>
  </conditionalFormatting>
  <conditionalFormatting sqref="Z56">
    <cfRule type="cellIs" dxfId="1096" priority="2216" operator="greaterThan">
      <formula>0</formula>
    </cfRule>
    <cfRule type="cellIs" dxfId="1095" priority="2217" operator="lessThan">
      <formula>0</formula>
    </cfRule>
  </conditionalFormatting>
  <conditionalFormatting sqref="S56">
    <cfRule type="cellIs" dxfId="1094" priority="2215" operator="lessThan">
      <formula>0</formula>
    </cfRule>
  </conditionalFormatting>
  <conditionalFormatting sqref="P56">
    <cfRule type="cellIs" dxfId="1093" priority="2213" operator="equal">
      <formula>AS_DURATION_EFFORT</formula>
    </cfRule>
    <cfRule type="cellIs" dxfId="1092" priority="2214" operator="equal">
      <formula>AS_DEV_EFFORT</formula>
    </cfRule>
  </conditionalFormatting>
  <conditionalFormatting sqref="F56">
    <cfRule type="expression" dxfId="1091" priority="2212">
      <formula>$K56&lt;&gt;""</formula>
    </cfRule>
  </conditionalFormatting>
  <conditionalFormatting sqref="C56">
    <cfRule type="expression" dxfId="1090" priority="2211">
      <formula>$G56&lt;&gt;"-"</formula>
    </cfRule>
  </conditionalFormatting>
  <conditionalFormatting sqref="D56">
    <cfRule type="expression" dxfId="1089" priority="2210">
      <formula>$H56&lt;&gt;"-"</formula>
    </cfRule>
  </conditionalFormatting>
  <conditionalFormatting sqref="E56">
    <cfRule type="expression" dxfId="1088" priority="2209">
      <formula>$I56&lt;&gt;"-"</formula>
    </cfRule>
  </conditionalFormatting>
  <conditionalFormatting sqref="B55">
    <cfRule type="expression" dxfId="1087" priority="2206">
      <formula>AD55&lt;&gt;""</formula>
    </cfRule>
  </conditionalFormatting>
  <conditionalFormatting sqref="Z55">
    <cfRule type="cellIs" dxfId="1086" priority="2204" operator="greaterThan">
      <formula>0</formula>
    </cfRule>
    <cfRule type="cellIs" dxfId="1085" priority="2205" operator="lessThan">
      <formula>0</formula>
    </cfRule>
  </conditionalFormatting>
  <conditionalFormatting sqref="S55">
    <cfRule type="cellIs" dxfId="1084" priority="2203" operator="lessThan">
      <formula>0</formula>
    </cfRule>
  </conditionalFormatting>
  <conditionalFormatting sqref="P55">
    <cfRule type="cellIs" dxfId="1083" priority="2201" operator="equal">
      <formula>AS_DURATION_EFFORT</formula>
    </cfRule>
    <cfRule type="cellIs" dxfId="1082" priority="2202" operator="equal">
      <formula>AS_DEV_EFFORT</formula>
    </cfRule>
  </conditionalFormatting>
  <conditionalFormatting sqref="F55">
    <cfRule type="expression" dxfId="1081" priority="2200">
      <formula>$K55&lt;&gt;""</formula>
    </cfRule>
  </conditionalFormatting>
  <conditionalFormatting sqref="C55">
    <cfRule type="expression" dxfId="1080" priority="2199">
      <formula>$G55&lt;&gt;"-"</formula>
    </cfRule>
  </conditionalFormatting>
  <conditionalFormatting sqref="D55">
    <cfRule type="expression" dxfId="1079" priority="2198">
      <formula>$H55&lt;&gt;"-"</formula>
    </cfRule>
  </conditionalFormatting>
  <conditionalFormatting sqref="E55">
    <cfRule type="expression" dxfId="1078" priority="2197">
      <formula>$I55&lt;&gt;"-"</formula>
    </cfRule>
  </conditionalFormatting>
  <conditionalFormatting sqref="B54">
    <cfRule type="expression" dxfId="1077" priority="2182">
      <formula>AD54&lt;&gt;""</formula>
    </cfRule>
  </conditionalFormatting>
  <conditionalFormatting sqref="Z54">
    <cfRule type="cellIs" dxfId="1076" priority="2180" operator="greaterThan">
      <formula>0</formula>
    </cfRule>
    <cfRule type="cellIs" dxfId="1075" priority="2181" operator="lessThan">
      <formula>0</formula>
    </cfRule>
  </conditionalFormatting>
  <conditionalFormatting sqref="S54">
    <cfRule type="cellIs" dxfId="1074" priority="2179" operator="lessThan">
      <formula>0</formula>
    </cfRule>
  </conditionalFormatting>
  <conditionalFormatting sqref="P54">
    <cfRule type="cellIs" dxfId="1073" priority="2177" operator="equal">
      <formula>AS_DURATION_EFFORT</formula>
    </cfRule>
    <cfRule type="cellIs" dxfId="1072" priority="2178" operator="equal">
      <formula>AS_DEV_EFFORT</formula>
    </cfRule>
  </conditionalFormatting>
  <conditionalFormatting sqref="F54">
    <cfRule type="expression" dxfId="1071" priority="2176">
      <formula>$K54&lt;&gt;""</formula>
    </cfRule>
  </conditionalFormatting>
  <conditionalFormatting sqref="C54">
    <cfRule type="expression" dxfId="1070" priority="2175">
      <formula>$G54&lt;&gt;"-"</formula>
    </cfRule>
  </conditionalFormatting>
  <conditionalFormatting sqref="D54">
    <cfRule type="expression" dxfId="1069" priority="2174">
      <formula>$H54&lt;&gt;"-"</formula>
    </cfRule>
  </conditionalFormatting>
  <conditionalFormatting sqref="E54">
    <cfRule type="expression" dxfId="1068" priority="2173">
      <formula>$I54&lt;&gt;"-"</formula>
    </cfRule>
  </conditionalFormatting>
  <conditionalFormatting sqref="B245">
    <cfRule type="expression" dxfId="1067" priority="2165">
      <formula>AD245&lt;&gt;""</formula>
    </cfRule>
  </conditionalFormatting>
  <conditionalFormatting sqref="Z245">
    <cfRule type="cellIs" dxfId="1066" priority="2163" operator="greaterThan">
      <formula>0</formula>
    </cfRule>
    <cfRule type="cellIs" dxfId="1065" priority="2164" operator="lessThan">
      <formula>0</formula>
    </cfRule>
  </conditionalFormatting>
  <conditionalFormatting sqref="S245">
    <cfRule type="cellIs" dxfId="1064" priority="2162" operator="lessThan">
      <formula>0</formula>
    </cfRule>
  </conditionalFormatting>
  <conditionalFormatting sqref="T243:T244">
    <cfRule type="expression" dxfId="1063" priority="2166">
      <formula>#REF!="Yes"</formula>
    </cfRule>
  </conditionalFormatting>
  <conditionalFormatting sqref="P245">
    <cfRule type="cellIs" dxfId="1062" priority="2160" operator="equal">
      <formula>AS_DURATION_EFFORT</formula>
    </cfRule>
    <cfRule type="cellIs" dxfId="1061" priority="2161" operator="equal">
      <formula>AS_DEV_EFFORT</formula>
    </cfRule>
  </conditionalFormatting>
  <conditionalFormatting sqref="B243:B244">
    <cfRule type="expression" dxfId="1060" priority="2159">
      <formula>AD243&lt;&gt;""</formula>
    </cfRule>
  </conditionalFormatting>
  <conditionalFormatting sqref="F245">
    <cfRule type="expression" dxfId="1059" priority="2158">
      <formula>$K245&lt;&gt;""</formula>
    </cfRule>
  </conditionalFormatting>
  <conditionalFormatting sqref="C245">
    <cfRule type="expression" dxfId="1058" priority="2157">
      <formula>$G245&lt;&gt;"-"</formula>
    </cfRule>
  </conditionalFormatting>
  <conditionalFormatting sqref="D245">
    <cfRule type="expression" dxfId="1057" priority="2156">
      <formula>$H245&lt;&gt;"-"</formula>
    </cfRule>
  </conditionalFormatting>
  <conditionalFormatting sqref="E245">
    <cfRule type="expression" dxfId="1056" priority="2155">
      <formula>$I245&lt;&gt;"-"</formula>
    </cfRule>
  </conditionalFormatting>
  <conditionalFormatting sqref="S242">
    <cfRule type="expression" dxfId="1055" priority="2154">
      <formula>#REF!="Yes"</formula>
    </cfRule>
  </conditionalFormatting>
  <conditionalFormatting sqref="B242">
    <cfRule type="expression" dxfId="1054" priority="2153">
      <formula>AD242&lt;&gt;""</formula>
    </cfRule>
  </conditionalFormatting>
  <conditionalFormatting sqref="B246">
    <cfRule type="expression" dxfId="1053" priority="2150">
      <formula>AD246&lt;&gt;""</formula>
    </cfRule>
  </conditionalFormatting>
  <conditionalFormatting sqref="Z246">
    <cfRule type="cellIs" dxfId="1052" priority="2148" operator="greaterThan">
      <formula>0</formula>
    </cfRule>
    <cfRule type="cellIs" dxfId="1051" priority="2149" operator="lessThan">
      <formula>0</formula>
    </cfRule>
  </conditionalFormatting>
  <conditionalFormatting sqref="S246">
    <cfRule type="cellIs" dxfId="1050" priority="2147" operator="lessThan">
      <formula>0</formula>
    </cfRule>
  </conditionalFormatting>
  <conditionalFormatting sqref="P246">
    <cfRule type="cellIs" dxfId="1049" priority="2145" operator="equal">
      <formula>AS_DURATION_EFFORT</formula>
    </cfRule>
    <cfRule type="cellIs" dxfId="1048" priority="2146" operator="equal">
      <formula>AS_DEV_EFFORT</formula>
    </cfRule>
  </conditionalFormatting>
  <conditionalFormatting sqref="F246">
    <cfRule type="expression" dxfId="1047" priority="2144">
      <formula>$K246&lt;&gt;""</formula>
    </cfRule>
  </conditionalFormatting>
  <conditionalFormatting sqref="C246">
    <cfRule type="expression" dxfId="1046" priority="2143">
      <formula>$G246&lt;&gt;"-"</formula>
    </cfRule>
  </conditionalFormatting>
  <conditionalFormatting sqref="D246">
    <cfRule type="expression" dxfId="1045" priority="2142">
      <formula>$H246&lt;&gt;"-"</formula>
    </cfRule>
  </conditionalFormatting>
  <conditionalFormatting sqref="E246">
    <cfRule type="expression" dxfId="1044" priority="2141">
      <formula>$I246&lt;&gt;"-"</formula>
    </cfRule>
  </conditionalFormatting>
  <conditionalFormatting sqref="B263">
    <cfRule type="expression" dxfId="1043" priority="1739">
      <formula>AD263&lt;&gt;""</formula>
    </cfRule>
  </conditionalFormatting>
  <conditionalFormatting sqref="Z263">
    <cfRule type="cellIs" dxfId="1042" priority="1737" operator="greaterThan">
      <formula>0</formula>
    </cfRule>
    <cfRule type="cellIs" dxfId="1041" priority="1738" operator="lessThan">
      <formula>0</formula>
    </cfRule>
  </conditionalFormatting>
  <conditionalFormatting sqref="S263">
    <cfRule type="cellIs" dxfId="1040" priority="1736" operator="lessThan">
      <formula>0</formula>
    </cfRule>
  </conditionalFormatting>
  <conditionalFormatting sqref="T261:T262">
    <cfRule type="expression" dxfId="1039" priority="1740">
      <formula>#REF!="Yes"</formula>
    </cfRule>
  </conditionalFormatting>
  <conditionalFormatting sqref="P263">
    <cfRule type="cellIs" dxfId="1038" priority="1734" operator="equal">
      <formula>AS_DURATION_EFFORT</formula>
    </cfRule>
    <cfRule type="cellIs" dxfId="1037" priority="1735" operator="equal">
      <formula>AS_DEV_EFFORT</formula>
    </cfRule>
  </conditionalFormatting>
  <conditionalFormatting sqref="B261:B262">
    <cfRule type="expression" dxfId="1036" priority="1733">
      <formula>AD261&lt;&gt;""</formula>
    </cfRule>
  </conditionalFormatting>
  <conditionalFormatting sqref="F263">
    <cfRule type="expression" dxfId="1035" priority="1732">
      <formula>$K263&lt;&gt;""</formula>
    </cfRule>
  </conditionalFormatting>
  <conditionalFormatting sqref="C263">
    <cfRule type="expression" dxfId="1034" priority="1731">
      <formula>$G263&lt;&gt;"-"</formula>
    </cfRule>
  </conditionalFormatting>
  <conditionalFormatting sqref="D263">
    <cfRule type="expression" dxfId="1033" priority="1730">
      <formula>$H263&lt;&gt;"-"</formula>
    </cfRule>
  </conditionalFormatting>
  <conditionalFormatting sqref="E263">
    <cfRule type="expression" dxfId="1032" priority="1729">
      <formula>$I263&lt;&gt;"-"</formula>
    </cfRule>
  </conditionalFormatting>
  <conditionalFormatting sqref="B264">
    <cfRule type="expression" dxfId="1031" priority="1728">
      <formula>AD264&lt;&gt;""</formula>
    </cfRule>
  </conditionalFormatting>
  <conditionalFormatting sqref="Z264">
    <cfRule type="cellIs" dxfId="1030" priority="1726" operator="greaterThan">
      <formula>0</formula>
    </cfRule>
    <cfRule type="cellIs" dxfId="1029" priority="1727" operator="lessThan">
      <formula>0</formula>
    </cfRule>
  </conditionalFormatting>
  <conditionalFormatting sqref="S264">
    <cfRule type="cellIs" dxfId="1028" priority="1725" operator="lessThan">
      <formula>0</formula>
    </cfRule>
  </conditionalFormatting>
  <conditionalFormatting sqref="P264">
    <cfRule type="cellIs" dxfId="1027" priority="1723" operator="equal">
      <formula>AS_DURATION_EFFORT</formula>
    </cfRule>
    <cfRule type="cellIs" dxfId="1026" priority="1724" operator="equal">
      <formula>AS_DEV_EFFORT</formula>
    </cfRule>
  </conditionalFormatting>
  <conditionalFormatting sqref="F264">
    <cfRule type="expression" dxfId="1025" priority="1722">
      <formula>$K264&lt;&gt;""</formula>
    </cfRule>
  </conditionalFormatting>
  <conditionalFormatting sqref="C264">
    <cfRule type="expression" dxfId="1024" priority="1721">
      <formula>$G264&lt;&gt;"-"</formula>
    </cfRule>
  </conditionalFormatting>
  <conditionalFormatting sqref="D264">
    <cfRule type="expression" dxfId="1023" priority="1720">
      <formula>$H264&lt;&gt;"-"</formula>
    </cfRule>
  </conditionalFormatting>
  <conditionalFormatting sqref="E264">
    <cfRule type="expression" dxfId="1022" priority="1719">
      <formula>$I264&lt;&gt;"-"</formula>
    </cfRule>
  </conditionalFormatting>
  <conditionalFormatting sqref="B265">
    <cfRule type="expression" dxfId="1021" priority="1718">
      <formula>AD265&lt;&gt;""</formula>
    </cfRule>
  </conditionalFormatting>
  <conditionalFormatting sqref="Z265">
    <cfRule type="cellIs" dxfId="1020" priority="1716" operator="greaterThan">
      <formula>0</formula>
    </cfRule>
    <cfRule type="cellIs" dxfId="1019" priority="1717" operator="lessThan">
      <formula>0</formula>
    </cfRule>
  </conditionalFormatting>
  <conditionalFormatting sqref="S265">
    <cfRule type="cellIs" dxfId="1018" priority="1715" operator="lessThan">
      <formula>0</formula>
    </cfRule>
  </conditionalFormatting>
  <conditionalFormatting sqref="P265">
    <cfRule type="cellIs" dxfId="1017" priority="1713" operator="equal">
      <formula>AS_DURATION_EFFORT</formula>
    </cfRule>
    <cfRule type="cellIs" dxfId="1016" priority="1714" operator="equal">
      <formula>AS_DEV_EFFORT</formula>
    </cfRule>
  </conditionalFormatting>
  <conditionalFormatting sqref="F265">
    <cfRule type="expression" dxfId="1015" priority="1712">
      <formula>$K265&lt;&gt;""</formula>
    </cfRule>
  </conditionalFormatting>
  <conditionalFormatting sqref="C265">
    <cfRule type="expression" dxfId="1014" priority="1711">
      <formula>$G265&lt;&gt;"-"</formula>
    </cfRule>
  </conditionalFormatting>
  <conditionalFormatting sqref="D265">
    <cfRule type="expression" dxfId="1013" priority="1710">
      <formula>$H265&lt;&gt;"-"</formula>
    </cfRule>
  </conditionalFormatting>
  <conditionalFormatting sqref="E265">
    <cfRule type="expression" dxfId="1012" priority="1709">
      <formula>$I265&lt;&gt;"-"</formula>
    </cfRule>
  </conditionalFormatting>
  <conditionalFormatting sqref="B266">
    <cfRule type="expression" dxfId="1011" priority="1708">
      <formula>AD266&lt;&gt;""</formula>
    </cfRule>
  </conditionalFormatting>
  <conditionalFormatting sqref="Z266">
    <cfRule type="cellIs" dxfId="1010" priority="1706" operator="greaterThan">
      <formula>0</formula>
    </cfRule>
    <cfRule type="cellIs" dxfId="1009" priority="1707" operator="lessThan">
      <formula>0</formula>
    </cfRule>
  </conditionalFormatting>
  <conditionalFormatting sqref="S266">
    <cfRule type="cellIs" dxfId="1008" priority="1705" operator="lessThan">
      <formula>0</formula>
    </cfRule>
  </conditionalFormatting>
  <conditionalFormatting sqref="P266">
    <cfRule type="cellIs" dxfId="1007" priority="1703" operator="equal">
      <formula>AS_DURATION_EFFORT</formula>
    </cfRule>
    <cfRule type="cellIs" dxfId="1006" priority="1704" operator="equal">
      <formula>AS_DEV_EFFORT</formula>
    </cfRule>
  </conditionalFormatting>
  <conditionalFormatting sqref="F266">
    <cfRule type="expression" dxfId="1005" priority="1702">
      <formula>$K266&lt;&gt;""</formula>
    </cfRule>
  </conditionalFormatting>
  <conditionalFormatting sqref="C266">
    <cfRule type="expression" dxfId="1004" priority="1701">
      <formula>$G266&lt;&gt;"-"</formula>
    </cfRule>
  </conditionalFormatting>
  <conditionalFormatting sqref="D266">
    <cfRule type="expression" dxfId="1003" priority="1700">
      <formula>$H266&lt;&gt;"-"</formula>
    </cfRule>
  </conditionalFormatting>
  <conditionalFormatting sqref="E266">
    <cfRule type="expression" dxfId="1002" priority="1699">
      <formula>$I266&lt;&gt;"-"</formula>
    </cfRule>
  </conditionalFormatting>
  <conditionalFormatting sqref="B257">
    <cfRule type="expression" dxfId="1001" priority="1695">
      <formula>AD257&lt;&gt;""</formula>
    </cfRule>
  </conditionalFormatting>
  <conditionalFormatting sqref="Z257">
    <cfRule type="cellIs" dxfId="1000" priority="1693" operator="greaterThan">
      <formula>0</formula>
    </cfRule>
    <cfRule type="cellIs" dxfId="999" priority="1694" operator="lessThan">
      <formula>0</formula>
    </cfRule>
  </conditionalFormatting>
  <conditionalFormatting sqref="S257">
    <cfRule type="cellIs" dxfId="998" priority="1692" operator="lessThan">
      <formula>0</formula>
    </cfRule>
  </conditionalFormatting>
  <conditionalFormatting sqref="T255:T256">
    <cfRule type="expression" dxfId="997" priority="1696">
      <formula>#REF!="Yes"</formula>
    </cfRule>
  </conditionalFormatting>
  <conditionalFormatting sqref="P257">
    <cfRule type="cellIs" dxfId="996" priority="1690" operator="equal">
      <formula>AS_DURATION_EFFORT</formula>
    </cfRule>
    <cfRule type="cellIs" dxfId="995" priority="1691" operator="equal">
      <formula>AS_DEV_EFFORT</formula>
    </cfRule>
  </conditionalFormatting>
  <conditionalFormatting sqref="B255:B256">
    <cfRule type="expression" dxfId="994" priority="1689">
      <formula>AD255&lt;&gt;""</formula>
    </cfRule>
  </conditionalFormatting>
  <conditionalFormatting sqref="F257">
    <cfRule type="expression" dxfId="993" priority="1688">
      <formula>$K257&lt;&gt;""</formula>
    </cfRule>
  </conditionalFormatting>
  <conditionalFormatting sqref="C257">
    <cfRule type="expression" dxfId="992" priority="1687">
      <formula>$G257&lt;&gt;"-"</formula>
    </cfRule>
  </conditionalFormatting>
  <conditionalFormatting sqref="D257">
    <cfRule type="expression" dxfId="991" priority="1686">
      <formula>$H257&lt;&gt;"-"</formula>
    </cfRule>
  </conditionalFormatting>
  <conditionalFormatting sqref="E257">
    <cfRule type="expression" dxfId="990" priority="1685">
      <formula>$I257&lt;&gt;"-"</formula>
    </cfRule>
  </conditionalFormatting>
  <conditionalFormatting sqref="S254">
    <cfRule type="expression" dxfId="989" priority="1684">
      <formula>#REF!="Yes"</formula>
    </cfRule>
  </conditionalFormatting>
  <conditionalFormatting sqref="B254">
    <cfRule type="expression" dxfId="988" priority="1683">
      <formula>AD254&lt;&gt;""</formula>
    </cfRule>
  </conditionalFormatting>
  <conditionalFormatting sqref="B258">
    <cfRule type="expression" dxfId="987" priority="1680">
      <formula>AD258&lt;&gt;""</formula>
    </cfRule>
  </conditionalFormatting>
  <conditionalFormatting sqref="Z258">
    <cfRule type="cellIs" dxfId="986" priority="1678" operator="greaterThan">
      <formula>0</formula>
    </cfRule>
    <cfRule type="cellIs" dxfId="985" priority="1679" operator="lessThan">
      <formula>0</formula>
    </cfRule>
  </conditionalFormatting>
  <conditionalFormatting sqref="S258">
    <cfRule type="cellIs" dxfId="984" priority="1677" operator="lessThan">
      <formula>0</formula>
    </cfRule>
  </conditionalFormatting>
  <conditionalFormatting sqref="F258">
    <cfRule type="expression" dxfId="983" priority="1674">
      <formula>$K258&lt;&gt;""</formula>
    </cfRule>
  </conditionalFormatting>
  <conditionalFormatting sqref="C258">
    <cfRule type="expression" dxfId="982" priority="1673">
      <formula>$G258&lt;&gt;"-"</formula>
    </cfRule>
  </conditionalFormatting>
  <conditionalFormatting sqref="D258">
    <cfRule type="expression" dxfId="981" priority="1672">
      <formula>$H258&lt;&gt;"-"</formula>
    </cfRule>
  </conditionalFormatting>
  <conditionalFormatting sqref="E258">
    <cfRule type="expression" dxfId="980" priority="1671">
      <formula>$I258&lt;&gt;"-"</formula>
    </cfRule>
  </conditionalFormatting>
  <conditionalFormatting sqref="P258">
    <cfRule type="cellIs" dxfId="979" priority="1665" operator="equal">
      <formula>AS_DURATION_EFFORT</formula>
    </cfRule>
    <cfRule type="cellIs" dxfId="978" priority="1666" operator="equal">
      <formula>AS_DEV_EFFORT</formula>
    </cfRule>
  </conditionalFormatting>
  <conditionalFormatting sqref="S260">
    <cfRule type="expression" dxfId="977" priority="1664">
      <formula>#REF!="Yes"</formula>
    </cfRule>
  </conditionalFormatting>
  <conditionalFormatting sqref="B260">
    <cfRule type="expression" dxfId="976" priority="1663">
      <formula>AD260&lt;&gt;""</formula>
    </cfRule>
  </conditionalFormatting>
  <conditionalFormatting sqref="P271">
    <cfRule type="cellIs" dxfId="975" priority="1659" operator="equal">
      <formula>AS_DURATION_EFFORT</formula>
    </cfRule>
    <cfRule type="cellIs" dxfId="974" priority="1660" operator="equal">
      <formula>AS_DEV_EFFORT</formula>
    </cfRule>
  </conditionalFormatting>
  <conditionalFormatting sqref="B290">
    <cfRule type="expression" dxfId="973" priority="1642">
      <formula>AD290&lt;&gt;""</formula>
    </cfRule>
  </conditionalFormatting>
  <conditionalFormatting sqref="Z290">
    <cfRule type="cellIs" dxfId="972" priority="1640" operator="greaterThan">
      <formula>0</formula>
    </cfRule>
    <cfRule type="cellIs" dxfId="971" priority="1641" operator="lessThan">
      <formula>0</formula>
    </cfRule>
  </conditionalFormatting>
  <conditionalFormatting sqref="S290">
    <cfRule type="cellIs" dxfId="970" priority="1639" operator="lessThan">
      <formula>0</formula>
    </cfRule>
  </conditionalFormatting>
  <conditionalFormatting sqref="P290">
    <cfRule type="cellIs" dxfId="969" priority="1637" operator="equal">
      <formula>AS_DURATION_EFFORT</formula>
    </cfRule>
    <cfRule type="cellIs" dxfId="968" priority="1638" operator="equal">
      <formula>AS_DEV_EFFORT</formula>
    </cfRule>
  </conditionalFormatting>
  <conditionalFormatting sqref="F290">
    <cfRule type="expression" dxfId="967" priority="1636">
      <formula>$K290&lt;&gt;""</formula>
    </cfRule>
  </conditionalFormatting>
  <conditionalFormatting sqref="C290">
    <cfRule type="expression" dxfId="966" priority="1635">
      <formula>$G290&lt;&gt;"-"</formula>
    </cfRule>
  </conditionalFormatting>
  <conditionalFormatting sqref="D290">
    <cfRule type="expression" dxfId="965" priority="1634">
      <formula>$H290&lt;&gt;"-"</formula>
    </cfRule>
  </conditionalFormatting>
  <conditionalFormatting sqref="E290">
    <cfRule type="expression" dxfId="964" priority="1633">
      <formula>$I290&lt;&gt;"-"</formula>
    </cfRule>
  </conditionalFormatting>
  <conditionalFormatting sqref="B89">
    <cfRule type="expression" dxfId="963" priority="1630">
      <formula>AD89&lt;&gt;""</formula>
    </cfRule>
  </conditionalFormatting>
  <conditionalFormatting sqref="Z89">
    <cfRule type="cellIs" dxfId="962" priority="1628" operator="greaterThan">
      <formula>0</formula>
    </cfRule>
    <cfRule type="cellIs" dxfId="961" priority="1629" operator="lessThan">
      <formula>0</formula>
    </cfRule>
  </conditionalFormatting>
  <conditionalFormatting sqref="S89">
    <cfRule type="cellIs" dxfId="960" priority="1627" operator="lessThan">
      <formula>0</formula>
    </cfRule>
  </conditionalFormatting>
  <conditionalFormatting sqref="F89">
    <cfRule type="expression" dxfId="959" priority="1624">
      <formula>$K89&lt;&gt;""</formula>
    </cfRule>
  </conditionalFormatting>
  <conditionalFormatting sqref="C89">
    <cfRule type="expression" dxfId="958" priority="1623">
      <formula>$G89&lt;&gt;"-"</formula>
    </cfRule>
  </conditionalFormatting>
  <conditionalFormatting sqref="D89">
    <cfRule type="expression" dxfId="957" priority="1622">
      <formula>$H89&lt;&gt;"-"</formula>
    </cfRule>
  </conditionalFormatting>
  <conditionalFormatting sqref="E89">
    <cfRule type="expression" dxfId="956" priority="1621">
      <formula>$I89&lt;&gt;"-"</formula>
    </cfRule>
  </conditionalFormatting>
  <conditionalFormatting sqref="P138">
    <cfRule type="cellIs" dxfId="955" priority="1617" operator="equal">
      <formula>AS_DURATION_EFFORT</formula>
    </cfRule>
    <cfRule type="cellIs" dxfId="954" priority="1618" operator="equal">
      <formula>AS_DEV_EFFORT</formula>
    </cfRule>
  </conditionalFormatting>
  <conditionalFormatting sqref="P140">
    <cfRule type="cellIs" dxfId="953" priority="1615" operator="equal">
      <formula>AS_DURATION_EFFORT</formula>
    </cfRule>
    <cfRule type="cellIs" dxfId="952" priority="1616" operator="equal">
      <formula>AS_DEV_EFFORT</formula>
    </cfRule>
  </conditionalFormatting>
  <conditionalFormatting sqref="P140">
    <cfRule type="cellIs" dxfId="951" priority="1613" operator="equal">
      <formula>AS_DURATION_EFFORT</formula>
    </cfRule>
    <cfRule type="cellIs" dxfId="950" priority="1614" operator="equal">
      <formula>AS_DEV_EFFORT</formula>
    </cfRule>
  </conditionalFormatting>
  <conditionalFormatting sqref="AB137">
    <cfRule type="cellIs" dxfId="949" priority="1611" operator="equal">
      <formula>AS_DURATION_EFFORT</formula>
    </cfRule>
    <cfRule type="cellIs" dxfId="948" priority="1612" operator="equal">
      <formula>AS_DEV_EFFORT</formula>
    </cfRule>
  </conditionalFormatting>
  <conditionalFormatting sqref="AB138">
    <cfRule type="cellIs" dxfId="947" priority="1609" operator="equal">
      <formula>AS_DURATION_EFFORT</formula>
    </cfRule>
    <cfRule type="cellIs" dxfId="946" priority="1610" operator="equal">
      <formula>AS_DEV_EFFORT</formula>
    </cfRule>
  </conditionalFormatting>
  <conditionalFormatting sqref="AB140">
    <cfRule type="cellIs" dxfId="945" priority="1607" operator="equal">
      <formula>AS_DURATION_EFFORT</formula>
    </cfRule>
    <cfRule type="cellIs" dxfId="944" priority="1608" operator="equal">
      <formula>AS_DEV_EFFORT</formula>
    </cfRule>
  </conditionalFormatting>
  <conditionalFormatting sqref="P138">
    <cfRule type="cellIs" dxfId="943" priority="1605" operator="equal">
      <formula>AS_DURATION_EFFORT</formula>
    </cfRule>
    <cfRule type="cellIs" dxfId="942" priority="1606" operator="equal">
      <formula>AS_DEV_EFFORT</formula>
    </cfRule>
  </conditionalFormatting>
  <conditionalFormatting sqref="P139">
    <cfRule type="cellIs" dxfId="941" priority="1599" operator="equal">
      <formula>AS_DURATION_EFFORT</formula>
    </cfRule>
    <cfRule type="cellIs" dxfId="940" priority="1600" operator="equal">
      <formula>AS_DEV_EFFORT</formula>
    </cfRule>
  </conditionalFormatting>
  <conditionalFormatting sqref="P139">
    <cfRule type="cellIs" dxfId="939" priority="1597" operator="equal">
      <formula>AS_DURATION_EFFORT</formula>
    </cfRule>
    <cfRule type="cellIs" dxfId="938" priority="1598" operator="equal">
      <formula>AS_DEV_EFFORT</formula>
    </cfRule>
  </conditionalFormatting>
  <conditionalFormatting sqref="P139">
    <cfRule type="cellIs" dxfId="937" priority="1595" operator="equal">
      <formula>AS_DURATION_EFFORT</formula>
    </cfRule>
    <cfRule type="cellIs" dxfId="936" priority="1596" operator="equal">
      <formula>AS_DEV_EFFORT</formula>
    </cfRule>
  </conditionalFormatting>
  <conditionalFormatting sqref="P139">
    <cfRule type="cellIs" dxfId="935" priority="1593" operator="equal">
      <formula>AS_DURATION_EFFORT</formula>
    </cfRule>
    <cfRule type="cellIs" dxfId="934" priority="1594" operator="equal">
      <formula>AS_DEV_EFFORT</formula>
    </cfRule>
  </conditionalFormatting>
  <conditionalFormatting sqref="P140">
    <cfRule type="cellIs" dxfId="933" priority="1591" operator="equal">
      <formula>AS_DURATION_EFFORT</formula>
    </cfRule>
    <cfRule type="cellIs" dxfId="932" priority="1592" operator="equal">
      <formula>AS_DEV_EFFORT</formula>
    </cfRule>
  </conditionalFormatting>
  <conditionalFormatting sqref="P140">
    <cfRule type="cellIs" dxfId="931" priority="1589" operator="equal">
      <formula>AS_DURATION_EFFORT</formula>
    </cfRule>
    <cfRule type="cellIs" dxfId="930" priority="1590" operator="equal">
      <formula>AS_DEV_EFFORT</formula>
    </cfRule>
  </conditionalFormatting>
  <conditionalFormatting sqref="P140">
    <cfRule type="cellIs" dxfId="929" priority="1587" operator="equal">
      <formula>AS_DURATION_EFFORT</formula>
    </cfRule>
    <cfRule type="cellIs" dxfId="928" priority="1588" operator="equal">
      <formula>AS_DEV_EFFORT</formula>
    </cfRule>
  </conditionalFormatting>
  <conditionalFormatting sqref="P140">
    <cfRule type="cellIs" dxfId="927" priority="1585" operator="equal">
      <formula>AS_DURATION_EFFORT</formula>
    </cfRule>
    <cfRule type="cellIs" dxfId="926" priority="1586" operator="equal">
      <formula>AS_DEV_EFFORT</formula>
    </cfRule>
  </conditionalFormatting>
  <conditionalFormatting sqref="P140">
    <cfRule type="cellIs" dxfId="925" priority="1583" operator="equal">
      <formula>AS_DURATION_EFFORT</formula>
    </cfRule>
    <cfRule type="cellIs" dxfId="924" priority="1584" operator="equal">
      <formula>AS_DEV_EFFORT</formula>
    </cfRule>
  </conditionalFormatting>
  <conditionalFormatting sqref="P130">
    <cfRule type="cellIs" dxfId="923" priority="1581" operator="equal">
      <formula>AS_DURATION_EFFORT</formula>
    </cfRule>
    <cfRule type="cellIs" dxfId="922" priority="1582" operator="equal">
      <formula>AS_DEV_EFFORT</formula>
    </cfRule>
  </conditionalFormatting>
  <conditionalFormatting sqref="P131:P133">
    <cfRule type="cellIs" dxfId="921" priority="1579" operator="equal">
      <formula>AS_DURATION_EFFORT</formula>
    </cfRule>
    <cfRule type="cellIs" dxfId="920" priority="1580" operator="equal">
      <formula>AS_DEV_EFFORT</formula>
    </cfRule>
  </conditionalFormatting>
  <conditionalFormatting sqref="P131:P133">
    <cfRule type="cellIs" dxfId="919" priority="1577" operator="equal">
      <formula>AS_DURATION_EFFORT</formula>
    </cfRule>
    <cfRule type="cellIs" dxfId="918" priority="1578" operator="equal">
      <formula>AS_DEV_EFFORT</formula>
    </cfRule>
  </conditionalFormatting>
  <conditionalFormatting sqref="P94">
    <cfRule type="cellIs" dxfId="917" priority="1575" operator="equal">
      <formula>AS_DURATION_EFFORT</formula>
    </cfRule>
    <cfRule type="cellIs" dxfId="916" priority="1576" operator="equal">
      <formula>AS_DEV_EFFORT</formula>
    </cfRule>
  </conditionalFormatting>
  <conditionalFormatting sqref="P94">
    <cfRule type="cellIs" dxfId="915" priority="1573" operator="equal">
      <formula>AS_DURATION_EFFORT</formula>
    </cfRule>
    <cfRule type="cellIs" dxfId="914" priority="1574" operator="equal">
      <formula>AS_DEV_EFFORT</formula>
    </cfRule>
  </conditionalFormatting>
  <conditionalFormatting sqref="P86:P87">
    <cfRule type="cellIs" dxfId="913" priority="1565" operator="equal">
      <formula>AS_DURATION_EFFORT</formula>
    </cfRule>
    <cfRule type="cellIs" dxfId="912" priority="1566" operator="equal">
      <formula>AS_DEV_EFFORT</formula>
    </cfRule>
  </conditionalFormatting>
  <conditionalFormatting sqref="P86:P87">
    <cfRule type="cellIs" dxfId="911" priority="1563" operator="equal">
      <formula>AS_DURATION_EFFORT</formula>
    </cfRule>
    <cfRule type="cellIs" dxfId="910" priority="1564" operator="equal">
      <formula>AS_DEV_EFFORT</formula>
    </cfRule>
  </conditionalFormatting>
  <conditionalFormatting sqref="P86:P87">
    <cfRule type="cellIs" dxfId="909" priority="1561" operator="equal">
      <formula>AS_DURATION_EFFORT</formula>
    </cfRule>
    <cfRule type="cellIs" dxfId="908" priority="1562" operator="equal">
      <formula>AS_DEV_EFFORT</formula>
    </cfRule>
  </conditionalFormatting>
  <conditionalFormatting sqref="P88:P90">
    <cfRule type="cellIs" dxfId="907" priority="1557" operator="equal">
      <formula>AS_DURATION_EFFORT</formula>
    </cfRule>
    <cfRule type="cellIs" dxfId="906" priority="1558" operator="equal">
      <formula>AS_DEV_EFFORT</formula>
    </cfRule>
  </conditionalFormatting>
  <conditionalFormatting sqref="P88:P90">
    <cfRule type="cellIs" dxfId="905" priority="1555" operator="equal">
      <formula>AS_DURATION_EFFORT</formula>
    </cfRule>
    <cfRule type="cellIs" dxfId="904" priority="1556" operator="equal">
      <formula>AS_DEV_EFFORT</formula>
    </cfRule>
  </conditionalFormatting>
  <conditionalFormatting sqref="P88:P90">
    <cfRule type="cellIs" dxfId="903" priority="1553" operator="equal">
      <formula>AS_DURATION_EFFORT</formula>
    </cfRule>
    <cfRule type="cellIs" dxfId="902" priority="1554" operator="equal">
      <formula>AS_DEV_EFFORT</formula>
    </cfRule>
  </conditionalFormatting>
  <conditionalFormatting sqref="P88:P90">
    <cfRule type="cellIs" dxfId="901" priority="1551" operator="equal">
      <formula>AS_DURATION_EFFORT</formula>
    </cfRule>
    <cfRule type="cellIs" dxfId="900" priority="1552" operator="equal">
      <formula>AS_DEV_EFFORT</formula>
    </cfRule>
  </conditionalFormatting>
  <conditionalFormatting sqref="P63">
    <cfRule type="cellIs" dxfId="899" priority="1549" operator="equal">
      <formula>AS_DURATION_EFFORT</formula>
    </cfRule>
    <cfRule type="cellIs" dxfId="898" priority="1550" operator="equal">
      <formula>AS_DEV_EFFORT</formula>
    </cfRule>
  </conditionalFormatting>
  <conditionalFormatting sqref="P63">
    <cfRule type="cellIs" dxfId="897" priority="1547" operator="equal">
      <formula>AS_DURATION_EFFORT</formula>
    </cfRule>
    <cfRule type="cellIs" dxfId="896" priority="1548" operator="equal">
      <formula>AS_DEV_EFFORT</formula>
    </cfRule>
  </conditionalFormatting>
  <conditionalFormatting sqref="P63">
    <cfRule type="cellIs" dxfId="895" priority="1545" operator="equal">
      <formula>AS_DURATION_EFFORT</formula>
    </cfRule>
    <cfRule type="cellIs" dxfId="894" priority="1546" operator="equal">
      <formula>AS_DEV_EFFORT</formula>
    </cfRule>
  </conditionalFormatting>
  <conditionalFormatting sqref="P63">
    <cfRule type="cellIs" dxfId="893" priority="1543" operator="equal">
      <formula>AS_DURATION_EFFORT</formula>
    </cfRule>
    <cfRule type="cellIs" dxfId="892" priority="1544" operator="equal">
      <formula>AS_DEV_EFFORT</formula>
    </cfRule>
  </conditionalFormatting>
  <conditionalFormatting sqref="P64">
    <cfRule type="cellIs" dxfId="891" priority="1541" operator="equal">
      <formula>AS_DURATION_EFFORT</formula>
    </cfRule>
    <cfRule type="cellIs" dxfId="890" priority="1542" operator="equal">
      <formula>AS_DEV_EFFORT</formula>
    </cfRule>
  </conditionalFormatting>
  <conditionalFormatting sqref="P64">
    <cfRule type="cellIs" dxfId="889" priority="1539" operator="equal">
      <formula>AS_DURATION_EFFORT</formula>
    </cfRule>
    <cfRule type="cellIs" dxfId="888" priority="1540" operator="equal">
      <formula>AS_DEV_EFFORT</formula>
    </cfRule>
  </conditionalFormatting>
  <conditionalFormatting sqref="P64">
    <cfRule type="cellIs" dxfId="887" priority="1537" operator="equal">
      <formula>AS_DURATION_EFFORT</formula>
    </cfRule>
    <cfRule type="cellIs" dxfId="886" priority="1538" operator="equal">
      <formula>AS_DEV_EFFORT</formula>
    </cfRule>
  </conditionalFormatting>
  <conditionalFormatting sqref="P64">
    <cfRule type="cellIs" dxfId="885" priority="1535" operator="equal">
      <formula>AS_DURATION_EFFORT</formula>
    </cfRule>
    <cfRule type="cellIs" dxfId="884" priority="1536" operator="equal">
      <formula>AS_DEV_EFFORT</formula>
    </cfRule>
  </conditionalFormatting>
  <conditionalFormatting sqref="P64">
    <cfRule type="cellIs" dxfId="883" priority="1533" operator="equal">
      <formula>AS_DURATION_EFFORT</formula>
    </cfRule>
    <cfRule type="cellIs" dxfId="882" priority="1534" operator="equal">
      <formula>AS_DEV_EFFORT</formula>
    </cfRule>
  </conditionalFormatting>
  <conditionalFormatting sqref="P16">
    <cfRule type="cellIs" dxfId="881" priority="1531" operator="equal">
      <formula>AS_DURATION_EFFORT</formula>
    </cfRule>
    <cfRule type="cellIs" dxfId="880" priority="1532" operator="equal">
      <formula>AS_DEV_EFFORT</formula>
    </cfRule>
  </conditionalFormatting>
  <conditionalFormatting sqref="P16">
    <cfRule type="cellIs" dxfId="879" priority="1529" operator="equal">
      <formula>AS_DURATION_EFFORT</formula>
    </cfRule>
    <cfRule type="cellIs" dxfId="878" priority="1530" operator="equal">
      <formula>AS_DEV_EFFORT</formula>
    </cfRule>
  </conditionalFormatting>
  <conditionalFormatting sqref="P16">
    <cfRule type="cellIs" dxfId="877" priority="1527" operator="equal">
      <formula>AS_DURATION_EFFORT</formula>
    </cfRule>
    <cfRule type="cellIs" dxfId="876" priority="1528" operator="equal">
      <formula>AS_DEV_EFFORT</formula>
    </cfRule>
  </conditionalFormatting>
  <conditionalFormatting sqref="P16">
    <cfRule type="cellIs" dxfId="875" priority="1525" operator="equal">
      <formula>AS_DURATION_EFFORT</formula>
    </cfRule>
    <cfRule type="cellIs" dxfId="874" priority="1526" operator="equal">
      <formula>AS_DEV_EFFORT</formula>
    </cfRule>
  </conditionalFormatting>
  <conditionalFormatting sqref="P16">
    <cfRule type="cellIs" dxfId="873" priority="1523" operator="equal">
      <formula>AS_DURATION_EFFORT</formula>
    </cfRule>
    <cfRule type="cellIs" dxfId="872" priority="1524" operator="equal">
      <formula>AS_DEV_EFFORT</formula>
    </cfRule>
  </conditionalFormatting>
  <conditionalFormatting sqref="P17">
    <cfRule type="cellIs" dxfId="871" priority="1521" operator="equal">
      <formula>AS_DURATION_EFFORT</formula>
    </cfRule>
    <cfRule type="cellIs" dxfId="870" priority="1522" operator="equal">
      <formula>AS_DEV_EFFORT</formula>
    </cfRule>
  </conditionalFormatting>
  <conditionalFormatting sqref="P17">
    <cfRule type="cellIs" dxfId="869" priority="1519" operator="equal">
      <formula>AS_DURATION_EFFORT</formula>
    </cfRule>
    <cfRule type="cellIs" dxfId="868" priority="1520" operator="equal">
      <formula>AS_DEV_EFFORT</formula>
    </cfRule>
  </conditionalFormatting>
  <conditionalFormatting sqref="P17">
    <cfRule type="cellIs" dxfId="867" priority="1517" operator="equal">
      <formula>AS_DURATION_EFFORT</formula>
    </cfRule>
    <cfRule type="cellIs" dxfId="866" priority="1518" operator="equal">
      <formula>AS_DEV_EFFORT</formula>
    </cfRule>
  </conditionalFormatting>
  <conditionalFormatting sqref="P17">
    <cfRule type="cellIs" dxfId="865" priority="1515" operator="equal">
      <formula>AS_DURATION_EFFORT</formula>
    </cfRule>
    <cfRule type="cellIs" dxfId="864" priority="1516" operator="equal">
      <formula>AS_DEV_EFFORT</formula>
    </cfRule>
  </conditionalFormatting>
  <conditionalFormatting sqref="P17">
    <cfRule type="cellIs" dxfId="863" priority="1513" operator="equal">
      <formula>AS_DURATION_EFFORT</formula>
    </cfRule>
    <cfRule type="cellIs" dxfId="862" priority="1514" operator="equal">
      <formula>AS_DEV_EFFORT</formula>
    </cfRule>
  </conditionalFormatting>
  <conditionalFormatting sqref="P17">
    <cfRule type="cellIs" dxfId="861" priority="1511" operator="equal">
      <formula>AS_DURATION_EFFORT</formula>
    </cfRule>
    <cfRule type="cellIs" dxfId="860" priority="1512" operator="equal">
      <formula>AS_DEV_EFFORT</formula>
    </cfRule>
  </conditionalFormatting>
  <conditionalFormatting sqref="P24">
    <cfRule type="cellIs" dxfId="859" priority="1509" operator="equal">
      <formula>AS_DURATION_EFFORT</formula>
    </cfRule>
    <cfRule type="cellIs" dxfId="858" priority="1510" operator="equal">
      <formula>AS_DEV_EFFORT</formula>
    </cfRule>
  </conditionalFormatting>
  <conditionalFormatting sqref="P24">
    <cfRule type="cellIs" dxfId="857" priority="1507" operator="equal">
      <formula>AS_DURATION_EFFORT</formula>
    </cfRule>
    <cfRule type="cellIs" dxfId="856" priority="1508" operator="equal">
      <formula>AS_DEV_EFFORT</formula>
    </cfRule>
  </conditionalFormatting>
  <conditionalFormatting sqref="P24">
    <cfRule type="cellIs" dxfId="855" priority="1505" operator="equal">
      <formula>AS_DURATION_EFFORT</formula>
    </cfRule>
    <cfRule type="cellIs" dxfId="854" priority="1506" operator="equal">
      <formula>AS_DEV_EFFORT</formula>
    </cfRule>
  </conditionalFormatting>
  <conditionalFormatting sqref="P24">
    <cfRule type="cellIs" dxfId="853" priority="1503" operator="equal">
      <formula>AS_DURATION_EFFORT</formula>
    </cfRule>
    <cfRule type="cellIs" dxfId="852" priority="1504" operator="equal">
      <formula>AS_DEV_EFFORT</formula>
    </cfRule>
  </conditionalFormatting>
  <conditionalFormatting sqref="P24">
    <cfRule type="cellIs" dxfId="851" priority="1501" operator="equal">
      <formula>AS_DURATION_EFFORT</formula>
    </cfRule>
    <cfRule type="cellIs" dxfId="850" priority="1502" operator="equal">
      <formula>AS_DEV_EFFORT</formula>
    </cfRule>
  </conditionalFormatting>
  <conditionalFormatting sqref="P42">
    <cfRule type="cellIs" dxfId="849" priority="1499" operator="equal">
      <formula>AS_DURATION_EFFORT</formula>
    </cfRule>
    <cfRule type="cellIs" dxfId="848" priority="1500" operator="equal">
      <formula>AS_DEV_EFFORT</formula>
    </cfRule>
  </conditionalFormatting>
  <conditionalFormatting sqref="P42">
    <cfRule type="cellIs" dxfId="847" priority="1497" operator="equal">
      <formula>AS_DURATION_EFFORT</formula>
    </cfRule>
    <cfRule type="cellIs" dxfId="846" priority="1498" operator="equal">
      <formula>AS_DEV_EFFORT</formula>
    </cfRule>
  </conditionalFormatting>
  <conditionalFormatting sqref="P42">
    <cfRule type="cellIs" dxfId="845" priority="1495" operator="equal">
      <formula>AS_DURATION_EFFORT</formula>
    </cfRule>
    <cfRule type="cellIs" dxfId="844" priority="1496" operator="equal">
      <formula>AS_DEV_EFFORT</formula>
    </cfRule>
  </conditionalFormatting>
  <conditionalFormatting sqref="P42">
    <cfRule type="cellIs" dxfId="843" priority="1493" operator="equal">
      <formula>AS_DURATION_EFFORT</formula>
    </cfRule>
    <cfRule type="cellIs" dxfId="842" priority="1494" operator="equal">
      <formula>AS_DEV_EFFORT</formula>
    </cfRule>
  </conditionalFormatting>
  <conditionalFormatting sqref="P42">
    <cfRule type="cellIs" dxfId="841" priority="1491" operator="equal">
      <formula>AS_DURATION_EFFORT</formula>
    </cfRule>
    <cfRule type="cellIs" dxfId="840" priority="1492" operator="equal">
      <formula>AS_DEV_EFFORT</formula>
    </cfRule>
  </conditionalFormatting>
  <conditionalFormatting sqref="P42">
    <cfRule type="cellIs" dxfId="839" priority="1489" operator="equal">
      <formula>AS_DURATION_EFFORT</formula>
    </cfRule>
    <cfRule type="cellIs" dxfId="838" priority="1490" operator="equal">
      <formula>AS_DEV_EFFORT</formula>
    </cfRule>
  </conditionalFormatting>
  <conditionalFormatting sqref="B148">
    <cfRule type="expression" dxfId="837" priority="1474">
      <formula>AD148&lt;&gt;""</formula>
    </cfRule>
  </conditionalFormatting>
  <conditionalFormatting sqref="Z148">
    <cfRule type="cellIs" dxfId="836" priority="1472" operator="greaterThan">
      <formula>0</formula>
    </cfRule>
    <cfRule type="cellIs" dxfId="835" priority="1473" operator="lessThan">
      <formula>0</formula>
    </cfRule>
  </conditionalFormatting>
  <conditionalFormatting sqref="S148">
    <cfRule type="cellIs" dxfId="834" priority="1471" operator="lessThan">
      <formula>0</formula>
    </cfRule>
  </conditionalFormatting>
  <conditionalFormatting sqref="P148">
    <cfRule type="cellIs" dxfId="833" priority="1469" operator="equal">
      <formula>AS_DURATION_EFFORT</formula>
    </cfRule>
    <cfRule type="cellIs" dxfId="832" priority="1470" operator="equal">
      <formula>AS_DEV_EFFORT</formula>
    </cfRule>
  </conditionalFormatting>
  <conditionalFormatting sqref="F148">
    <cfRule type="expression" dxfId="831" priority="1468">
      <formula>$K148&lt;&gt;""</formula>
    </cfRule>
  </conditionalFormatting>
  <conditionalFormatting sqref="C148">
    <cfRule type="expression" dxfId="830" priority="1467">
      <formula>$G148&lt;&gt;"-"</formula>
    </cfRule>
  </conditionalFormatting>
  <conditionalFormatting sqref="D148">
    <cfRule type="expression" dxfId="829" priority="1466">
      <formula>$H148&lt;&gt;"-"</formula>
    </cfRule>
  </conditionalFormatting>
  <conditionalFormatting sqref="E148">
    <cfRule type="expression" dxfId="828" priority="1465">
      <formula>$I148&lt;&gt;"-"</formula>
    </cfRule>
  </conditionalFormatting>
  <conditionalFormatting sqref="B247">
    <cfRule type="expression" dxfId="827" priority="1436">
      <formula>AD247&lt;&gt;""</formula>
    </cfRule>
  </conditionalFormatting>
  <conditionalFormatting sqref="Z247">
    <cfRule type="cellIs" dxfId="826" priority="1434" operator="greaterThan">
      <formula>0</formula>
    </cfRule>
    <cfRule type="cellIs" dxfId="825" priority="1435" operator="lessThan">
      <formula>0</formula>
    </cfRule>
  </conditionalFormatting>
  <conditionalFormatting sqref="S247">
    <cfRule type="cellIs" dxfId="824" priority="1433" operator="lessThan">
      <formula>0</formula>
    </cfRule>
  </conditionalFormatting>
  <conditionalFormatting sqref="F247">
    <cfRule type="expression" dxfId="823" priority="1430">
      <formula>$K247&lt;&gt;""</formula>
    </cfRule>
  </conditionalFormatting>
  <conditionalFormatting sqref="C247">
    <cfRule type="expression" dxfId="822" priority="1429">
      <formula>$G247&lt;&gt;"-"</formula>
    </cfRule>
  </conditionalFormatting>
  <conditionalFormatting sqref="D247">
    <cfRule type="expression" dxfId="821" priority="1428">
      <formula>$H247&lt;&gt;"-"</formula>
    </cfRule>
  </conditionalFormatting>
  <conditionalFormatting sqref="E247">
    <cfRule type="expression" dxfId="820" priority="1427">
      <formula>$I247&lt;&gt;"-"</formula>
    </cfRule>
  </conditionalFormatting>
  <conditionalFormatting sqref="B249">
    <cfRule type="expression" dxfId="819" priority="1424">
      <formula>AD249&lt;&gt;""</formula>
    </cfRule>
  </conditionalFormatting>
  <conditionalFormatting sqref="Z249">
    <cfRule type="cellIs" dxfId="818" priority="1422" operator="greaterThan">
      <formula>0</formula>
    </cfRule>
    <cfRule type="cellIs" dxfId="817" priority="1423" operator="lessThan">
      <formula>0</formula>
    </cfRule>
  </conditionalFormatting>
  <conditionalFormatting sqref="S249">
    <cfRule type="cellIs" dxfId="816" priority="1421" operator="lessThan">
      <formula>0</formula>
    </cfRule>
  </conditionalFormatting>
  <conditionalFormatting sqref="P249">
    <cfRule type="cellIs" dxfId="815" priority="1419" operator="equal">
      <formula>AS_DURATION_EFFORT</formula>
    </cfRule>
    <cfRule type="cellIs" dxfId="814" priority="1420" operator="equal">
      <formula>AS_DEV_EFFORT</formula>
    </cfRule>
  </conditionalFormatting>
  <conditionalFormatting sqref="F249">
    <cfRule type="expression" dxfId="813" priority="1418">
      <formula>$K249&lt;&gt;""</formula>
    </cfRule>
  </conditionalFormatting>
  <conditionalFormatting sqref="C249">
    <cfRule type="expression" dxfId="812" priority="1417">
      <formula>$G249&lt;&gt;"-"</formula>
    </cfRule>
  </conditionalFormatting>
  <conditionalFormatting sqref="D249">
    <cfRule type="expression" dxfId="811" priority="1416">
      <formula>$H249&lt;&gt;"-"</formula>
    </cfRule>
  </conditionalFormatting>
  <conditionalFormatting sqref="E249">
    <cfRule type="expression" dxfId="810" priority="1415">
      <formula>$I249&lt;&gt;"-"</formula>
    </cfRule>
  </conditionalFormatting>
  <conditionalFormatting sqref="P247">
    <cfRule type="cellIs" dxfId="809" priority="1411" operator="equal">
      <formula>AS_DURATION_EFFORT</formula>
    </cfRule>
    <cfRule type="cellIs" dxfId="808" priority="1412" operator="equal">
      <formula>AS_DEV_EFFORT</formula>
    </cfRule>
  </conditionalFormatting>
  <conditionalFormatting sqref="B248">
    <cfRule type="expression" dxfId="807" priority="1408">
      <formula>AD248&lt;&gt;""</formula>
    </cfRule>
  </conditionalFormatting>
  <conditionalFormatting sqref="Z248">
    <cfRule type="cellIs" dxfId="806" priority="1406" operator="greaterThan">
      <formula>0</formula>
    </cfRule>
    <cfRule type="cellIs" dxfId="805" priority="1407" operator="lessThan">
      <formula>0</formula>
    </cfRule>
  </conditionalFormatting>
  <conditionalFormatting sqref="S248">
    <cfRule type="cellIs" dxfId="804" priority="1405" operator="lessThan">
      <formula>0</formula>
    </cfRule>
  </conditionalFormatting>
  <conditionalFormatting sqref="P248">
    <cfRule type="cellIs" dxfId="803" priority="1403" operator="equal">
      <formula>AS_DURATION_EFFORT</formula>
    </cfRule>
    <cfRule type="cellIs" dxfId="802" priority="1404" operator="equal">
      <formula>AS_DEV_EFFORT</formula>
    </cfRule>
  </conditionalFormatting>
  <conditionalFormatting sqref="F248">
    <cfRule type="expression" dxfId="801" priority="1402">
      <formula>$K248&lt;&gt;""</formula>
    </cfRule>
  </conditionalFormatting>
  <conditionalFormatting sqref="C248">
    <cfRule type="expression" dxfId="800" priority="1401">
      <formula>$G248&lt;&gt;"-"</formula>
    </cfRule>
  </conditionalFormatting>
  <conditionalFormatting sqref="D248">
    <cfRule type="expression" dxfId="799" priority="1400">
      <formula>$H248&lt;&gt;"-"</formula>
    </cfRule>
  </conditionalFormatting>
  <conditionalFormatting sqref="E248">
    <cfRule type="expression" dxfId="798" priority="1399">
      <formula>$I248&lt;&gt;"-"</formula>
    </cfRule>
  </conditionalFormatting>
  <conditionalFormatting sqref="B298">
    <cfRule type="expression" dxfId="797" priority="1396">
      <formula>AD298&lt;&gt;""</formula>
    </cfRule>
  </conditionalFormatting>
  <conditionalFormatting sqref="Z298">
    <cfRule type="cellIs" dxfId="796" priority="1394" operator="greaterThan">
      <formula>0</formula>
    </cfRule>
    <cfRule type="cellIs" dxfId="795" priority="1395" operator="lessThan">
      <formula>0</formula>
    </cfRule>
  </conditionalFormatting>
  <conditionalFormatting sqref="S298">
    <cfRule type="cellIs" dxfId="794" priority="1393" operator="lessThan">
      <formula>0</formula>
    </cfRule>
  </conditionalFormatting>
  <conditionalFormatting sqref="P298">
    <cfRule type="cellIs" dxfId="793" priority="1391" operator="equal">
      <formula>AS_DURATION_EFFORT</formula>
    </cfRule>
    <cfRule type="cellIs" dxfId="792" priority="1392" operator="equal">
      <formula>AS_DEV_EFFORT</formula>
    </cfRule>
  </conditionalFormatting>
  <conditionalFormatting sqref="F298">
    <cfRule type="expression" dxfId="791" priority="1390">
      <formula>$K298&lt;&gt;""</formula>
    </cfRule>
  </conditionalFormatting>
  <conditionalFormatting sqref="C298">
    <cfRule type="expression" dxfId="790" priority="1389">
      <formula>$G298&lt;&gt;"-"</formula>
    </cfRule>
  </conditionalFormatting>
  <conditionalFormatting sqref="D298">
    <cfRule type="expression" dxfId="789" priority="1388">
      <formula>$H298&lt;&gt;"-"</formula>
    </cfRule>
  </conditionalFormatting>
  <conditionalFormatting sqref="E298">
    <cfRule type="expression" dxfId="788" priority="1387">
      <formula>$I298&lt;&gt;"-"</formula>
    </cfRule>
  </conditionalFormatting>
  <conditionalFormatting sqref="B304">
    <cfRule type="expression" dxfId="787" priority="1384">
      <formula>AD304&lt;&gt;""</formula>
    </cfRule>
  </conditionalFormatting>
  <conditionalFormatting sqref="Z304">
    <cfRule type="cellIs" dxfId="786" priority="1382" operator="greaterThan">
      <formula>0</formula>
    </cfRule>
    <cfRule type="cellIs" dxfId="785" priority="1383" operator="lessThan">
      <formula>0</formula>
    </cfRule>
  </conditionalFormatting>
  <conditionalFormatting sqref="S304">
    <cfRule type="cellIs" dxfId="784" priority="1381" operator="lessThan">
      <formula>0</formula>
    </cfRule>
  </conditionalFormatting>
  <conditionalFormatting sqref="P304">
    <cfRule type="cellIs" dxfId="783" priority="1379" operator="equal">
      <formula>AS_DURATION_EFFORT</formula>
    </cfRule>
    <cfRule type="cellIs" dxfId="782" priority="1380" operator="equal">
      <formula>AS_DEV_EFFORT</formula>
    </cfRule>
  </conditionalFormatting>
  <conditionalFormatting sqref="F304">
    <cfRule type="expression" dxfId="781" priority="1378">
      <formula>$K304&lt;&gt;""</formula>
    </cfRule>
  </conditionalFormatting>
  <conditionalFormatting sqref="C304">
    <cfRule type="expression" dxfId="780" priority="1377">
      <formula>$G304&lt;&gt;"-"</formula>
    </cfRule>
  </conditionalFormatting>
  <conditionalFormatting sqref="D304">
    <cfRule type="expression" dxfId="779" priority="1376">
      <formula>$H304&lt;&gt;"-"</formula>
    </cfRule>
  </conditionalFormatting>
  <conditionalFormatting sqref="E304">
    <cfRule type="expression" dxfId="778" priority="1375">
      <formula>$I304&lt;&gt;"-"</formula>
    </cfRule>
  </conditionalFormatting>
  <conditionalFormatting sqref="B309">
    <cfRule type="expression" dxfId="777" priority="1370">
      <formula>AD309&lt;&gt;""</formula>
    </cfRule>
  </conditionalFormatting>
  <conditionalFormatting sqref="Z309">
    <cfRule type="cellIs" dxfId="776" priority="1368" operator="greaterThan">
      <formula>0</formula>
    </cfRule>
    <cfRule type="cellIs" dxfId="775" priority="1369" operator="lessThan">
      <formula>0</formula>
    </cfRule>
  </conditionalFormatting>
  <conditionalFormatting sqref="S309">
    <cfRule type="cellIs" dxfId="774" priority="1367" operator="lessThan">
      <formula>0</formula>
    </cfRule>
  </conditionalFormatting>
  <conditionalFormatting sqref="F309">
    <cfRule type="expression" dxfId="773" priority="1364">
      <formula>$K309&lt;&gt;""</formula>
    </cfRule>
  </conditionalFormatting>
  <conditionalFormatting sqref="C309">
    <cfRule type="expression" dxfId="772" priority="1363">
      <formula>$G309&lt;&gt;"-"</formula>
    </cfRule>
  </conditionalFormatting>
  <conditionalFormatting sqref="D309">
    <cfRule type="expression" dxfId="771" priority="1362">
      <formula>$H309&lt;&gt;"-"</formula>
    </cfRule>
  </conditionalFormatting>
  <conditionalFormatting sqref="E309">
    <cfRule type="expression" dxfId="770" priority="1361">
      <formula>$I309&lt;&gt;"-"</formula>
    </cfRule>
  </conditionalFormatting>
  <conditionalFormatting sqref="P309">
    <cfRule type="cellIs" dxfId="769" priority="1355" operator="equal">
      <formula>AS_DURATION_EFFORT</formula>
    </cfRule>
    <cfRule type="cellIs" dxfId="768" priority="1356" operator="equal">
      <formula>AS_DEV_EFFORT</formula>
    </cfRule>
  </conditionalFormatting>
  <conditionalFormatting sqref="B152">
    <cfRule type="expression" dxfId="767" priority="1351">
      <formula>AD152&lt;&gt;""</formula>
    </cfRule>
  </conditionalFormatting>
  <conditionalFormatting sqref="Z152">
    <cfRule type="cellIs" dxfId="766" priority="1349" operator="greaterThan">
      <formula>0</formula>
    </cfRule>
    <cfRule type="cellIs" dxfId="765" priority="1350" operator="lessThan">
      <formula>0</formula>
    </cfRule>
  </conditionalFormatting>
  <conditionalFormatting sqref="S152">
    <cfRule type="cellIs" dxfId="764" priority="1348" operator="lessThan">
      <formula>0</formula>
    </cfRule>
  </conditionalFormatting>
  <conditionalFormatting sqref="T150:T151">
    <cfRule type="expression" dxfId="763" priority="1352">
      <formula>#REF!="Yes"</formula>
    </cfRule>
  </conditionalFormatting>
  <conditionalFormatting sqref="P152">
    <cfRule type="cellIs" dxfId="762" priority="1346" operator="equal">
      <formula>AS_DURATION_EFFORT</formula>
    </cfRule>
    <cfRule type="cellIs" dxfId="761" priority="1347" operator="equal">
      <formula>AS_DEV_EFFORT</formula>
    </cfRule>
  </conditionalFormatting>
  <conditionalFormatting sqref="B150:B151">
    <cfRule type="expression" dxfId="760" priority="1345">
      <formula>AD150&lt;&gt;""</formula>
    </cfRule>
  </conditionalFormatting>
  <conditionalFormatting sqref="F152">
    <cfRule type="expression" dxfId="759" priority="1344">
      <formula>$K152&lt;&gt;""</formula>
    </cfRule>
  </conditionalFormatting>
  <conditionalFormatting sqref="C152">
    <cfRule type="expression" dxfId="758" priority="1343">
      <formula>$G152&lt;&gt;"-"</formula>
    </cfRule>
  </conditionalFormatting>
  <conditionalFormatting sqref="D152">
    <cfRule type="expression" dxfId="757" priority="1342">
      <formula>$H152&lt;&gt;"-"</formula>
    </cfRule>
  </conditionalFormatting>
  <conditionalFormatting sqref="E152">
    <cfRule type="expression" dxfId="756" priority="1341">
      <formula>$I152&lt;&gt;"-"</formula>
    </cfRule>
  </conditionalFormatting>
  <conditionalFormatting sqref="B153">
    <cfRule type="expression" dxfId="755" priority="1338">
      <formula>AD153&lt;&gt;""</formula>
    </cfRule>
  </conditionalFormatting>
  <conditionalFormatting sqref="Z153">
    <cfRule type="cellIs" dxfId="754" priority="1336" operator="greaterThan">
      <formula>0</formula>
    </cfRule>
    <cfRule type="cellIs" dxfId="753" priority="1337" operator="lessThan">
      <formula>0</formula>
    </cfRule>
  </conditionalFormatting>
  <conditionalFormatting sqref="S153">
    <cfRule type="cellIs" dxfId="752" priority="1335" operator="lessThan">
      <formula>0</formula>
    </cfRule>
  </conditionalFormatting>
  <conditionalFormatting sqref="P153">
    <cfRule type="cellIs" dxfId="751" priority="1333" operator="equal">
      <formula>AS_DURATION_EFFORT</formula>
    </cfRule>
    <cfRule type="cellIs" dxfId="750" priority="1334" operator="equal">
      <formula>AS_DEV_EFFORT</formula>
    </cfRule>
  </conditionalFormatting>
  <conditionalFormatting sqref="F153">
    <cfRule type="expression" dxfId="749" priority="1332">
      <formula>$K153&lt;&gt;""</formula>
    </cfRule>
  </conditionalFormatting>
  <conditionalFormatting sqref="C153">
    <cfRule type="expression" dxfId="748" priority="1331">
      <formula>$G153&lt;&gt;"-"</formula>
    </cfRule>
  </conditionalFormatting>
  <conditionalFormatting sqref="D153">
    <cfRule type="expression" dxfId="747" priority="1330">
      <formula>$H153&lt;&gt;"-"</formula>
    </cfRule>
  </conditionalFormatting>
  <conditionalFormatting sqref="E153">
    <cfRule type="expression" dxfId="746" priority="1329">
      <formula>$I153&lt;&gt;"-"</formula>
    </cfRule>
  </conditionalFormatting>
  <conditionalFormatting sqref="B157">
    <cfRule type="expression" dxfId="745" priority="1325">
      <formula>AD157&lt;&gt;""</formula>
    </cfRule>
  </conditionalFormatting>
  <conditionalFormatting sqref="Z157">
    <cfRule type="cellIs" dxfId="744" priority="1323" operator="greaterThan">
      <formula>0</formula>
    </cfRule>
    <cfRule type="cellIs" dxfId="743" priority="1324" operator="lessThan">
      <formula>0</formula>
    </cfRule>
  </conditionalFormatting>
  <conditionalFormatting sqref="S157">
    <cfRule type="cellIs" dxfId="742" priority="1322" operator="lessThan">
      <formula>0</formula>
    </cfRule>
  </conditionalFormatting>
  <conditionalFormatting sqref="T155:T156">
    <cfRule type="expression" dxfId="741" priority="1326">
      <formula>#REF!="Yes"</formula>
    </cfRule>
  </conditionalFormatting>
  <conditionalFormatting sqref="P157">
    <cfRule type="cellIs" dxfId="740" priority="1320" operator="equal">
      <formula>AS_DURATION_EFFORT</formula>
    </cfRule>
    <cfRule type="cellIs" dxfId="739" priority="1321" operator="equal">
      <formula>AS_DEV_EFFORT</formula>
    </cfRule>
  </conditionalFormatting>
  <conditionalFormatting sqref="B155:B156">
    <cfRule type="expression" dxfId="738" priority="1319">
      <formula>AD155&lt;&gt;""</formula>
    </cfRule>
  </conditionalFormatting>
  <conditionalFormatting sqref="F157">
    <cfRule type="expression" dxfId="737" priority="1318">
      <formula>$K157&lt;&gt;""</formula>
    </cfRule>
  </conditionalFormatting>
  <conditionalFormatting sqref="C157">
    <cfRule type="expression" dxfId="736" priority="1317">
      <formula>$G157&lt;&gt;"-"</formula>
    </cfRule>
  </conditionalFormatting>
  <conditionalFormatting sqref="D157">
    <cfRule type="expression" dxfId="735" priority="1316">
      <formula>$H157&lt;&gt;"-"</formula>
    </cfRule>
  </conditionalFormatting>
  <conditionalFormatting sqref="E157">
    <cfRule type="expression" dxfId="734" priority="1315">
      <formula>$I157&lt;&gt;"-"</formula>
    </cfRule>
  </conditionalFormatting>
  <conditionalFormatting sqref="B158">
    <cfRule type="expression" dxfId="733" priority="1312">
      <formula>AD158&lt;&gt;""</formula>
    </cfRule>
  </conditionalFormatting>
  <conditionalFormatting sqref="Z158">
    <cfRule type="cellIs" dxfId="732" priority="1310" operator="greaterThan">
      <formula>0</formula>
    </cfRule>
    <cfRule type="cellIs" dxfId="731" priority="1311" operator="lessThan">
      <formula>0</formula>
    </cfRule>
  </conditionalFormatting>
  <conditionalFormatting sqref="S158">
    <cfRule type="cellIs" dxfId="730" priority="1309" operator="lessThan">
      <formula>0</formula>
    </cfRule>
  </conditionalFormatting>
  <conditionalFormatting sqref="P158">
    <cfRule type="cellIs" dxfId="729" priority="1307" operator="equal">
      <formula>AS_DURATION_EFFORT</formula>
    </cfRule>
    <cfRule type="cellIs" dxfId="728" priority="1308" operator="equal">
      <formula>AS_DEV_EFFORT</formula>
    </cfRule>
  </conditionalFormatting>
  <conditionalFormatting sqref="F158">
    <cfRule type="expression" dxfId="727" priority="1306">
      <formula>$K158&lt;&gt;""</formula>
    </cfRule>
  </conditionalFormatting>
  <conditionalFormatting sqref="C158">
    <cfRule type="expression" dxfId="726" priority="1305">
      <formula>$G158&lt;&gt;"-"</formula>
    </cfRule>
  </conditionalFormatting>
  <conditionalFormatting sqref="D158">
    <cfRule type="expression" dxfId="725" priority="1304">
      <formula>$H158&lt;&gt;"-"</formula>
    </cfRule>
  </conditionalFormatting>
  <conditionalFormatting sqref="E158">
    <cfRule type="expression" dxfId="724" priority="1303">
      <formula>$I158&lt;&gt;"-"</formula>
    </cfRule>
  </conditionalFormatting>
  <conditionalFormatting sqref="B162">
    <cfRule type="expression" dxfId="723" priority="1299">
      <formula>AD162&lt;&gt;""</formula>
    </cfRule>
  </conditionalFormatting>
  <conditionalFormatting sqref="Z162">
    <cfRule type="cellIs" dxfId="722" priority="1297" operator="greaterThan">
      <formula>0</formula>
    </cfRule>
    <cfRule type="cellIs" dxfId="721" priority="1298" operator="lessThan">
      <formula>0</formula>
    </cfRule>
  </conditionalFormatting>
  <conditionalFormatting sqref="S162">
    <cfRule type="cellIs" dxfId="720" priority="1296" operator="lessThan">
      <formula>0</formula>
    </cfRule>
  </conditionalFormatting>
  <conditionalFormatting sqref="T160:T161">
    <cfRule type="expression" dxfId="719" priority="1300">
      <formula>#REF!="Yes"</formula>
    </cfRule>
  </conditionalFormatting>
  <conditionalFormatting sqref="P162">
    <cfRule type="cellIs" dxfId="718" priority="1294" operator="equal">
      <formula>AS_DURATION_EFFORT</formula>
    </cfRule>
    <cfRule type="cellIs" dxfId="717" priority="1295" operator="equal">
      <formula>AS_DEV_EFFORT</formula>
    </cfRule>
  </conditionalFormatting>
  <conditionalFormatting sqref="B160:B161">
    <cfRule type="expression" dxfId="716" priority="1293">
      <formula>AD160&lt;&gt;""</formula>
    </cfRule>
  </conditionalFormatting>
  <conditionalFormatting sqref="F162">
    <cfRule type="expression" dxfId="715" priority="1292">
      <formula>$K162&lt;&gt;""</formula>
    </cfRule>
  </conditionalFormatting>
  <conditionalFormatting sqref="C162">
    <cfRule type="expression" dxfId="714" priority="1291">
      <formula>$G162&lt;&gt;"-"</formula>
    </cfRule>
  </conditionalFormatting>
  <conditionalFormatting sqref="D162">
    <cfRule type="expression" dxfId="713" priority="1290">
      <formula>$H162&lt;&gt;"-"</formula>
    </cfRule>
  </conditionalFormatting>
  <conditionalFormatting sqref="E162">
    <cfRule type="expression" dxfId="712" priority="1289">
      <formula>$I162&lt;&gt;"-"</formula>
    </cfRule>
  </conditionalFormatting>
  <conditionalFormatting sqref="B166">
    <cfRule type="expression" dxfId="711" priority="1285">
      <formula>AD166&lt;&gt;""</formula>
    </cfRule>
  </conditionalFormatting>
  <conditionalFormatting sqref="Z166">
    <cfRule type="cellIs" dxfId="710" priority="1283" operator="greaterThan">
      <formula>0</formula>
    </cfRule>
    <cfRule type="cellIs" dxfId="709" priority="1284" operator="lessThan">
      <formula>0</formula>
    </cfRule>
  </conditionalFormatting>
  <conditionalFormatting sqref="S166">
    <cfRule type="cellIs" dxfId="708" priority="1282" operator="lessThan">
      <formula>0</formula>
    </cfRule>
  </conditionalFormatting>
  <conditionalFormatting sqref="T164:T165">
    <cfRule type="expression" dxfId="707" priority="1286">
      <formula>#REF!="Yes"</formula>
    </cfRule>
  </conditionalFormatting>
  <conditionalFormatting sqref="P166">
    <cfRule type="cellIs" dxfId="706" priority="1280" operator="equal">
      <formula>AS_DURATION_EFFORT</formula>
    </cfRule>
    <cfRule type="cellIs" dxfId="705" priority="1281" operator="equal">
      <formula>AS_DEV_EFFORT</formula>
    </cfRule>
  </conditionalFormatting>
  <conditionalFormatting sqref="B164:B165">
    <cfRule type="expression" dxfId="704" priority="1279">
      <formula>AD164&lt;&gt;""</formula>
    </cfRule>
  </conditionalFormatting>
  <conditionalFormatting sqref="F166">
    <cfRule type="expression" dxfId="703" priority="1278">
      <formula>$K166&lt;&gt;""</formula>
    </cfRule>
  </conditionalFormatting>
  <conditionalFormatting sqref="C166">
    <cfRule type="expression" dxfId="702" priority="1277">
      <formula>$G166&lt;&gt;"-"</formula>
    </cfRule>
  </conditionalFormatting>
  <conditionalFormatting sqref="D166">
    <cfRule type="expression" dxfId="701" priority="1276">
      <formula>$H166&lt;&gt;"-"</formula>
    </cfRule>
  </conditionalFormatting>
  <conditionalFormatting sqref="E166">
    <cfRule type="expression" dxfId="700" priority="1275">
      <formula>$I166&lt;&gt;"-"</formula>
    </cfRule>
  </conditionalFormatting>
  <conditionalFormatting sqref="B170">
    <cfRule type="expression" dxfId="699" priority="1271">
      <formula>AD170&lt;&gt;""</formula>
    </cfRule>
  </conditionalFormatting>
  <conditionalFormatting sqref="Z170">
    <cfRule type="cellIs" dxfId="698" priority="1269" operator="greaterThan">
      <formula>0</formula>
    </cfRule>
    <cfRule type="cellIs" dxfId="697" priority="1270" operator="lessThan">
      <formula>0</formula>
    </cfRule>
  </conditionalFormatting>
  <conditionalFormatting sqref="S170">
    <cfRule type="cellIs" dxfId="696" priority="1268" operator="lessThan">
      <formula>0</formula>
    </cfRule>
  </conditionalFormatting>
  <conditionalFormatting sqref="T168:T169">
    <cfRule type="expression" dxfId="695" priority="1272">
      <formula>#REF!="Yes"</formula>
    </cfRule>
  </conditionalFormatting>
  <conditionalFormatting sqref="P170">
    <cfRule type="cellIs" dxfId="694" priority="1266" operator="equal">
      <formula>AS_DURATION_EFFORT</formula>
    </cfRule>
    <cfRule type="cellIs" dxfId="693" priority="1267" operator="equal">
      <formula>AS_DEV_EFFORT</formula>
    </cfRule>
  </conditionalFormatting>
  <conditionalFormatting sqref="B168:B169">
    <cfRule type="expression" dxfId="692" priority="1265">
      <formula>AD168&lt;&gt;""</formula>
    </cfRule>
  </conditionalFormatting>
  <conditionalFormatting sqref="F170">
    <cfRule type="expression" dxfId="691" priority="1264">
      <formula>$K170&lt;&gt;""</formula>
    </cfRule>
  </conditionalFormatting>
  <conditionalFormatting sqref="C170">
    <cfRule type="expression" dxfId="690" priority="1263">
      <formula>$G170&lt;&gt;"-"</formula>
    </cfRule>
  </conditionalFormatting>
  <conditionalFormatting sqref="D170">
    <cfRule type="expression" dxfId="689" priority="1262">
      <formula>$H170&lt;&gt;"-"</formula>
    </cfRule>
  </conditionalFormatting>
  <conditionalFormatting sqref="E170">
    <cfRule type="expression" dxfId="688" priority="1261">
      <formula>$I170&lt;&gt;"-"</formula>
    </cfRule>
  </conditionalFormatting>
  <conditionalFormatting sqref="B171">
    <cfRule type="expression" dxfId="687" priority="1258">
      <formula>AD171&lt;&gt;""</formula>
    </cfRule>
  </conditionalFormatting>
  <conditionalFormatting sqref="Z171">
    <cfRule type="cellIs" dxfId="686" priority="1256" operator="greaterThan">
      <formula>0</formula>
    </cfRule>
    <cfRule type="cellIs" dxfId="685" priority="1257" operator="lessThan">
      <formula>0</formula>
    </cfRule>
  </conditionalFormatting>
  <conditionalFormatting sqref="S171">
    <cfRule type="cellIs" dxfId="684" priority="1255" operator="lessThan">
      <formula>0</formula>
    </cfRule>
  </conditionalFormatting>
  <conditionalFormatting sqref="P171">
    <cfRule type="cellIs" dxfId="683" priority="1253" operator="equal">
      <formula>AS_DURATION_EFFORT</formula>
    </cfRule>
    <cfRule type="cellIs" dxfId="682" priority="1254" operator="equal">
      <formula>AS_DEV_EFFORT</formula>
    </cfRule>
  </conditionalFormatting>
  <conditionalFormatting sqref="F171">
    <cfRule type="expression" dxfId="681" priority="1252">
      <formula>$K171&lt;&gt;""</formula>
    </cfRule>
  </conditionalFormatting>
  <conditionalFormatting sqref="C171">
    <cfRule type="expression" dxfId="680" priority="1251">
      <formula>$G171&lt;&gt;"-"</formula>
    </cfRule>
  </conditionalFormatting>
  <conditionalFormatting sqref="D171">
    <cfRule type="expression" dxfId="679" priority="1250">
      <formula>$H171&lt;&gt;"-"</formula>
    </cfRule>
  </conditionalFormatting>
  <conditionalFormatting sqref="E171">
    <cfRule type="expression" dxfId="678" priority="1249">
      <formula>$I171&lt;&gt;"-"</formula>
    </cfRule>
  </conditionalFormatting>
  <conditionalFormatting sqref="B176">
    <cfRule type="expression" dxfId="677" priority="1245">
      <formula>AD176&lt;&gt;""</formula>
    </cfRule>
  </conditionalFormatting>
  <conditionalFormatting sqref="Z176">
    <cfRule type="cellIs" dxfId="676" priority="1243" operator="greaterThan">
      <formula>0</formula>
    </cfRule>
    <cfRule type="cellIs" dxfId="675" priority="1244" operator="lessThan">
      <formula>0</formula>
    </cfRule>
  </conditionalFormatting>
  <conditionalFormatting sqref="S176">
    <cfRule type="cellIs" dxfId="674" priority="1242" operator="lessThan">
      <formula>0</formula>
    </cfRule>
  </conditionalFormatting>
  <conditionalFormatting sqref="T174:T175">
    <cfRule type="expression" dxfId="673" priority="1246">
      <formula>#REF!="Yes"</formula>
    </cfRule>
  </conditionalFormatting>
  <conditionalFormatting sqref="P176">
    <cfRule type="cellIs" dxfId="672" priority="1240" operator="equal">
      <formula>AS_DURATION_EFFORT</formula>
    </cfRule>
    <cfRule type="cellIs" dxfId="671" priority="1241" operator="equal">
      <formula>AS_DEV_EFFORT</formula>
    </cfRule>
  </conditionalFormatting>
  <conditionalFormatting sqref="B174:B175">
    <cfRule type="expression" dxfId="670" priority="1239">
      <formula>AD174&lt;&gt;""</formula>
    </cfRule>
  </conditionalFormatting>
  <conditionalFormatting sqref="F176">
    <cfRule type="expression" dxfId="669" priority="1238">
      <formula>$K176&lt;&gt;""</formula>
    </cfRule>
  </conditionalFormatting>
  <conditionalFormatting sqref="C176">
    <cfRule type="expression" dxfId="668" priority="1237">
      <formula>$G176&lt;&gt;"-"</formula>
    </cfRule>
  </conditionalFormatting>
  <conditionalFormatting sqref="D176">
    <cfRule type="expression" dxfId="667" priority="1236">
      <formula>$H176&lt;&gt;"-"</formula>
    </cfRule>
  </conditionalFormatting>
  <conditionalFormatting sqref="E176">
    <cfRule type="expression" dxfId="666" priority="1235">
      <formula>$I176&lt;&gt;"-"</formula>
    </cfRule>
  </conditionalFormatting>
  <conditionalFormatting sqref="B180">
    <cfRule type="expression" dxfId="665" priority="1231">
      <formula>AD180&lt;&gt;""</formula>
    </cfRule>
  </conditionalFormatting>
  <conditionalFormatting sqref="Z180">
    <cfRule type="cellIs" dxfId="664" priority="1229" operator="greaterThan">
      <formula>0</formula>
    </cfRule>
    <cfRule type="cellIs" dxfId="663" priority="1230" operator="lessThan">
      <formula>0</formula>
    </cfRule>
  </conditionalFormatting>
  <conditionalFormatting sqref="S180">
    <cfRule type="cellIs" dxfId="662" priority="1228" operator="lessThan">
      <formula>0</formula>
    </cfRule>
  </conditionalFormatting>
  <conditionalFormatting sqref="T178:T179">
    <cfRule type="expression" dxfId="661" priority="1232">
      <formula>#REF!="Yes"</formula>
    </cfRule>
  </conditionalFormatting>
  <conditionalFormatting sqref="P180">
    <cfRule type="cellIs" dxfId="660" priority="1226" operator="equal">
      <formula>AS_DURATION_EFFORT</formula>
    </cfRule>
    <cfRule type="cellIs" dxfId="659" priority="1227" operator="equal">
      <formula>AS_DEV_EFFORT</formula>
    </cfRule>
  </conditionalFormatting>
  <conditionalFormatting sqref="B178:B179">
    <cfRule type="expression" dxfId="658" priority="1225">
      <formula>AD178&lt;&gt;""</formula>
    </cfRule>
  </conditionalFormatting>
  <conditionalFormatting sqref="F180">
    <cfRule type="expression" dxfId="657" priority="1224">
      <formula>$K180&lt;&gt;""</formula>
    </cfRule>
  </conditionalFormatting>
  <conditionalFormatting sqref="C180">
    <cfRule type="expression" dxfId="656" priority="1223">
      <formula>$G180&lt;&gt;"-"</formula>
    </cfRule>
  </conditionalFormatting>
  <conditionalFormatting sqref="D180">
    <cfRule type="expression" dxfId="655" priority="1222">
      <formula>$H180&lt;&gt;"-"</formula>
    </cfRule>
  </conditionalFormatting>
  <conditionalFormatting sqref="E180">
    <cfRule type="expression" dxfId="654" priority="1221">
      <formula>$I180&lt;&gt;"-"</formula>
    </cfRule>
  </conditionalFormatting>
  <conditionalFormatting sqref="B184">
    <cfRule type="expression" dxfId="653" priority="1217">
      <formula>AD184&lt;&gt;""</formula>
    </cfRule>
  </conditionalFormatting>
  <conditionalFormatting sqref="Z184">
    <cfRule type="cellIs" dxfId="652" priority="1215" operator="greaterThan">
      <formula>0</formula>
    </cfRule>
    <cfRule type="cellIs" dxfId="651" priority="1216" operator="lessThan">
      <formula>0</formula>
    </cfRule>
  </conditionalFormatting>
  <conditionalFormatting sqref="S184">
    <cfRule type="cellIs" dxfId="650" priority="1214" operator="lessThan">
      <formula>0</formula>
    </cfRule>
  </conditionalFormatting>
  <conditionalFormatting sqref="T182:T183">
    <cfRule type="expression" dxfId="649" priority="1218">
      <formula>#REF!="Yes"</formula>
    </cfRule>
  </conditionalFormatting>
  <conditionalFormatting sqref="P184">
    <cfRule type="cellIs" dxfId="648" priority="1212" operator="equal">
      <formula>AS_DURATION_EFFORT</formula>
    </cfRule>
    <cfRule type="cellIs" dxfId="647" priority="1213" operator="equal">
      <formula>AS_DEV_EFFORT</formula>
    </cfRule>
  </conditionalFormatting>
  <conditionalFormatting sqref="B182:B183">
    <cfRule type="expression" dxfId="646" priority="1211">
      <formula>AD182&lt;&gt;""</formula>
    </cfRule>
  </conditionalFormatting>
  <conditionalFormatting sqref="F184">
    <cfRule type="expression" dxfId="645" priority="1210">
      <formula>$K184&lt;&gt;""</formula>
    </cfRule>
  </conditionalFormatting>
  <conditionalFormatting sqref="C184">
    <cfRule type="expression" dxfId="644" priority="1209">
      <formula>$G184&lt;&gt;"-"</formula>
    </cfRule>
  </conditionalFormatting>
  <conditionalFormatting sqref="D184">
    <cfRule type="expression" dxfId="643" priority="1208">
      <formula>$H184&lt;&gt;"-"</formula>
    </cfRule>
  </conditionalFormatting>
  <conditionalFormatting sqref="E184">
    <cfRule type="expression" dxfId="642" priority="1207">
      <formula>$I184&lt;&gt;"-"</formula>
    </cfRule>
  </conditionalFormatting>
  <conditionalFormatting sqref="B185">
    <cfRule type="expression" dxfId="641" priority="1204">
      <formula>AD185&lt;&gt;""</formula>
    </cfRule>
  </conditionalFormatting>
  <conditionalFormatting sqref="Z185">
    <cfRule type="cellIs" dxfId="640" priority="1202" operator="greaterThan">
      <formula>0</formula>
    </cfRule>
    <cfRule type="cellIs" dxfId="639" priority="1203" operator="lessThan">
      <formula>0</formula>
    </cfRule>
  </conditionalFormatting>
  <conditionalFormatting sqref="S185">
    <cfRule type="cellIs" dxfId="638" priority="1201" operator="lessThan">
      <formula>0</formula>
    </cfRule>
  </conditionalFormatting>
  <conditionalFormatting sqref="P185">
    <cfRule type="cellIs" dxfId="637" priority="1199" operator="equal">
      <formula>AS_DURATION_EFFORT</formula>
    </cfRule>
    <cfRule type="cellIs" dxfId="636" priority="1200" operator="equal">
      <formula>AS_DEV_EFFORT</formula>
    </cfRule>
  </conditionalFormatting>
  <conditionalFormatting sqref="F185">
    <cfRule type="expression" dxfId="635" priority="1198">
      <formula>$K185&lt;&gt;""</formula>
    </cfRule>
  </conditionalFormatting>
  <conditionalFormatting sqref="C185">
    <cfRule type="expression" dxfId="634" priority="1197">
      <formula>$G185&lt;&gt;"-"</formula>
    </cfRule>
  </conditionalFormatting>
  <conditionalFormatting sqref="D185">
    <cfRule type="expression" dxfId="633" priority="1196">
      <formula>$H185&lt;&gt;"-"</formula>
    </cfRule>
  </conditionalFormatting>
  <conditionalFormatting sqref="E185">
    <cfRule type="expression" dxfId="632" priority="1195">
      <formula>$I185&lt;&gt;"-"</formula>
    </cfRule>
  </conditionalFormatting>
  <conditionalFormatting sqref="B186">
    <cfRule type="expression" dxfId="631" priority="1192">
      <formula>AD186&lt;&gt;""</formula>
    </cfRule>
  </conditionalFormatting>
  <conditionalFormatting sqref="Z186">
    <cfRule type="cellIs" dxfId="630" priority="1190" operator="greaterThan">
      <formula>0</formula>
    </cfRule>
    <cfRule type="cellIs" dxfId="629" priority="1191" operator="lessThan">
      <formula>0</formula>
    </cfRule>
  </conditionalFormatting>
  <conditionalFormatting sqref="S186">
    <cfRule type="cellIs" dxfId="628" priority="1189" operator="lessThan">
      <formula>0</formula>
    </cfRule>
  </conditionalFormatting>
  <conditionalFormatting sqref="P186">
    <cfRule type="cellIs" dxfId="627" priority="1187" operator="equal">
      <formula>AS_DURATION_EFFORT</formula>
    </cfRule>
    <cfRule type="cellIs" dxfId="626" priority="1188" operator="equal">
      <formula>AS_DEV_EFFORT</formula>
    </cfRule>
  </conditionalFormatting>
  <conditionalFormatting sqref="F186">
    <cfRule type="expression" dxfId="625" priority="1186">
      <formula>$K186&lt;&gt;""</formula>
    </cfRule>
  </conditionalFormatting>
  <conditionalFormatting sqref="C186">
    <cfRule type="expression" dxfId="624" priority="1185">
      <formula>$G186&lt;&gt;"-"</formula>
    </cfRule>
  </conditionalFormatting>
  <conditionalFormatting sqref="D186">
    <cfRule type="expression" dxfId="623" priority="1184">
      <formula>$H186&lt;&gt;"-"</formula>
    </cfRule>
  </conditionalFormatting>
  <conditionalFormatting sqref="E186">
    <cfRule type="expression" dxfId="622" priority="1183">
      <formula>$I186&lt;&gt;"-"</formula>
    </cfRule>
  </conditionalFormatting>
  <conditionalFormatting sqref="B190">
    <cfRule type="expression" dxfId="621" priority="1179">
      <formula>AD190&lt;&gt;""</formula>
    </cfRule>
  </conditionalFormatting>
  <conditionalFormatting sqref="Z190">
    <cfRule type="cellIs" dxfId="620" priority="1177" operator="greaterThan">
      <formula>0</formula>
    </cfRule>
    <cfRule type="cellIs" dxfId="619" priority="1178" operator="lessThan">
      <formula>0</formula>
    </cfRule>
  </conditionalFormatting>
  <conditionalFormatting sqref="S190">
    <cfRule type="cellIs" dxfId="618" priority="1176" operator="lessThan">
      <formula>0</formula>
    </cfRule>
  </conditionalFormatting>
  <conditionalFormatting sqref="T188:T189">
    <cfRule type="expression" dxfId="617" priority="1180">
      <formula>#REF!="Yes"</formula>
    </cfRule>
  </conditionalFormatting>
  <conditionalFormatting sqref="P190">
    <cfRule type="cellIs" dxfId="616" priority="1174" operator="equal">
      <formula>AS_DURATION_EFFORT</formula>
    </cfRule>
    <cfRule type="cellIs" dxfId="615" priority="1175" operator="equal">
      <formula>AS_DEV_EFFORT</formula>
    </cfRule>
  </conditionalFormatting>
  <conditionalFormatting sqref="B188:B189">
    <cfRule type="expression" dxfId="614" priority="1173">
      <formula>AD188&lt;&gt;""</formula>
    </cfRule>
  </conditionalFormatting>
  <conditionalFormatting sqref="F190">
    <cfRule type="expression" dxfId="613" priority="1172">
      <formula>$K190&lt;&gt;""</formula>
    </cfRule>
  </conditionalFormatting>
  <conditionalFormatting sqref="C190">
    <cfRule type="expression" dxfId="612" priority="1171">
      <formula>$G190&lt;&gt;"-"</formula>
    </cfRule>
  </conditionalFormatting>
  <conditionalFormatting sqref="D190">
    <cfRule type="expression" dxfId="611" priority="1170">
      <formula>$H190&lt;&gt;"-"</formula>
    </cfRule>
  </conditionalFormatting>
  <conditionalFormatting sqref="E190">
    <cfRule type="expression" dxfId="610" priority="1169">
      <formula>$I190&lt;&gt;"-"</formula>
    </cfRule>
  </conditionalFormatting>
  <conditionalFormatting sqref="B191">
    <cfRule type="expression" dxfId="609" priority="1166">
      <formula>AD191&lt;&gt;""</formula>
    </cfRule>
  </conditionalFormatting>
  <conditionalFormatting sqref="Z191">
    <cfRule type="cellIs" dxfId="608" priority="1164" operator="greaterThan">
      <formula>0</formula>
    </cfRule>
    <cfRule type="cellIs" dxfId="607" priority="1165" operator="lessThan">
      <formula>0</formula>
    </cfRule>
  </conditionalFormatting>
  <conditionalFormatting sqref="S191">
    <cfRule type="cellIs" dxfId="606" priority="1163" operator="lessThan">
      <formula>0</formula>
    </cfRule>
  </conditionalFormatting>
  <conditionalFormatting sqref="P191">
    <cfRule type="cellIs" dxfId="605" priority="1161" operator="equal">
      <formula>AS_DURATION_EFFORT</formula>
    </cfRule>
    <cfRule type="cellIs" dxfId="604" priority="1162" operator="equal">
      <formula>AS_DEV_EFFORT</formula>
    </cfRule>
  </conditionalFormatting>
  <conditionalFormatting sqref="F191">
    <cfRule type="expression" dxfId="603" priority="1160">
      <formula>$K191&lt;&gt;""</formula>
    </cfRule>
  </conditionalFormatting>
  <conditionalFormatting sqref="C191">
    <cfRule type="expression" dxfId="602" priority="1159">
      <formula>$G191&lt;&gt;"-"</formula>
    </cfRule>
  </conditionalFormatting>
  <conditionalFormatting sqref="D191">
    <cfRule type="expression" dxfId="601" priority="1158">
      <formula>$H191&lt;&gt;"-"</formula>
    </cfRule>
  </conditionalFormatting>
  <conditionalFormatting sqref="E191">
    <cfRule type="expression" dxfId="600" priority="1157">
      <formula>$I191&lt;&gt;"-"</formula>
    </cfRule>
  </conditionalFormatting>
  <conditionalFormatting sqref="B196">
    <cfRule type="expression" dxfId="599" priority="1153">
      <formula>AD196&lt;&gt;""</formula>
    </cfRule>
  </conditionalFormatting>
  <conditionalFormatting sqref="Z196">
    <cfRule type="cellIs" dxfId="598" priority="1151" operator="greaterThan">
      <formula>0</formula>
    </cfRule>
    <cfRule type="cellIs" dxfId="597" priority="1152" operator="lessThan">
      <formula>0</formula>
    </cfRule>
  </conditionalFormatting>
  <conditionalFormatting sqref="S196">
    <cfRule type="cellIs" dxfId="596" priority="1150" operator="lessThan">
      <formula>0</formula>
    </cfRule>
  </conditionalFormatting>
  <conditionalFormatting sqref="T194:T195">
    <cfRule type="expression" dxfId="595" priority="1154">
      <formula>#REF!="Yes"</formula>
    </cfRule>
  </conditionalFormatting>
  <conditionalFormatting sqref="P196">
    <cfRule type="cellIs" dxfId="594" priority="1148" operator="equal">
      <formula>AS_DURATION_EFFORT</formula>
    </cfRule>
    <cfRule type="cellIs" dxfId="593" priority="1149" operator="equal">
      <formula>AS_DEV_EFFORT</formula>
    </cfRule>
  </conditionalFormatting>
  <conditionalFormatting sqref="B194:B195">
    <cfRule type="expression" dxfId="592" priority="1147">
      <formula>AD194&lt;&gt;""</formula>
    </cfRule>
  </conditionalFormatting>
  <conditionalFormatting sqref="F196">
    <cfRule type="expression" dxfId="591" priority="1146">
      <formula>$K196&lt;&gt;""</formula>
    </cfRule>
  </conditionalFormatting>
  <conditionalFormatting sqref="C196">
    <cfRule type="expression" dxfId="590" priority="1145">
      <formula>$G196&lt;&gt;"-"</formula>
    </cfRule>
  </conditionalFormatting>
  <conditionalFormatting sqref="D196">
    <cfRule type="expression" dxfId="589" priority="1144">
      <formula>$H196&lt;&gt;"-"</formula>
    </cfRule>
  </conditionalFormatting>
  <conditionalFormatting sqref="E196">
    <cfRule type="expression" dxfId="588" priority="1143">
      <formula>$I196&lt;&gt;"-"</formula>
    </cfRule>
  </conditionalFormatting>
  <conditionalFormatting sqref="B200">
    <cfRule type="expression" dxfId="587" priority="1139">
      <formula>AD200&lt;&gt;""</formula>
    </cfRule>
  </conditionalFormatting>
  <conditionalFormatting sqref="Z200">
    <cfRule type="cellIs" dxfId="586" priority="1137" operator="greaterThan">
      <formula>0</formula>
    </cfRule>
    <cfRule type="cellIs" dxfId="585" priority="1138" operator="lessThan">
      <formula>0</formula>
    </cfRule>
  </conditionalFormatting>
  <conditionalFormatting sqref="S200">
    <cfRule type="cellIs" dxfId="584" priority="1136" operator="lessThan">
      <formula>0</formula>
    </cfRule>
  </conditionalFormatting>
  <conditionalFormatting sqref="T198:T199">
    <cfRule type="expression" dxfId="583" priority="1140">
      <formula>#REF!="Yes"</formula>
    </cfRule>
  </conditionalFormatting>
  <conditionalFormatting sqref="P200">
    <cfRule type="cellIs" dxfId="582" priority="1134" operator="equal">
      <formula>AS_DURATION_EFFORT</formula>
    </cfRule>
    <cfRule type="cellIs" dxfId="581" priority="1135" operator="equal">
      <formula>AS_DEV_EFFORT</formula>
    </cfRule>
  </conditionalFormatting>
  <conditionalFormatting sqref="B198:B199">
    <cfRule type="expression" dxfId="580" priority="1133">
      <formula>AD198&lt;&gt;""</formula>
    </cfRule>
  </conditionalFormatting>
  <conditionalFormatting sqref="F200">
    <cfRule type="expression" dxfId="579" priority="1132">
      <formula>$K200&lt;&gt;""</formula>
    </cfRule>
  </conditionalFormatting>
  <conditionalFormatting sqref="C200">
    <cfRule type="expression" dxfId="578" priority="1131">
      <formula>$G200&lt;&gt;"-"</formula>
    </cfRule>
  </conditionalFormatting>
  <conditionalFormatting sqref="D200">
    <cfRule type="expression" dxfId="577" priority="1130">
      <formula>$H200&lt;&gt;"-"</formula>
    </cfRule>
  </conditionalFormatting>
  <conditionalFormatting sqref="E200">
    <cfRule type="expression" dxfId="576" priority="1129">
      <formula>$I200&lt;&gt;"-"</formula>
    </cfRule>
  </conditionalFormatting>
  <conditionalFormatting sqref="B204">
    <cfRule type="expression" dxfId="575" priority="1125">
      <formula>AD204&lt;&gt;""</formula>
    </cfRule>
  </conditionalFormatting>
  <conditionalFormatting sqref="Z204">
    <cfRule type="cellIs" dxfId="574" priority="1123" operator="greaterThan">
      <formula>0</formula>
    </cfRule>
    <cfRule type="cellIs" dxfId="573" priority="1124" operator="lessThan">
      <formula>0</formula>
    </cfRule>
  </conditionalFormatting>
  <conditionalFormatting sqref="S204">
    <cfRule type="cellIs" dxfId="572" priority="1122" operator="lessThan">
      <formula>0</formula>
    </cfRule>
  </conditionalFormatting>
  <conditionalFormatting sqref="T202:T203">
    <cfRule type="expression" dxfId="571" priority="1126">
      <formula>#REF!="Yes"</formula>
    </cfRule>
  </conditionalFormatting>
  <conditionalFormatting sqref="P204">
    <cfRule type="cellIs" dxfId="570" priority="1120" operator="equal">
      <formula>AS_DURATION_EFFORT</formula>
    </cfRule>
    <cfRule type="cellIs" dxfId="569" priority="1121" operator="equal">
      <formula>AS_DEV_EFFORT</formula>
    </cfRule>
  </conditionalFormatting>
  <conditionalFormatting sqref="B202:B203">
    <cfRule type="expression" dxfId="568" priority="1119">
      <formula>AD202&lt;&gt;""</formula>
    </cfRule>
  </conditionalFormatting>
  <conditionalFormatting sqref="F204">
    <cfRule type="expression" dxfId="567" priority="1118">
      <formula>$K204&lt;&gt;""</formula>
    </cfRule>
  </conditionalFormatting>
  <conditionalFormatting sqref="C204">
    <cfRule type="expression" dxfId="566" priority="1117">
      <formula>$G204&lt;&gt;"-"</formula>
    </cfRule>
  </conditionalFormatting>
  <conditionalFormatting sqref="D204">
    <cfRule type="expression" dxfId="565" priority="1116">
      <formula>$H204&lt;&gt;"-"</formula>
    </cfRule>
  </conditionalFormatting>
  <conditionalFormatting sqref="E204">
    <cfRule type="expression" dxfId="564" priority="1115">
      <formula>$I204&lt;&gt;"-"</formula>
    </cfRule>
  </conditionalFormatting>
  <conditionalFormatting sqref="B206">
    <cfRule type="expression" dxfId="563" priority="1112">
      <formula>AD206&lt;&gt;""</formula>
    </cfRule>
  </conditionalFormatting>
  <conditionalFormatting sqref="Z206">
    <cfRule type="cellIs" dxfId="562" priority="1110" operator="greaterThan">
      <formula>0</formula>
    </cfRule>
    <cfRule type="cellIs" dxfId="561" priority="1111" operator="lessThan">
      <formula>0</formula>
    </cfRule>
  </conditionalFormatting>
  <conditionalFormatting sqref="S206">
    <cfRule type="cellIs" dxfId="560" priority="1109" operator="lessThan">
      <formula>0</formula>
    </cfRule>
  </conditionalFormatting>
  <conditionalFormatting sqref="P206">
    <cfRule type="cellIs" dxfId="559" priority="1107" operator="equal">
      <formula>AS_DURATION_EFFORT</formula>
    </cfRule>
    <cfRule type="cellIs" dxfId="558" priority="1108" operator="equal">
      <formula>AS_DEV_EFFORT</formula>
    </cfRule>
  </conditionalFormatting>
  <conditionalFormatting sqref="F206">
    <cfRule type="expression" dxfId="557" priority="1106">
      <formula>$K206&lt;&gt;""</formula>
    </cfRule>
  </conditionalFormatting>
  <conditionalFormatting sqref="C206">
    <cfRule type="expression" dxfId="556" priority="1105">
      <formula>$G206&lt;&gt;"-"</formula>
    </cfRule>
  </conditionalFormatting>
  <conditionalFormatting sqref="D206">
    <cfRule type="expression" dxfId="555" priority="1104">
      <formula>$H206&lt;&gt;"-"</formula>
    </cfRule>
  </conditionalFormatting>
  <conditionalFormatting sqref="E206">
    <cfRule type="expression" dxfId="554" priority="1103">
      <formula>$I206&lt;&gt;"-"</formula>
    </cfRule>
  </conditionalFormatting>
  <conditionalFormatting sqref="B205">
    <cfRule type="expression" dxfId="553" priority="1088">
      <formula>AD205&lt;&gt;""</formula>
    </cfRule>
  </conditionalFormatting>
  <conditionalFormatting sqref="Z205">
    <cfRule type="cellIs" dxfId="552" priority="1086" operator="greaterThan">
      <formula>0</formula>
    </cfRule>
    <cfRule type="cellIs" dxfId="551" priority="1087" operator="lessThan">
      <formula>0</formula>
    </cfRule>
  </conditionalFormatting>
  <conditionalFormatting sqref="S205">
    <cfRule type="cellIs" dxfId="550" priority="1085" operator="lessThan">
      <formula>0</formula>
    </cfRule>
  </conditionalFormatting>
  <conditionalFormatting sqref="P205">
    <cfRule type="cellIs" dxfId="549" priority="1083" operator="equal">
      <formula>AS_DURATION_EFFORT</formula>
    </cfRule>
    <cfRule type="cellIs" dxfId="548" priority="1084" operator="equal">
      <formula>AS_DEV_EFFORT</formula>
    </cfRule>
  </conditionalFormatting>
  <conditionalFormatting sqref="F205">
    <cfRule type="expression" dxfId="547" priority="1082">
      <formula>$K205&lt;&gt;""</formula>
    </cfRule>
  </conditionalFormatting>
  <conditionalFormatting sqref="C205">
    <cfRule type="expression" dxfId="546" priority="1081">
      <formula>$G205&lt;&gt;"-"</formula>
    </cfRule>
  </conditionalFormatting>
  <conditionalFormatting sqref="D205">
    <cfRule type="expression" dxfId="545" priority="1080">
      <formula>$H205&lt;&gt;"-"</formula>
    </cfRule>
  </conditionalFormatting>
  <conditionalFormatting sqref="E205">
    <cfRule type="expression" dxfId="544" priority="1079">
      <formula>$I205&lt;&gt;"-"</formula>
    </cfRule>
  </conditionalFormatting>
  <conditionalFormatting sqref="B210">
    <cfRule type="expression" dxfId="543" priority="1075">
      <formula>AD210&lt;&gt;""</formula>
    </cfRule>
  </conditionalFormatting>
  <conditionalFormatting sqref="Z210">
    <cfRule type="cellIs" dxfId="542" priority="1073" operator="greaterThan">
      <formula>0</formula>
    </cfRule>
    <cfRule type="cellIs" dxfId="541" priority="1074" operator="lessThan">
      <formula>0</formula>
    </cfRule>
  </conditionalFormatting>
  <conditionalFormatting sqref="S210">
    <cfRule type="cellIs" dxfId="540" priority="1072" operator="lessThan">
      <formula>0</formula>
    </cfRule>
  </conditionalFormatting>
  <conditionalFormatting sqref="T208:T209">
    <cfRule type="expression" dxfId="539" priority="1076">
      <formula>#REF!="Yes"</formula>
    </cfRule>
  </conditionalFormatting>
  <conditionalFormatting sqref="P210">
    <cfRule type="cellIs" dxfId="538" priority="1070" operator="equal">
      <formula>AS_DURATION_EFFORT</formula>
    </cfRule>
    <cfRule type="cellIs" dxfId="537" priority="1071" operator="equal">
      <formula>AS_DEV_EFFORT</formula>
    </cfRule>
  </conditionalFormatting>
  <conditionalFormatting sqref="B208:B209">
    <cfRule type="expression" dxfId="536" priority="1069">
      <formula>AD208&lt;&gt;""</formula>
    </cfRule>
  </conditionalFormatting>
  <conditionalFormatting sqref="F210">
    <cfRule type="expression" dxfId="535" priority="1068">
      <formula>$K210&lt;&gt;""</formula>
    </cfRule>
  </conditionalFormatting>
  <conditionalFormatting sqref="C210">
    <cfRule type="expression" dxfId="534" priority="1067">
      <formula>$G210&lt;&gt;"-"</formula>
    </cfRule>
  </conditionalFormatting>
  <conditionalFormatting sqref="D210">
    <cfRule type="expression" dxfId="533" priority="1066">
      <formula>$H210&lt;&gt;"-"</formula>
    </cfRule>
  </conditionalFormatting>
  <conditionalFormatting sqref="E210">
    <cfRule type="expression" dxfId="532" priority="1065">
      <formula>$I210&lt;&gt;"-"</formula>
    </cfRule>
  </conditionalFormatting>
  <conditionalFormatting sqref="B214">
    <cfRule type="expression" dxfId="531" priority="1061">
      <formula>AD214&lt;&gt;""</formula>
    </cfRule>
  </conditionalFormatting>
  <conditionalFormatting sqref="Z214">
    <cfRule type="cellIs" dxfId="530" priority="1059" operator="greaterThan">
      <formula>0</formula>
    </cfRule>
    <cfRule type="cellIs" dxfId="529" priority="1060" operator="lessThan">
      <formula>0</formula>
    </cfRule>
  </conditionalFormatting>
  <conditionalFormatting sqref="S214">
    <cfRule type="cellIs" dxfId="528" priority="1058" operator="lessThan">
      <formula>0</formula>
    </cfRule>
  </conditionalFormatting>
  <conditionalFormatting sqref="T212:T213">
    <cfRule type="expression" dxfId="527" priority="1062">
      <formula>#REF!="Yes"</formula>
    </cfRule>
  </conditionalFormatting>
  <conditionalFormatting sqref="P214">
    <cfRule type="cellIs" dxfId="526" priority="1056" operator="equal">
      <formula>AS_DURATION_EFFORT</formula>
    </cfRule>
    <cfRule type="cellIs" dxfId="525" priority="1057" operator="equal">
      <formula>AS_DEV_EFFORT</formula>
    </cfRule>
  </conditionalFormatting>
  <conditionalFormatting sqref="B212:B213">
    <cfRule type="expression" dxfId="524" priority="1055">
      <formula>AD212&lt;&gt;""</formula>
    </cfRule>
  </conditionalFormatting>
  <conditionalFormatting sqref="F214">
    <cfRule type="expression" dxfId="523" priority="1054">
      <formula>$K214&lt;&gt;""</formula>
    </cfRule>
  </conditionalFormatting>
  <conditionalFormatting sqref="C214">
    <cfRule type="expression" dxfId="522" priority="1053">
      <formula>$G214&lt;&gt;"-"</formula>
    </cfRule>
  </conditionalFormatting>
  <conditionalFormatting sqref="D214">
    <cfRule type="expression" dxfId="521" priority="1052">
      <formula>$H214&lt;&gt;"-"</formula>
    </cfRule>
  </conditionalFormatting>
  <conditionalFormatting sqref="E214">
    <cfRule type="expression" dxfId="520" priority="1051">
      <formula>$I214&lt;&gt;"-"</formula>
    </cfRule>
  </conditionalFormatting>
  <conditionalFormatting sqref="B218">
    <cfRule type="expression" dxfId="519" priority="1045">
      <formula>AD218&lt;&gt;""</formula>
    </cfRule>
  </conditionalFormatting>
  <conditionalFormatting sqref="Z218">
    <cfRule type="cellIs" dxfId="518" priority="1043" operator="greaterThan">
      <formula>0</formula>
    </cfRule>
    <cfRule type="cellIs" dxfId="517" priority="1044" operator="lessThan">
      <formula>0</formula>
    </cfRule>
  </conditionalFormatting>
  <conditionalFormatting sqref="S218">
    <cfRule type="cellIs" dxfId="516" priority="1042" operator="lessThan">
      <formula>0</formula>
    </cfRule>
  </conditionalFormatting>
  <conditionalFormatting sqref="T216:T217">
    <cfRule type="expression" dxfId="515" priority="1046">
      <formula>#REF!="Yes"</formula>
    </cfRule>
  </conditionalFormatting>
  <conditionalFormatting sqref="P218">
    <cfRule type="cellIs" dxfId="514" priority="1040" operator="equal">
      <formula>AS_DURATION_EFFORT</formula>
    </cfRule>
    <cfRule type="cellIs" dxfId="513" priority="1041" operator="equal">
      <formula>AS_DEV_EFFORT</formula>
    </cfRule>
  </conditionalFormatting>
  <conditionalFormatting sqref="B216:B217">
    <cfRule type="expression" dxfId="512" priority="1039">
      <formula>AD216&lt;&gt;""</formula>
    </cfRule>
  </conditionalFormatting>
  <conditionalFormatting sqref="F218">
    <cfRule type="expression" dxfId="511" priority="1038">
      <formula>$K218&lt;&gt;""</formula>
    </cfRule>
  </conditionalFormatting>
  <conditionalFormatting sqref="C218">
    <cfRule type="expression" dxfId="510" priority="1037">
      <formula>$G218&lt;&gt;"-"</formula>
    </cfRule>
  </conditionalFormatting>
  <conditionalFormatting sqref="D218">
    <cfRule type="expression" dxfId="509" priority="1036">
      <formula>$H218&lt;&gt;"-"</formula>
    </cfRule>
  </conditionalFormatting>
  <conditionalFormatting sqref="E218">
    <cfRule type="expression" dxfId="508" priority="1035">
      <formula>$I218&lt;&gt;"-"</formula>
    </cfRule>
  </conditionalFormatting>
  <conditionalFormatting sqref="B222">
    <cfRule type="expression" dxfId="507" priority="1031">
      <formula>AD222&lt;&gt;""</formula>
    </cfRule>
  </conditionalFormatting>
  <conditionalFormatting sqref="Z222">
    <cfRule type="cellIs" dxfId="506" priority="1029" operator="greaterThan">
      <formula>0</formula>
    </cfRule>
    <cfRule type="cellIs" dxfId="505" priority="1030" operator="lessThan">
      <formula>0</formula>
    </cfRule>
  </conditionalFormatting>
  <conditionalFormatting sqref="S222">
    <cfRule type="cellIs" dxfId="504" priority="1028" operator="lessThan">
      <formula>0</formula>
    </cfRule>
  </conditionalFormatting>
  <conditionalFormatting sqref="T220:T221">
    <cfRule type="expression" dxfId="503" priority="1032">
      <formula>#REF!="Yes"</formula>
    </cfRule>
  </conditionalFormatting>
  <conditionalFormatting sqref="P222">
    <cfRule type="cellIs" dxfId="502" priority="1026" operator="equal">
      <formula>AS_DURATION_EFFORT</formula>
    </cfRule>
    <cfRule type="cellIs" dxfId="501" priority="1027" operator="equal">
      <formula>AS_DEV_EFFORT</formula>
    </cfRule>
  </conditionalFormatting>
  <conditionalFormatting sqref="B220:B221">
    <cfRule type="expression" dxfId="500" priority="1025">
      <formula>AD220&lt;&gt;""</formula>
    </cfRule>
  </conditionalFormatting>
  <conditionalFormatting sqref="F222">
    <cfRule type="expression" dxfId="499" priority="1024">
      <formula>$K222&lt;&gt;""</formula>
    </cfRule>
  </conditionalFormatting>
  <conditionalFormatting sqref="C222">
    <cfRule type="expression" dxfId="498" priority="1023">
      <formula>$G222&lt;&gt;"-"</formula>
    </cfRule>
  </conditionalFormatting>
  <conditionalFormatting sqref="D222">
    <cfRule type="expression" dxfId="497" priority="1022">
      <formula>$H222&lt;&gt;"-"</formula>
    </cfRule>
  </conditionalFormatting>
  <conditionalFormatting sqref="E222">
    <cfRule type="expression" dxfId="496" priority="1021">
      <formula>$I222&lt;&gt;"-"</formula>
    </cfRule>
  </conditionalFormatting>
  <conditionalFormatting sqref="B227">
    <cfRule type="expression" dxfId="495" priority="1017">
      <formula>AD227&lt;&gt;""</formula>
    </cfRule>
  </conditionalFormatting>
  <conditionalFormatting sqref="Z227">
    <cfRule type="cellIs" dxfId="494" priority="1015" operator="greaterThan">
      <formula>0</formula>
    </cfRule>
    <cfRule type="cellIs" dxfId="493" priority="1016" operator="lessThan">
      <formula>0</formula>
    </cfRule>
  </conditionalFormatting>
  <conditionalFormatting sqref="S227">
    <cfRule type="cellIs" dxfId="492" priority="1014" operator="lessThan">
      <formula>0</formula>
    </cfRule>
  </conditionalFormatting>
  <conditionalFormatting sqref="T225:T226">
    <cfRule type="expression" dxfId="491" priority="1018">
      <formula>#REF!="Yes"</formula>
    </cfRule>
  </conditionalFormatting>
  <conditionalFormatting sqref="P227">
    <cfRule type="cellIs" dxfId="490" priority="1012" operator="equal">
      <formula>AS_DURATION_EFFORT</formula>
    </cfRule>
    <cfRule type="cellIs" dxfId="489" priority="1013" operator="equal">
      <formula>AS_DEV_EFFORT</formula>
    </cfRule>
  </conditionalFormatting>
  <conditionalFormatting sqref="B225:B226">
    <cfRule type="expression" dxfId="488" priority="1011">
      <formula>AD225&lt;&gt;""</formula>
    </cfRule>
  </conditionalFormatting>
  <conditionalFormatting sqref="F227">
    <cfRule type="expression" dxfId="487" priority="1010">
      <formula>$K227&lt;&gt;""</formula>
    </cfRule>
  </conditionalFormatting>
  <conditionalFormatting sqref="C227">
    <cfRule type="expression" dxfId="486" priority="1009">
      <formula>$G227&lt;&gt;"-"</formula>
    </cfRule>
  </conditionalFormatting>
  <conditionalFormatting sqref="D227">
    <cfRule type="expression" dxfId="485" priority="1008">
      <formula>$H227&lt;&gt;"-"</formula>
    </cfRule>
  </conditionalFormatting>
  <conditionalFormatting sqref="E227">
    <cfRule type="expression" dxfId="484" priority="1007">
      <formula>$I227&lt;&gt;"-"</formula>
    </cfRule>
  </conditionalFormatting>
  <conditionalFormatting sqref="B231">
    <cfRule type="expression" dxfId="483" priority="979">
      <formula>AD231&lt;&gt;""</formula>
    </cfRule>
  </conditionalFormatting>
  <conditionalFormatting sqref="Z231">
    <cfRule type="cellIs" dxfId="482" priority="977" operator="greaterThan">
      <formula>0</formula>
    </cfRule>
    <cfRule type="cellIs" dxfId="481" priority="978" operator="lessThan">
      <formula>0</formula>
    </cfRule>
  </conditionalFormatting>
  <conditionalFormatting sqref="S231">
    <cfRule type="cellIs" dxfId="480" priority="976" operator="lessThan">
      <formula>0</formula>
    </cfRule>
  </conditionalFormatting>
  <conditionalFormatting sqref="T229:T230">
    <cfRule type="expression" dxfId="479" priority="980">
      <formula>#REF!="Yes"</formula>
    </cfRule>
  </conditionalFormatting>
  <conditionalFormatting sqref="P231">
    <cfRule type="cellIs" dxfId="478" priority="974" operator="equal">
      <formula>AS_DURATION_EFFORT</formula>
    </cfRule>
    <cfRule type="cellIs" dxfId="477" priority="975" operator="equal">
      <formula>AS_DEV_EFFORT</formula>
    </cfRule>
  </conditionalFormatting>
  <conditionalFormatting sqref="B229:B230">
    <cfRule type="expression" dxfId="476" priority="973">
      <formula>AD229&lt;&gt;""</formula>
    </cfRule>
  </conditionalFormatting>
  <conditionalFormatting sqref="F231">
    <cfRule type="expression" dxfId="475" priority="972">
      <formula>$K231&lt;&gt;""</formula>
    </cfRule>
  </conditionalFormatting>
  <conditionalFormatting sqref="C231">
    <cfRule type="expression" dxfId="474" priority="971">
      <formula>$G231&lt;&gt;"-"</formula>
    </cfRule>
  </conditionalFormatting>
  <conditionalFormatting sqref="D231">
    <cfRule type="expression" dxfId="473" priority="970">
      <formula>$H231&lt;&gt;"-"</formula>
    </cfRule>
  </conditionalFormatting>
  <conditionalFormatting sqref="E231">
    <cfRule type="expression" dxfId="472" priority="969">
      <formula>$I231&lt;&gt;"-"</formula>
    </cfRule>
  </conditionalFormatting>
  <conditionalFormatting sqref="B223">
    <cfRule type="expression" dxfId="471" priority="952">
      <formula>AD223&lt;&gt;""</formula>
    </cfRule>
  </conditionalFormatting>
  <conditionalFormatting sqref="Z223">
    <cfRule type="cellIs" dxfId="470" priority="950" operator="greaterThan">
      <formula>0</formula>
    </cfRule>
    <cfRule type="cellIs" dxfId="469" priority="951" operator="lessThan">
      <formula>0</formula>
    </cfRule>
  </conditionalFormatting>
  <conditionalFormatting sqref="S223">
    <cfRule type="cellIs" dxfId="468" priority="949" operator="lessThan">
      <formula>0</formula>
    </cfRule>
  </conditionalFormatting>
  <conditionalFormatting sqref="P223">
    <cfRule type="cellIs" dxfId="467" priority="947" operator="equal">
      <formula>AS_DURATION_EFFORT</formula>
    </cfRule>
    <cfRule type="cellIs" dxfId="466" priority="948" operator="equal">
      <formula>AS_DEV_EFFORT</formula>
    </cfRule>
  </conditionalFormatting>
  <conditionalFormatting sqref="F223">
    <cfRule type="expression" dxfId="465" priority="946">
      <formula>$K223&lt;&gt;""</formula>
    </cfRule>
  </conditionalFormatting>
  <conditionalFormatting sqref="C223">
    <cfRule type="expression" dxfId="464" priority="945">
      <formula>$G223&lt;&gt;"-"</formula>
    </cfRule>
  </conditionalFormatting>
  <conditionalFormatting sqref="D223">
    <cfRule type="expression" dxfId="463" priority="944">
      <formula>$H223&lt;&gt;"-"</formula>
    </cfRule>
  </conditionalFormatting>
  <conditionalFormatting sqref="E223">
    <cfRule type="expression" dxfId="462" priority="943">
      <formula>$I223&lt;&gt;"-"</formula>
    </cfRule>
  </conditionalFormatting>
  <conditionalFormatting sqref="B235">
    <cfRule type="expression" dxfId="461" priority="939">
      <formula>AD235&lt;&gt;""</formula>
    </cfRule>
  </conditionalFormatting>
  <conditionalFormatting sqref="Z235">
    <cfRule type="cellIs" dxfId="460" priority="937" operator="greaterThan">
      <formula>0</formula>
    </cfRule>
    <cfRule type="cellIs" dxfId="459" priority="938" operator="lessThan">
      <formula>0</formula>
    </cfRule>
  </conditionalFormatting>
  <conditionalFormatting sqref="S235">
    <cfRule type="cellIs" dxfId="458" priority="936" operator="lessThan">
      <formula>0</formula>
    </cfRule>
  </conditionalFormatting>
  <conditionalFormatting sqref="T233:T234">
    <cfRule type="expression" dxfId="457" priority="940">
      <formula>#REF!="Yes"</formula>
    </cfRule>
  </conditionalFormatting>
  <conditionalFormatting sqref="P235">
    <cfRule type="cellIs" dxfId="456" priority="934" operator="equal">
      <formula>AS_DURATION_EFFORT</formula>
    </cfRule>
    <cfRule type="cellIs" dxfId="455" priority="935" operator="equal">
      <formula>AS_DEV_EFFORT</formula>
    </cfRule>
  </conditionalFormatting>
  <conditionalFormatting sqref="B233:B234">
    <cfRule type="expression" dxfId="454" priority="933">
      <formula>AD233&lt;&gt;""</formula>
    </cfRule>
  </conditionalFormatting>
  <conditionalFormatting sqref="F235">
    <cfRule type="expression" dxfId="453" priority="932">
      <formula>$K235&lt;&gt;""</formula>
    </cfRule>
  </conditionalFormatting>
  <conditionalFormatting sqref="C235">
    <cfRule type="expression" dxfId="452" priority="931">
      <formula>$G235&lt;&gt;"-"</formula>
    </cfRule>
  </conditionalFormatting>
  <conditionalFormatting sqref="D235">
    <cfRule type="expression" dxfId="451" priority="930">
      <formula>$H235&lt;&gt;"-"</formula>
    </cfRule>
  </conditionalFormatting>
  <conditionalFormatting sqref="E235">
    <cfRule type="expression" dxfId="450" priority="929">
      <formula>$I235&lt;&gt;"-"</formula>
    </cfRule>
  </conditionalFormatting>
  <conditionalFormatting sqref="B74">
    <cfRule type="expression" dxfId="449" priority="926">
      <formula>AD74&lt;&gt;""</formula>
    </cfRule>
  </conditionalFormatting>
  <conditionalFormatting sqref="Z74">
    <cfRule type="cellIs" dxfId="448" priority="924" operator="greaterThan">
      <formula>0</formula>
    </cfRule>
    <cfRule type="cellIs" dxfId="447" priority="925" operator="lessThan">
      <formula>0</formula>
    </cfRule>
  </conditionalFormatting>
  <conditionalFormatting sqref="S74">
    <cfRule type="cellIs" dxfId="446" priority="923" operator="lessThan">
      <formula>0</formula>
    </cfRule>
  </conditionalFormatting>
  <conditionalFormatting sqref="P74">
    <cfRule type="cellIs" dxfId="445" priority="921" operator="equal">
      <formula>AS_DURATION_EFFORT</formula>
    </cfRule>
    <cfRule type="cellIs" dxfId="444" priority="922" operator="equal">
      <formula>AS_DEV_EFFORT</formula>
    </cfRule>
  </conditionalFormatting>
  <conditionalFormatting sqref="F74">
    <cfRule type="expression" dxfId="443" priority="920">
      <formula>$K74&lt;&gt;""</formula>
    </cfRule>
  </conditionalFormatting>
  <conditionalFormatting sqref="C74">
    <cfRule type="expression" dxfId="442" priority="919">
      <formula>$G74&lt;&gt;"-"</formula>
    </cfRule>
  </conditionalFormatting>
  <conditionalFormatting sqref="D74">
    <cfRule type="expression" dxfId="441" priority="918">
      <formula>$H74&lt;&gt;"-"</formula>
    </cfRule>
  </conditionalFormatting>
  <conditionalFormatting sqref="E74">
    <cfRule type="expression" dxfId="440" priority="917">
      <formula>$I74&lt;&gt;"-"</formula>
    </cfRule>
  </conditionalFormatting>
  <conditionalFormatting sqref="B99">
    <cfRule type="expression" dxfId="439" priority="890">
      <formula>AD99&lt;&gt;""</formula>
    </cfRule>
  </conditionalFormatting>
  <conditionalFormatting sqref="Z99">
    <cfRule type="cellIs" dxfId="438" priority="888" operator="greaterThan">
      <formula>0</formula>
    </cfRule>
    <cfRule type="cellIs" dxfId="437" priority="889" operator="lessThan">
      <formula>0</formula>
    </cfRule>
  </conditionalFormatting>
  <conditionalFormatting sqref="S99">
    <cfRule type="cellIs" dxfId="436" priority="887" operator="lessThan">
      <formula>0</formula>
    </cfRule>
  </conditionalFormatting>
  <conditionalFormatting sqref="F99">
    <cfRule type="expression" dxfId="435" priority="884">
      <formula>$K99&lt;&gt;""</formula>
    </cfRule>
  </conditionalFormatting>
  <conditionalFormatting sqref="C99">
    <cfRule type="expression" dxfId="434" priority="883">
      <formula>$G99&lt;&gt;"-"</formula>
    </cfRule>
  </conditionalFormatting>
  <conditionalFormatting sqref="D99">
    <cfRule type="expression" dxfId="433" priority="882">
      <formula>$H99&lt;&gt;"-"</formula>
    </cfRule>
  </conditionalFormatting>
  <conditionalFormatting sqref="E99">
    <cfRule type="expression" dxfId="432" priority="881">
      <formula>$I99&lt;&gt;"-"</formula>
    </cfRule>
  </conditionalFormatting>
  <conditionalFormatting sqref="B240">
    <cfRule type="expression" dxfId="431" priority="853">
      <formula>AD240&lt;&gt;""</formula>
    </cfRule>
  </conditionalFormatting>
  <conditionalFormatting sqref="Z240">
    <cfRule type="cellIs" dxfId="430" priority="851" operator="greaterThan">
      <formula>0</formula>
    </cfRule>
    <cfRule type="cellIs" dxfId="429" priority="852" operator="lessThan">
      <formula>0</formula>
    </cfRule>
  </conditionalFormatting>
  <conditionalFormatting sqref="S240">
    <cfRule type="cellIs" dxfId="428" priority="850" operator="lessThan">
      <formula>0</formula>
    </cfRule>
  </conditionalFormatting>
  <conditionalFormatting sqref="T238:T239">
    <cfRule type="expression" dxfId="427" priority="854">
      <formula>#REF!="Yes"</formula>
    </cfRule>
  </conditionalFormatting>
  <conditionalFormatting sqref="P240">
    <cfRule type="cellIs" dxfId="426" priority="848" operator="equal">
      <formula>AS_DURATION_EFFORT</formula>
    </cfRule>
    <cfRule type="cellIs" dxfId="425" priority="849" operator="equal">
      <formula>AS_DEV_EFFORT</formula>
    </cfRule>
  </conditionalFormatting>
  <conditionalFormatting sqref="B238:B239">
    <cfRule type="expression" dxfId="424" priority="847">
      <formula>AD238&lt;&gt;""</formula>
    </cfRule>
  </conditionalFormatting>
  <conditionalFormatting sqref="F240">
    <cfRule type="expression" dxfId="423" priority="846">
      <formula>$K240&lt;&gt;""</formula>
    </cfRule>
  </conditionalFormatting>
  <conditionalFormatting sqref="C240">
    <cfRule type="expression" dxfId="422" priority="845">
      <formula>$G240&lt;&gt;"-"</formula>
    </cfRule>
  </conditionalFormatting>
  <conditionalFormatting sqref="D240">
    <cfRule type="expression" dxfId="421" priority="844">
      <formula>$H240&lt;&gt;"-"</formula>
    </cfRule>
  </conditionalFormatting>
  <conditionalFormatting sqref="E240">
    <cfRule type="expression" dxfId="420" priority="843">
      <formula>$I240&lt;&gt;"-"</formula>
    </cfRule>
  </conditionalFormatting>
  <conditionalFormatting sqref="B314">
    <cfRule type="expression" dxfId="419" priority="825">
      <formula>AD314&lt;&gt;""</formula>
    </cfRule>
  </conditionalFormatting>
  <conditionalFormatting sqref="Z314">
    <cfRule type="cellIs" dxfId="418" priority="823" operator="greaterThan">
      <formula>0</formula>
    </cfRule>
    <cfRule type="cellIs" dxfId="417" priority="824" operator="lessThan">
      <formula>0</formula>
    </cfRule>
  </conditionalFormatting>
  <conditionalFormatting sqref="S314">
    <cfRule type="cellIs" dxfId="416" priority="822" operator="lessThan">
      <formula>0</formula>
    </cfRule>
  </conditionalFormatting>
  <conditionalFormatting sqref="T312:T313">
    <cfRule type="expression" dxfId="415" priority="826">
      <formula>#REF!="Yes"</formula>
    </cfRule>
  </conditionalFormatting>
  <conditionalFormatting sqref="P314">
    <cfRule type="cellIs" dxfId="414" priority="820" operator="equal">
      <formula>AS_DURATION_EFFORT</formula>
    </cfRule>
    <cfRule type="cellIs" dxfId="413" priority="821" operator="equal">
      <formula>AS_DEV_EFFORT</formula>
    </cfRule>
  </conditionalFormatting>
  <conditionalFormatting sqref="B312:B313">
    <cfRule type="expression" dxfId="412" priority="819">
      <formula>AD312&lt;&gt;""</formula>
    </cfRule>
  </conditionalFormatting>
  <conditionalFormatting sqref="F314">
    <cfRule type="expression" dxfId="411" priority="818">
      <formula>$K314&lt;&gt;""</formula>
    </cfRule>
  </conditionalFormatting>
  <conditionalFormatting sqref="C314">
    <cfRule type="expression" dxfId="410" priority="817">
      <formula>$G314&lt;&gt;"-"</formula>
    </cfRule>
  </conditionalFormatting>
  <conditionalFormatting sqref="D314">
    <cfRule type="expression" dxfId="409" priority="816">
      <formula>$H314&lt;&gt;"-"</formula>
    </cfRule>
  </conditionalFormatting>
  <conditionalFormatting sqref="E314">
    <cfRule type="expression" dxfId="408" priority="815">
      <formula>$I314&lt;&gt;"-"</formula>
    </cfRule>
  </conditionalFormatting>
  <conditionalFormatting sqref="P64">
    <cfRule type="cellIs" dxfId="407" priority="813" operator="equal">
      <formula>AS_DURATION_EFFORT</formula>
    </cfRule>
    <cfRule type="cellIs" dxfId="406" priority="814" operator="equal">
      <formula>AS_DEV_EFFORT</formula>
    </cfRule>
  </conditionalFormatting>
  <conditionalFormatting sqref="P64">
    <cfRule type="cellIs" dxfId="405" priority="811" operator="equal">
      <formula>AS_DURATION_EFFORT</formula>
    </cfRule>
    <cfRule type="cellIs" dxfId="404" priority="812" operator="equal">
      <formula>AS_DEV_EFFORT</formula>
    </cfRule>
  </conditionalFormatting>
  <conditionalFormatting sqref="P64">
    <cfRule type="cellIs" dxfId="403" priority="809" operator="equal">
      <formula>AS_DURATION_EFFORT</formula>
    </cfRule>
    <cfRule type="cellIs" dxfId="402" priority="810" operator="equal">
      <formula>AS_DEV_EFFORT</formula>
    </cfRule>
  </conditionalFormatting>
  <conditionalFormatting sqref="P64">
    <cfRule type="cellIs" dxfId="401" priority="807" operator="equal">
      <formula>AS_DURATION_EFFORT</formula>
    </cfRule>
    <cfRule type="cellIs" dxfId="400" priority="808" operator="equal">
      <formula>AS_DEV_EFFORT</formula>
    </cfRule>
  </conditionalFormatting>
  <conditionalFormatting sqref="P64">
    <cfRule type="cellIs" dxfId="399" priority="805" operator="equal">
      <formula>AS_DURATION_EFFORT</formula>
    </cfRule>
    <cfRule type="cellIs" dxfId="398" priority="806" operator="equal">
      <formula>AS_DEV_EFFORT</formula>
    </cfRule>
  </conditionalFormatting>
  <conditionalFormatting sqref="B291">
    <cfRule type="expression" dxfId="397" priority="802">
      <formula>AD291&lt;&gt;""</formula>
    </cfRule>
  </conditionalFormatting>
  <conditionalFormatting sqref="Z291">
    <cfRule type="cellIs" dxfId="396" priority="800" operator="greaterThan">
      <formula>0</formula>
    </cfRule>
    <cfRule type="cellIs" dxfId="395" priority="801" operator="lessThan">
      <formula>0</formula>
    </cfRule>
  </conditionalFormatting>
  <conditionalFormatting sqref="S291">
    <cfRule type="cellIs" dxfId="394" priority="799" operator="lessThan">
      <formula>0</formula>
    </cfRule>
  </conditionalFormatting>
  <conditionalFormatting sqref="P291">
    <cfRule type="cellIs" dxfId="393" priority="797" operator="equal">
      <formula>AS_DURATION_EFFORT</formula>
    </cfRule>
    <cfRule type="cellIs" dxfId="392" priority="798" operator="equal">
      <formula>AS_DEV_EFFORT</formula>
    </cfRule>
  </conditionalFormatting>
  <conditionalFormatting sqref="F291">
    <cfRule type="expression" dxfId="391" priority="796">
      <formula>$K291&lt;&gt;""</formula>
    </cfRule>
  </conditionalFormatting>
  <conditionalFormatting sqref="C291">
    <cfRule type="expression" dxfId="390" priority="795">
      <formula>$G291&lt;&gt;"-"</formula>
    </cfRule>
  </conditionalFormatting>
  <conditionalFormatting sqref="D291">
    <cfRule type="expression" dxfId="389" priority="794">
      <formula>$H291&lt;&gt;"-"</formula>
    </cfRule>
  </conditionalFormatting>
  <conditionalFormatting sqref="E291">
    <cfRule type="expression" dxfId="388" priority="793">
      <formula>$I291&lt;&gt;"-"</formula>
    </cfRule>
  </conditionalFormatting>
  <conditionalFormatting sqref="B71">
    <cfRule type="expression" dxfId="387" priority="790">
      <formula>AD71&lt;&gt;""</formula>
    </cfRule>
  </conditionalFormatting>
  <conditionalFormatting sqref="Z71">
    <cfRule type="cellIs" dxfId="386" priority="788" operator="greaterThan">
      <formula>0</formula>
    </cfRule>
    <cfRule type="cellIs" dxfId="385" priority="789" operator="lessThan">
      <formula>0</formula>
    </cfRule>
  </conditionalFormatting>
  <conditionalFormatting sqref="S71">
    <cfRule type="cellIs" dxfId="384" priority="787" operator="lessThan">
      <formula>0</formula>
    </cfRule>
  </conditionalFormatting>
  <conditionalFormatting sqref="P71">
    <cfRule type="cellIs" dxfId="383" priority="785" operator="equal">
      <formula>AS_DURATION_EFFORT</formula>
    </cfRule>
    <cfRule type="cellIs" dxfId="382" priority="786" operator="equal">
      <formula>AS_DEV_EFFORT</formula>
    </cfRule>
  </conditionalFormatting>
  <conditionalFormatting sqref="F71">
    <cfRule type="expression" dxfId="381" priority="784">
      <formula>$K71&lt;&gt;""</formula>
    </cfRule>
  </conditionalFormatting>
  <conditionalFormatting sqref="C71">
    <cfRule type="expression" dxfId="380" priority="783">
      <formula>$G71&lt;&gt;"-"</formula>
    </cfRule>
  </conditionalFormatting>
  <conditionalFormatting sqref="D71">
    <cfRule type="expression" dxfId="379" priority="782">
      <formula>$H71&lt;&gt;"-"</formula>
    </cfRule>
  </conditionalFormatting>
  <conditionalFormatting sqref="E71">
    <cfRule type="expression" dxfId="378" priority="781">
      <formula>$I71&lt;&gt;"-"</formula>
    </cfRule>
  </conditionalFormatting>
  <conditionalFormatting sqref="B70">
    <cfRule type="expression" dxfId="377" priority="778">
      <formula>AD70&lt;&gt;""</formula>
    </cfRule>
  </conditionalFormatting>
  <conditionalFormatting sqref="Z70">
    <cfRule type="cellIs" dxfId="376" priority="776" operator="greaterThan">
      <formula>0</formula>
    </cfRule>
    <cfRule type="cellIs" dxfId="375" priority="777" operator="lessThan">
      <formula>0</formula>
    </cfRule>
  </conditionalFormatting>
  <conditionalFormatting sqref="S70">
    <cfRule type="cellIs" dxfId="374" priority="775" operator="lessThan">
      <formula>0</formula>
    </cfRule>
  </conditionalFormatting>
  <conditionalFormatting sqref="P70">
    <cfRule type="cellIs" dxfId="373" priority="773" operator="equal">
      <formula>AS_DURATION_EFFORT</formula>
    </cfRule>
    <cfRule type="cellIs" dxfId="372" priority="774" operator="equal">
      <formula>AS_DEV_EFFORT</formula>
    </cfRule>
  </conditionalFormatting>
  <conditionalFormatting sqref="F70">
    <cfRule type="expression" dxfId="371" priority="772">
      <formula>$K70&lt;&gt;""</formula>
    </cfRule>
  </conditionalFormatting>
  <conditionalFormatting sqref="C70">
    <cfRule type="expression" dxfId="370" priority="771">
      <formula>$G70&lt;&gt;"-"</formula>
    </cfRule>
  </conditionalFormatting>
  <conditionalFormatting sqref="D70">
    <cfRule type="expression" dxfId="369" priority="770">
      <formula>$H70&lt;&gt;"-"</formula>
    </cfRule>
  </conditionalFormatting>
  <conditionalFormatting sqref="E70">
    <cfRule type="expression" dxfId="368" priority="769">
      <formula>$I70&lt;&gt;"-"</formula>
    </cfRule>
  </conditionalFormatting>
  <conditionalFormatting sqref="B72">
    <cfRule type="expression" dxfId="367" priority="766">
      <formula>AD72&lt;&gt;""</formula>
    </cfRule>
  </conditionalFormatting>
  <conditionalFormatting sqref="Z72">
    <cfRule type="cellIs" dxfId="366" priority="764" operator="greaterThan">
      <formula>0</formula>
    </cfRule>
    <cfRule type="cellIs" dxfId="365" priority="765" operator="lessThan">
      <formula>0</formula>
    </cfRule>
  </conditionalFormatting>
  <conditionalFormatting sqref="S72">
    <cfRule type="cellIs" dxfId="364" priority="763" operator="lessThan">
      <formula>0</formula>
    </cfRule>
  </conditionalFormatting>
  <conditionalFormatting sqref="P72">
    <cfRule type="cellIs" dxfId="363" priority="761" operator="equal">
      <formula>AS_DURATION_EFFORT</formula>
    </cfRule>
    <cfRule type="cellIs" dxfId="362" priority="762" operator="equal">
      <formula>AS_DEV_EFFORT</formula>
    </cfRule>
  </conditionalFormatting>
  <conditionalFormatting sqref="F72">
    <cfRule type="expression" dxfId="361" priority="760">
      <formula>$K72&lt;&gt;""</formula>
    </cfRule>
  </conditionalFormatting>
  <conditionalFormatting sqref="C72">
    <cfRule type="expression" dxfId="360" priority="759">
      <formula>$G72&lt;&gt;"-"</formula>
    </cfRule>
  </conditionalFormatting>
  <conditionalFormatting sqref="D72">
    <cfRule type="expression" dxfId="359" priority="758">
      <formula>$H72&lt;&gt;"-"</formula>
    </cfRule>
  </conditionalFormatting>
  <conditionalFormatting sqref="E72">
    <cfRule type="expression" dxfId="358" priority="757">
      <formula>$I72&lt;&gt;"-"</formula>
    </cfRule>
  </conditionalFormatting>
  <conditionalFormatting sqref="B95">
    <cfRule type="expression" dxfId="357" priority="754">
      <formula>AD95&lt;&gt;""</formula>
    </cfRule>
  </conditionalFormatting>
  <conditionalFormatting sqref="Z95">
    <cfRule type="cellIs" dxfId="356" priority="752" operator="greaterThan">
      <formula>0</formula>
    </cfRule>
    <cfRule type="cellIs" dxfId="355" priority="753" operator="lessThan">
      <formula>0</formula>
    </cfRule>
  </conditionalFormatting>
  <conditionalFormatting sqref="S95">
    <cfRule type="cellIs" dxfId="354" priority="751" operator="lessThan">
      <formula>0</formula>
    </cfRule>
  </conditionalFormatting>
  <conditionalFormatting sqref="P95">
    <cfRule type="cellIs" dxfId="353" priority="749" operator="equal">
      <formula>AS_DURATION_EFFORT</formula>
    </cfRule>
    <cfRule type="cellIs" dxfId="352" priority="750" operator="equal">
      <formula>AS_DEV_EFFORT</formula>
    </cfRule>
  </conditionalFormatting>
  <conditionalFormatting sqref="F95">
    <cfRule type="expression" dxfId="351" priority="748">
      <formula>$K95&lt;&gt;""</formula>
    </cfRule>
  </conditionalFormatting>
  <conditionalFormatting sqref="C95">
    <cfRule type="expression" dxfId="350" priority="747">
      <formula>$G95&lt;&gt;"-"</formula>
    </cfRule>
  </conditionalFormatting>
  <conditionalFormatting sqref="D95">
    <cfRule type="expression" dxfId="349" priority="746">
      <formula>$H95&lt;&gt;"-"</formula>
    </cfRule>
  </conditionalFormatting>
  <conditionalFormatting sqref="E95">
    <cfRule type="expression" dxfId="348" priority="745">
      <formula>$I95&lt;&gt;"-"</formula>
    </cfRule>
  </conditionalFormatting>
  <conditionalFormatting sqref="B96">
    <cfRule type="expression" dxfId="347" priority="740">
      <formula>AD96&lt;&gt;""</formula>
    </cfRule>
  </conditionalFormatting>
  <conditionalFormatting sqref="Z96">
    <cfRule type="cellIs" dxfId="346" priority="738" operator="greaterThan">
      <formula>0</formula>
    </cfRule>
    <cfRule type="cellIs" dxfId="345" priority="739" operator="lessThan">
      <formula>0</formula>
    </cfRule>
  </conditionalFormatting>
  <conditionalFormatting sqref="S96">
    <cfRule type="cellIs" dxfId="344" priority="737" operator="lessThan">
      <formula>0</formula>
    </cfRule>
  </conditionalFormatting>
  <conditionalFormatting sqref="P96">
    <cfRule type="cellIs" dxfId="343" priority="735" operator="equal">
      <formula>AS_DURATION_EFFORT</formula>
    </cfRule>
    <cfRule type="cellIs" dxfId="342" priority="736" operator="equal">
      <formula>AS_DEV_EFFORT</formula>
    </cfRule>
  </conditionalFormatting>
  <conditionalFormatting sqref="F96">
    <cfRule type="expression" dxfId="341" priority="734">
      <formula>$K96&lt;&gt;""</formula>
    </cfRule>
  </conditionalFormatting>
  <conditionalFormatting sqref="C96">
    <cfRule type="expression" dxfId="340" priority="733">
      <formula>$G96&lt;&gt;"-"</formula>
    </cfRule>
  </conditionalFormatting>
  <conditionalFormatting sqref="D96">
    <cfRule type="expression" dxfId="339" priority="732">
      <formula>$H96&lt;&gt;"-"</formula>
    </cfRule>
  </conditionalFormatting>
  <conditionalFormatting sqref="E96">
    <cfRule type="expression" dxfId="338" priority="731">
      <formula>$I96&lt;&gt;"-"</formula>
    </cfRule>
  </conditionalFormatting>
  <conditionalFormatting sqref="B97">
    <cfRule type="expression" dxfId="337" priority="726">
      <formula>AD97&lt;&gt;""</formula>
    </cfRule>
  </conditionalFormatting>
  <conditionalFormatting sqref="Z97">
    <cfRule type="cellIs" dxfId="336" priority="724" operator="greaterThan">
      <formula>0</formula>
    </cfRule>
    <cfRule type="cellIs" dxfId="335" priority="725" operator="lessThan">
      <formula>0</formula>
    </cfRule>
  </conditionalFormatting>
  <conditionalFormatting sqref="S97">
    <cfRule type="cellIs" dxfId="334" priority="723" operator="lessThan">
      <formula>0</formula>
    </cfRule>
  </conditionalFormatting>
  <conditionalFormatting sqref="P97">
    <cfRule type="cellIs" dxfId="333" priority="721" operator="equal">
      <formula>AS_DURATION_EFFORT</formula>
    </cfRule>
    <cfRule type="cellIs" dxfId="332" priority="722" operator="equal">
      <formula>AS_DEV_EFFORT</formula>
    </cfRule>
  </conditionalFormatting>
  <conditionalFormatting sqref="F97">
    <cfRule type="expression" dxfId="331" priority="720">
      <formula>$K97&lt;&gt;""</formula>
    </cfRule>
  </conditionalFormatting>
  <conditionalFormatting sqref="C97">
    <cfRule type="expression" dxfId="330" priority="719">
      <formula>$G97&lt;&gt;"-"</formula>
    </cfRule>
  </conditionalFormatting>
  <conditionalFormatting sqref="D97">
    <cfRule type="expression" dxfId="329" priority="718">
      <formula>$H97&lt;&gt;"-"</formula>
    </cfRule>
  </conditionalFormatting>
  <conditionalFormatting sqref="E97">
    <cfRule type="expression" dxfId="328" priority="717">
      <formula>$I97&lt;&gt;"-"</formula>
    </cfRule>
  </conditionalFormatting>
  <conditionalFormatting sqref="P99">
    <cfRule type="cellIs" dxfId="327" priority="455" operator="equal">
      <formula>AS_DURATION_EFFORT</formula>
    </cfRule>
    <cfRule type="cellIs" dxfId="326" priority="456" operator="equal">
      <formula>AS_DEV_EFFORT</formula>
    </cfRule>
  </conditionalFormatting>
  <conditionalFormatting sqref="P99">
    <cfRule type="cellIs" dxfId="325" priority="453" operator="equal">
      <formula>AS_DURATION_EFFORT</formula>
    </cfRule>
    <cfRule type="cellIs" dxfId="324" priority="454" operator="equal">
      <formula>AS_DEV_EFFORT</formula>
    </cfRule>
  </conditionalFormatting>
  <conditionalFormatting sqref="P99">
    <cfRule type="cellIs" dxfId="323" priority="451" operator="equal">
      <formula>AS_DURATION_EFFORT</formula>
    </cfRule>
    <cfRule type="cellIs" dxfId="322" priority="452" operator="equal">
      <formula>AS_DEV_EFFORT</formula>
    </cfRule>
  </conditionalFormatting>
  <conditionalFormatting sqref="S173">
    <cfRule type="expression" dxfId="321" priority="450">
      <formula>#REF!="Yes"</formula>
    </cfRule>
  </conditionalFormatting>
  <conditionalFormatting sqref="B173">
    <cfRule type="expression" dxfId="320" priority="449">
      <formula>AD173&lt;&gt;""</formula>
    </cfRule>
  </conditionalFormatting>
  <conditionalFormatting sqref="S193">
    <cfRule type="expression" dxfId="319" priority="448">
      <formula>#REF!="Yes"</formula>
    </cfRule>
  </conditionalFormatting>
  <conditionalFormatting sqref="B193">
    <cfRule type="expression" dxfId="318" priority="447">
      <formula>AD193&lt;&gt;""</formula>
    </cfRule>
  </conditionalFormatting>
  <conditionalFormatting sqref="S237">
    <cfRule type="expression" dxfId="317" priority="446">
      <formula>#REF!="Yes"</formula>
    </cfRule>
  </conditionalFormatting>
  <conditionalFormatting sqref="B237">
    <cfRule type="expression" dxfId="316" priority="445">
      <formula>AD237&lt;&gt;""</formula>
    </cfRule>
  </conditionalFormatting>
  <conditionalFormatting sqref="B141">
    <cfRule type="expression" dxfId="315" priority="442">
      <formula>AD141&lt;&gt;""</formula>
    </cfRule>
  </conditionalFormatting>
  <conditionalFormatting sqref="Z141">
    <cfRule type="cellIs" dxfId="314" priority="440" operator="greaterThan">
      <formula>0</formula>
    </cfRule>
    <cfRule type="cellIs" dxfId="313" priority="441" operator="lessThan">
      <formula>0</formula>
    </cfRule>
  </conditionalFormatting>
  <conditionalFormatting sqref="S141">
    <cfRule type="cellIs" dxfId="312" priority="439" operator="lessThan">
      <formula>0</formula>
    </cfRule>
  </conditionalFormatting>
  <conditionalFormatting sqref="P141">
    <cfRule type="cellIs" dxfId="311" priority="419" operator="equal">
      <formula>AS_DURATION_EFFORT</formula>
    </cfRule>
    <cfRule type="cellIs" dxfId="310" priority="420" operator="equal">
      <formula>AS_DEV_EFFORT</formula>
    </cfRule>
  </conditionalFormatting>
  <conditionalFormatting sqref="F141">
    <cfRule type="expression" dxfId="309" priority="436">
      <formula>$K141&lt;&gt;""</formula>
    </cfRule>
  </conditionalFormatting>
  <conditionalFormatting sqref="C141">
    <cfRule type="expression" dxfId="308" priority="435">
      <formula>$G141&lt;&gt;"-"</formula>
    </cfRule>
  </conditionalFormatting>
  <conditionalFormatting sqref="D141">
    <cfRule type="expression" dxfId="307" priority="434">
      <formula>$H141&lt;&gt;"-"</formula>
    </cfRule>
  </conditionalFormatting>
  <conditionalFormatting sqref="E141">
    <cfRule type="expression" dxfId="306" priority="433">
      <formula>$I141&lt;&gt;"-"</formula>
    </cfRule>
  </conditionalFormatting>
  <conditionalFormatting sqref="P141">
    <cfRule type="cellIs" dxfId="305" priority="429" operator="equal">
      <formula>AS_DURATION_EFFORT</formula>
    </cfRule>
    <cfRule type="cellIs" dxfId="304" priority="430" operator="equal">
      <formula>AS_DEV_EFFORT</formula>
    </cfRule>
  </conditionalFormatting>
  <conditionalFormatting sqref="P141">
    <cfRule type="cellIs" dxfId="303" priority="427" operator="equal">
      <formula>AS_DURATION_EFFORT</formula>
    </cfRule>
    <cfRule type="cellIs" dxfId="302" priority="428" operator="equal">
      <formula>AS_DEV_EFFORT</formula>
    </cfRule>
  </conditionalFormatting>
  <conditionalFormatting sqref="P141">
    <cfRule type="cellIs" dxfId="301" priority="425" operator="equal">
      <formula>AS_DURATION_EFFORT</formula>
    </cfRule>
    <cfRule type="cellIs" dxfId="300" priority="426" operator="equal">
      <formula>AS_DEV_EFFORT</formula>
    </cfRule>
  </conditionalFormatting>
  <conditionalFormatting sqref="P141">
    <cfRule type="cellIs" dxfId="299" priority="423" operator="equal">
      <formula>AS_DURATION_EFFORT</formula>
    </cfRule>
    <cfRule type="cellIs" dxfId="298" priority="424" operator="equal">
      <formula>AS_DEV_EFFORT</formula>
    </cfRule>
  </conditionalFormatting>
  <conditionalFormatting sqref="P141">
    <cfRule type="cellIs" dxfId="297" priority="421" operator="equal">
      <formula>AS_DURATION_EFFORT</formula>
    </cfRule>
    <cfRule type="cellIs" dxfId="296" priority="422" operator="equal">
      <formula>AS_DEV_EFFORT</formula>
    </cfRule>
  </conditionalFormatting>
  <conditionalFormatting sqref="P141">
    <cfRule type="cellIs" dxfId="295" priority="417" operator="equal">
      <formula>AS_DURATION_EFFORT</formula>
    </cfRule>
    <cfRule type="cellIs" dxfId="294" priority="418" operator="equal">
      <formula>AS_DEV_EFFORT</formula>
    </cfRule>
  </conditionalFormatting>
  <conditionalFormatting sqref="P141">
    <cfRule type="cellIs" dxfId="293" priority="415" operator="equal">
      <formula>AS_DURATION_EFFORT</formula>
    </cfRule>
    <cfRule type="cellIs" dxfId="292" priority="416" operator="equal">
      <formula>AS_DEV_EFFORT</formula>
    </cfRule>
  </conditionalFormatting>
  <conditionalFormatting sqref="B73">
    <cfRule type="expression" dxfId="291" priority="412">
      <formula>AD73&lt;&gt;""</formula>
    </cfRule>
  </conditionalFormatting>
  <conditionalFormatting sqref="Z73">
    <cfRule type="cellIs" dxfId="290" priority="410" operator="greaterThan">
      <formula>0</formula>
    </cfRule>
    <cfRule type="cellIs" dxfId="289" priority="411" operator="lessThan">
      <formula>0</formula>
    </cfRule>
  </conditionalFormatting>
  <conditionalFormatting sqref="S73">
    <cfRule type="cellIs" dxfId="288" priority="409" operator="lessThan">
      <formula>0</formula>
    </cfRule>
  </conditionalFormatting>
  <conditionalFormatting sqref="P73">
    <cfRule type="cellIs" dxfId="287" priority="407" operator="equal">
      <formula>AS_DURATION_EFFORT</formula>
    </cfRule>
    <cfRule type="cellIs" dxfId="286" priority="408" operator="equal">
      <formula>AS_DEV_EFFORT</formula>
    </cfRule>
  </conditionalFormatting>
  <conditionalFormatting sqref="F73">
    <cfRule type="expression" dxfId="285" priority="406">
      <formula>$K73&lt;&gt;""</formula>
    </cfRule>
  </conditionalFormatting>
  <conditionalFormatting sqref="C73">
    <cfRule type="expression" dxfId="284" priority="405">
      <formula>$G73&lt;&gt;"-"</formula>
    </cfRule>
  </conditionalFormatting>
  <conditionalFormatting sqref="D73">
    <cfRule type="expression" dxfId="283" priority="404">
      <formula>$H73&lt;&gt;"-"</formula>
    </cfRule>
  </conditionalFormatting>
  <conditionalFormatting sqref="E73">
    <cfRule type="expression" dxfId="282" priority="403">
      <formula>$I73&lt;&gt;"-"</formula>
    </cfRule>
  </conditionalFormatting>
  <conditionalFormatting sqref="B68">
    <cfRule type="expression" dxfId="281" priority="400">
      <formula>AD68&lt;&gt;""</formula>
    </cfRule>
  </conditionalFormatting>
  <conditionalFormatting sqref="Z68">
    <cfRule type="cellIs" dxfId="280" priority="398" operator="greaterThan">
      <formula>0</formula>
    </cfRule>
    <cfRule type="cellIs" dxfId="279" priority="399" operator="lessThan">
      <formula>0</formula>
    </cfRule>
  </conditionalFormatting>
  <conditionalFormatting sqref="S68">
    <cfRule type="cellIs" dxfId="278" priority="397" operator="lessThan">
      <formula>0</formula>
    </cfRule>
  </conditionalFormatting>
  <conditionalFormatting sqref="P68">
    <cfRule type="cellIs" dxfId="277" priority="395" operator="equal">
      <formula>AS_DURATION_EFFORT</formula>
    </cfRule>
    <cfRule type="cellIs" dxfId="276" priority="396" operator="equal">
      <formula>AS_DEV_EFFORT</formula>
    </cfRule>
  </conditionalFormatting>
  <conditionalFormatting sqref="F68">
    <cfRule type="expression" dxfId="275" priority="394">
      <formula>$K68&lt;&gt;""</formula>
    </cfRule>
  </conditionalFormatting>
  <conditionalFormatting sqref="C68">
    <cfRule type="expression" dxfId="274" priority="393">
      <formula>$G68&lt;&gt;"-"</formula>
    </cfRule>
  </conditionalFormatting>
  <conditionalFormatting sqref="D68">
    <cfRule type="expression" dxfId="273" priority="392">
      <formula>$H68&lt;&gt;"-"</formula>
    </cfRule>
  </conditionalFormatting>
  <conditionalFormatting sqref="E68">
    <cfRule type="expression" dxfId="272" priority="391">
      <formula>$I68&lt;&gt;"-"</formula>
    </cfRule>
  </conditionalFormatting>
  <conditionalFormatting sqref="B69">
    <cfRule type="expression" dxfId="271" priority="388">
      <formula>AD69&lt;&gt;""</formula>
    </cfRule>
  </conditionalFormatting>
  <conditionalFormatting sqref="Z69">
    <cfRule type="cellIs" dxfId="270" priority="386" operator="greaterThan">
      <formula>0</formula>
    </cfRule>
    <cfRule type="cellIs" dxfId="269" priority="387" operator="lessThan">
      <formula>0</formula>
    </cfRule>
  </conditionalFormatting>
  <conditionalFormatting sqref="S69">
    <cfRule type="cellIs" dxfId="268" priority="385" operator="lessThan">
      <formula>0</formula>
    </cfRule>
  </conditionalFormatting>
  <conditionalFormatting sqref="P69">
    <cfRule type="cellIs" dxfId="267" priority="383" operator="equal">
      <formula>AS_DURATION_EFFORT</formula>
    </cfRule>
    <cfRule type="cellIs" dxfId="266" priority="384" operator="equal">
      <formula>AS_DEV_EFFORT</formula>
    </cfRule>
  </conditionalFormatting>
  <conditionalFormatting sqref="F69">
    <cfRule type="expression" dxfId="265" priority="382">
      <formula>$K69&lt;&gt;""</formula>
    </cfRule>
  </conditionalFormatting>
  <conditionalFormatting sqref="C69">
    <cfRule type="expression" dxfId="264" priority="381">
      <formula>$G69&lt;&gt;"-"</formula>
    </cfRule>
  </conditionalFormatting>
  <conditionalFormatting sqref="D69">
    <cfRule type="expression" dxfId="263" priority="380">
      <formula>$H69&lt;&gt;"-"</formula>
    </cfRule>
  </conditionalFormatting>
  <conditionalFormatting sqref="E69">
    <cfRule type="expression" dxfId="262" priority="379">
      <formula>$I69&lt;&gt;"-"</formula>
    </cfRule>
  </conditionalFormatting>
  <conditionalFormatting sqref="B78">
    <cfRule type="expression" dxfId="261" priority="363">
      <formula>AD78&lt;&gt;""</formula>
    </cfRule>
  </conditionalFormatting>
  <conditionalFormatting sqref="Z78">
    <cfRule type="cellIs" dxfId="260" priority="361" operator="greaterThan">
      <formula>0</formula>
    </cfRule>
    <cfRule type="cellIs" dxfId="259" priority="362" operator="lessThan">
      <formula>0</formula>
    </cfRule>
  </conditionalFormatting>
  <conditionalFormatting sqref="S78">
    <cfRule type="cellIs" dxfId="258" priority="360" operator="lessThan">
      <formula>0</formula>
    </cfRule>
  </conditionalFormatting>
  <conditionalFormatting sqref="T76:T77">
    <cfRule type="expression" dxfId="257" priority="364">
      <formula>#REF!="Yes"</formula>
    </cfRule>
  </conditionalFormatting>
  <conditionalFormatting sqref="P78">
    <cfRule type="cellIs" dxfId="256" priority="358" operator="equal">
      <formula>AS_DURATION_EFFORT</formula>
    </cfRule>
    <cfRule type="cellIs" dxfId="255" priority="359" operator="equal">
      <formula>AS_DEV_EFFORT</formula>
    </cfRule>
  </conditionalFormatting>
  <conditionalFormatting sqref="B76:B77">
    <cfRule type="expression" dxfId="254" priority="357">
      <formula>AD76&lt;&gt;""</formula>
    </cfRule>
  </conditionalFormatting>
  <conditionalFormatting sqref="F78">
    <cfRule type="expression" dxfId="253" priority="356">
      <formula>$K78&lt;&gt;""</formula>
    </cfRule>
  </conditionalFormatting>
  <conditionalFormatting sqref="C78">
    <cfRule type="expression" dxfId="252" priority="355">
      <formula>$G78&lt;&gt;"-"</formula>
    </cfRule>
  </conditionalFormatting>
  <conditionalFormatting sqref="D78">
    <cfRule type="expression" dxfId="251" priority="354">
      <formula>$H78&lt;&gt;"-"</formula>
    </cfRule>
  </conditionalFormatting>
  <conditionalFormatting sqref="E78">
    <cfRule type="expression" dxfId="250" priority="353">
      <formula>$I78&lt;&gt;"-"</formula>
    </cfRule>
  </conditionalFormatting>
  <conditionalFormatting sqref="B79">
    <cfRule type="expression" dxfId="249" priority="348">
      <formula>AD79&lt;&gt;""</formula>
    </cfRule>
  </conditionalFormatting>
  <conditionalFormatting sqref="Z79">
    <cfRule type="cellIs" dxfId="248" priority="346" operator="greaterThan">
      <formula>0</formula>
    </cfRule>
    <cfRule type="cellIs" dxfId="247" priority="347" operator="lessThan">
      <formula>0</formula>
    </cfRule>
  </conditionalFormatting>
  <conditionalFormatting sqref="S79">
    <cfRule type="cellIs" dxfId="246" priority="345" operator="lessThan">
      <formula>0</formula>
    </cfRule>
  </conditionalFormatting>
  <conditionalFormatting sqref="P79">
    <cfRule type="cellIs" dxfId="245" priority="343" operator="equal">
      <formula>AS_DURATION_EFFORT</formula>
    </cfRule>
    <cfRule type="cellIs" dxfId="244" priority="344" operator="equal">
      <formula>AS_DEV_EFFORT</formula>
    </cfRule>
  </conditionalFormatting>
  <conditionalFormatting sqref="F79">
    <cfRule type="expression" dxfId="243" priority="342">
      <formula>$K79&lt;&gt;""</formula>
    </cfRule>
  </conditionalFormatting>
  <conditionalFormatting sqref="C79">
    <cfRule type="expression" dxfId="242" priority="341">
      <formula>$G79&lt;&gt;"-"</formula>
    </cfRule>
  </conditionalFormatting>
  <conditionalFormatting sqref="D79">
    <cfRule type="expression" dxfId="241" priority="340">
      <formula>$H79&lt;&gt;"-"</formula>
    </cfRule>
  </conditionalFormatting>
  <conditionalFormatting sqref="E79">
    <cfRule type="expression" dxfId="240" priority="339">
      <formula>$I79&lt;&gt;"-"</formula>
    </cfRule>
  </conditionalFormatting>
  <conditionalFormatting sqref="B80">
    <cfRule type="expression" dxfId="239" priority="336">
      <formula>AD80&lt;&gt;""</formula>
    </cfRule>
  </conditionalFormatting>
  <conditionalFormatting sqref="Z80">
    <cfRule type="cellIs" dxfId="238" priority="334" operator="greaterThan">
      <formula>0</formula>
    </cfRule>
    <cfRule type="cellIs" dxfId="237" priority="335" operator="lessThan">
      <formula>0</formula>
    </cfRule>
  </conditionalFormatting>
  <conditionalFormatting sqref="S80">
    <cfRule type="cellIs" dxfId="236" priority="333" operator="lessThan">
      <formula>0</formula>
    </cfRule>
  </conditionalFormatting>
  <conditionalFormatting sqref="P80">
    <cfRule type="cellIs" dxfId="235" priority="331" operator="equal">
      <formula>AS_DURATION_EFFORT</formula>
    </cfRule>
    <cfRule type="cellIs" dxfId="234" priority="332" operator="equal">
      <formula>AS_DEV_EFFORT</formula>
    </cfRule>
  </conditionalFormatting>
  <conditionalFormatting sqref="F80">
    <cfRule type="expression" dxfId="233" priority="330">
      <formula>$K80&lt;&gt;""</formula>
    </cfRule>
  </conditionalFormatting>
  <conditionalFormatting sqref="C80">
    <cfRule type="expression" dxfId="232" priority="329">
      <formula>$G80&lt;&gt;"-"</formula>
    </cfRule>
  </conditionalFormatting>
  <conditionalFormatting sqref="D80">
    <cfRule type="expression" dxfId="231" priority="328">
      <formula>$H80&lt;&gt;"-"</formula>
    </cfRule>
  </conditionalFormatting>
  <conditionalFormatting sqref="E80">
    <cfRule type="expression" dxfId="230" priority="327">
      <formula>$I80&lt;&gt;"-"</formula>
    </cfRule>
  </conditionalFormatting>
  <conditionalFormatting sqref="B81">
    <cfRule type="expression" dxfId="229" priority="324">
      <formula>AD81&lt;&gt;""</formula>
    </cfRule>
  </conditionalFormatting>
  <conditionalFormatting sqref="Z81">
    <cfRule type="cellIs" dxfId="228" priority="322" operator="greaterThan">
      <formula>0</formula>
    </cfRule>
    <cfRule type="cellIs" dxfId="227" priority="323" operator="lessThan">
      <formula>0</formula>
    </cfRule>
  </conditionalFormatting>
  <conditionalFormatting sqref="S81">
    <cfRule type="cellIs" dxfId="226" priority="321" operator="lessThan">
      <formula>0</formula>
    </cfRule>
  </conditionalFormatting>
  <conditionalFormatting sqref="P81">
    <cfRule type="cellIs" dxfId="225" priority="319" operator="equal">
      <formula>AS_DURATION_EFFORT</formula>
    </cfRule>
    <cfRule type="cellIs" dxfId="224" priority="320" operator="equal">
      <formula>AS_DEV_EFFORT</formula>
    </cfRule>
  </conditionalFormatting>
  <conditionalFormatting sqref="F81">
    <cfRule type="expression" dxfId="223" priority="318">
      <formula>$K81&lt;&gt;""</formula>
    </cfRule>
  </conditionalFormatting>
  <conditionalFormatting sqref="C81">
    <cfRule type="expression" dxfId="222" priority="317">
      <formula>$G81&lt;&gt;"-"</formula>
    </cfRule>
  </conditionalFormatting>
  <conditionalFormatting sqref="D81">
    <cfRule type="expression" dxfId="221" priority="316">
      <formula>$H81&lt;&gt;"-"</formula>
    </cfRule>
  </conditionalFormatting>
  <conditionalFormatting sqref="E81">
    <cfRule type="expression" dxfId="220" priority="315">
      <formula>$I81&lt;&gt;"-"</formula>
    </cfRule>
  </conditionalFormatting>
  <conditionalFormatting sqref="B82">
    <cfRule type="expression" dxfId="219" priority="312">
      <formula>AD82&lt;&gt;""</formula>
    </cfRule>
  </conditionalFormatting>
  <conditionalFormatting sqref="Z82">
    <cfRule type="cellIs" dxfId="218" priority="310" operator="greaterThan">
      <formula>0</formula>
    </cfRule>
    <cfRule type="cellIs" dxfId="217" priority="311" operator="lessThan">
      <formula>0</formula>
    </cfRule>
  </conditionalFormatting>
  <conditionalFormatting sqref="S82">
    <cfRule type="cellIs" dxfId="216" priority="309" operator="lessThan">
      <formula>0</formula>
    </cfRule>
  </conditionalFormatting>
  <conditionalFormatting sqref="P82">
    <cfRule type="cellIs" dxfId="215" priority="307" operator="equal">
      <formula>AS_DURATION_EFFORT</formula>
    </cfRule>
    <cfRule type="cellIs" dxfId="214" priority="308" operator="equal">
      <formula>AS_DEV_EFFORT</formula>
    </cfRule>
  </conditionalFormatting>
  <conditionalFormatting sqref="F82">
    <cfRule type="expression" dxfId="213" priority="306">
      <formula>$K82&lt;&gt;""</formula>
    </cfRule>
  </conditionalFormatting>
  <conditionalFormatting sqref="C82">
    <cfRule type="expression" dxfId="212" priority="305">
      <formula>$G82&lt;&gt;"-"</formula>
    </cfRule>
  </conditionalFormatting>
  <conditionalFormatting sqref="D82">
    <cfRule type="expression" dxfId="211" priority="304">
      <formula>$H82&lt;&gt;"-"</formula>
    </cfRule>
  </conditionalFormatting>
  <conditionalFormatting sqref="E82">
    <cfRule type="expression" dxfId="210" priority="303">
      <formula>$I82&lt;&gt;"-"</formula>
    </cfRule>
  </conditionalFormatting>
  <conditionalFormatting sqref="B107">
    <cfRule type="expression" dxfId="209" priority="273">
      <formula>AD107&lt;&gt;""</formula>
    </cfRule>
  </conditionalFormatting>
  <conditionalFormatting sqref="Z107">
    <cfRule type="cellIs" dxfId="208" priority="271" operator="greaterThan">
      <formula>0</formula>
    </cfRule>
    <cfRule type="cellIs" dxfId="207" priority="272" operator="lessThan">
      <formula>0</formula>
    </cfRule>
  </conditionalFormatting>
  <conditionalFormatting sqref="S107">
    <cfRule type="cellIs" dxfId="206" priority="270" operator="lessThan">
      <formula>0</formula>
    </cfRule>
  </conditionalFormatting>
  <conditionalFormatting sqref="T105:T106">
    <cfRule type="expression" dxfId="205" priority="274">
      <formula>#REF!="Yes"</formula>
    </cfRule>
  </conditionalFormatting>
  <conditionalFormatting sqref="P107">
    <cfRule type="cellIs" dxfId="204" priority="268" operator="equal">
      <formula>AS_DURATION_EFFORT</formula>
    </cfRule>
    <cfRule type="cellIs" dxfId="203" priority="269" operator="equal">
      <formula>AS_DEV_EFFORT</formula>
    </cfRule>
  </conditionalFormatting>
  <conditionalFormatting sqref="B105:B106">
    <cfRule type="expression" dxfId="202" priority="267">
      <formula>AD105&lt;&gt;""</formula>
    </cfRule>
  </conditionalFormatting>
  <conditionalFormatting sqref="F107">
    <cfRule type="expression" dxfId="201" priority="266">
      <formula>$K107&lt;&gt;""</formula>
    </cfRule>
  </conditionalFormatting>
  <conditionalFormatting sqref="C107">
    <cfRule type="expression" dxfId="200" priority="265">
      <formula>$G107&lt;&gt;"-"</formula>
    </cfRule>
  </conditionalFormatting>
  <conditionalFormatting sqref="D107">
    <cfRule type="expression" dxfId="199" priority="264">
      <formula>$H107&lt;&gt;"-"</formula>
    </cfRule>
  </conditionalFormatting>
  <conditionalFormatting sqref="E107">
    <cfRule type="expression" dxfId="198" priority="263">
      <formula>$I107&lt;&gt;"-"</formula>
    </cfRule>
  </conditionalFormatting>
  <conditionalFormatting sqref="B108">
    <cfRule type="expression" dxfId="197" priority="252">
      <formula>AD108&lt;&gt;""</formula>
    </cfRule>
  </conditionalFormatting>
  <conditionalFormatting sqref="Z108">
    <cfRule type="cellIs" dxfId="196" priority="250" operator="greaterThan">
      <formula>0</formula>
    </cfRule>
    <cfRule type="cellIs" dxfId="195" priority="251" operator="lessThan">
      <formula>0</formula>
    </cfRule>
  </conditionalFormatting>
  <conditionalFormatting sqref="S108">
    <cfRule type="cellIs" dxfId="194" priority="249" operator="lessThan">
      <formula>0</formula>
    </cfRule>
  </conditionalFormatting>
  <conditionalFormatting sqref="P108">
    <cfRule type="cellIs" dxfId="193" priority="247" operator="equal">
      <formula>AS_DURATION_EFFORT</formula>
    </cfRule>
    <cfRule type="cellIs" dxfId="192" priority="248" operator="equal">
      <formula>AS_DEV_EFFORT</formula>
    </cfRule>
  </conditionalFormatting>
  <conditionalFormatting sqref="F108">
    <cfRule type="expression" dxfId="191" priority="246">
      <formula>$K108&lt;&gt;""</formula>
    </cfRule>
  </conditionalFormatting>
  <conditionalFormatting sqref="C108">
    <cfRule type="expression" dxfId="190" priority="245">
      <formula>$G108&lt;&gt;"-"</formula>
    </cfRule>
  </conditionalFormatting>
  <conditionalFormatting sqref="D108">
    <cfRule type="expression" dxfId="189" priority="244">
      <formula>$H108&lt;&gt;"-"</formula>
    </cfRule>
  </conditionalFormatting>
  <conditionalFormatting sqref="E108">
    <cfRule type="expression" dxfId="188" priority="243">
      <formula>$I108&lt;&gt;"-"</formula>
    </cfRule>
  </conditionalFormatting>
  <conditionalFormatting sqref="B109">
    <cfRule type="expression" dxfId="187" priority="238">
      <formula>AD109&lt;&gt;""</formula>
    </cfRule>
  </conditionalFormatting>
  <conditionalFormatting sqref="Z109">
    <cfRule type="cellIs" dxfId="186" priority="236" operator="greaterThan">
      <formula>0</formula>
    </cfRule>
    <cfRule type="cellIs" dxfId="185" priority="237" operator="lessThan">
      <formula>0</formula>
    </cfRule>
  </conditionalFormatting>
  <conditionalFormatting sqref="S109">
    <cfRule type="cellIs" dxfId="184" priority="235" operator="lessThan">
      <formula>0</formula>
    </cfRule>
  </conditionalFormatting>
  <conditionalFormatting sqref="P109">
    <cfRule type="cellIs" dxfId="183" priority="233" operator="equal">
      <formula>AS_DURATION_EFFORT</formula>
    </cfRule>
    <cfRule type="cellIs" dxfId="182" priority="234" operator="equal">
      <formula>AS_DEV_EFFORT</formula>
    </cfRule>
  </conditionalFormatting>
  <conditionalFormatting sqref="F109">
    <cfRule type="expression" dxfId="181" priority="232">
      <formula>$K109&lt;&gt;""</formula>
    </cfRule>
  </conditionalFormatting>
  <conditionalFormatting sqref="C109">
    <cfRule type="expression" dxfId="180" priority="231">
      <formula>$G109&lt;&gt;"-"</formula>
    </cfRule>
  </conditionalFormatting>
  <conditionalFormatting sqref="D109">
    <cfRule type="expression" dxfId="179" priority="230">
      <formula>$H109&lt;&gt;"-"</formula>
    </cfRule>
  </conditionalFormatting>
  <conditionalFormatting sqref="E109">
    <cfRule type="expression" dxfId="178" priority="229">
      <formula>$I109&lt;&gt;"-"</formula>
    </cfRule>
  </conditionalFormatting>
  <conditionalFormatting sqref="B110">
    <cfRule type="expression" dxfId="177" priority="224">
      <formula>AD110&lt;&gt;""</formula>
    </cfRule>
  </conditionalFormatting>
  <conditionalFormatting sqref="Z110">
    <cfRule type="cellIs" dxfId="176" priority="222" operator="greaterThan">
      <formula>0</formula>
    </cfRule>
    <cfRule type="cellIs" dxfId="175" priority="223" operator="lessThan">
      <formula>0</formula>
    </cfRule>
  </conditionalFormatting>
  <conditionalFormatting sqref="S110">
    <cfRule type="cellIs" dxfId="174" priority="221" operator="lessThan">
      <formula>0</formula>
    </cfRule>
  </conditionalFormatting>
  <conditionalFormatting sqref="P110">
    <cfRule type="cellIs" dxfId="173" priority="219" operator="equal">
      <formula>AS_DURATION_EFFORT</formula>
    </cfRule>
    <cfRule type="cellIs" dxfId="172" priority="220" operator="equal">
      <formula>AS_DEV_EFFORT</formula>
    </cfRule>
  </conditionalFormatting>
  <conditionalFormatting sqref="F110">
    <cfRule type="expression" dxfId="171" priority="218">
      <formula>$K110&lt;&gt;""</formula>
    </cfRule>
  </conditionalFormatting>
  <conditionalFormatting sqref="C110">
    <cfRule type="expression" dxfId="170" priority="217">
      <formula>$G110&lt;&gt;"-"</formula>
    </cfRule>
  </conditionalFormatting>
  <conditionalFormatting sqref="D110">
    <cfRule type="expression" dxfId="169" priority="216">
      <formula>$H110&lt;&gt;"-"</formula>
    </cfRule>
  </conditionalFormatting>
  <conditionalFormatting sqref="E110">
    <cfRule type="expression" dxfId="168" priority="215">
      <formula>$I110&lt;&gt;"-"</formula>
    </cfRule>
  </conditionalFormatting>
  <conditionalFormatting sqref="B111">
    <cfRule type="expression" dxfId="167" priority="212">
      <formula>AD111&lt;&gt;""</formula>
    </cfRule>
  </conditionalFormatting>
  <conditionalFormatting sqref="Z111">
    <cfRule type="cellIs" dxfId="166" priority="210" operator="greaterThan">
      <formula>0</formula>
    </cfRule>
    <cfRule type="cellIs" dxfId="165" priority="211" operator="lessThan">
      <formula>0</formula>
    </cfRule>
  </conditionalFormatting>
  <conditionalFormatting sqref="S111">
    <cfRule type="cellIs" dxfId="164" priority="209" operator="lessThan">
      <formula>0</formula>
    </cfRule>
  </conditionalFormatting>
  <conditionalFormatting sqref="P111">
    <cfRule type="cellIs" dxfId="163" priority="207" operator="equal">
      <formula>AS_DURATION_EFFORT</formula>
    </cfRule>
    <cfRule type="cellIs" dxfId="162" priority="208" operator="equal">
      <formula>AS_DEV_EFFORT</formula>
    </cfRule>
  </conditionalFormatting>
  <conditionalFormatting sqref="F111">
    <cfRule type="expression" dxfId="161" priority="206">
      <formula>$K111&lt;&gt;""</formula>
    </cfRule>
  </conditionalFormatting>
  <conditionalFormatting sqref="C111">
    <cfRule type="expression" dxfId="160" priority="205">
      <formula>$G111&lt;&gt;"-"</formula>
    </cfRule>
  </conditionalFormatting>
  <conditionalFormatting sqref="D111">
    <cfRule type="expression" dxfId="159" priority="204">
      <formula>$H111&lt;&gt;"-"</formula>
    </cfRule>
  </conditionalFormatting>
  <conditionalFormatting sqref="E111">
    <cfRule type="expression" dxfId="158" priority="203">
      <formula>$I111&lt;&gt;"-"</formula>
    </cfRule>
  </conditionalFormatting>
  <conditionalFormatting sqref="T101:T102">
    <cfRule type="expression" dxfId="157" priority="198">
      <formula>#REF!="Yes"</formula>
    </cfRule>
  </conditionalFormatting>
  <conditionalFormatting sqref="B101:B102">
    <cfRule type="expression" dxfId="156" priority="191">
      <formula>AD101&lt;&gt;""</formula>
    </cfRule>
  </conditionalFormatting>
  <conditionalFormatting sqref="B103">
    <cfRule type="expression" dxfId="155" priority="182">
      <formula>AD103&lt;&gt;""</formula>
    </cfRule>
  </conditionalFormatting>
  <conditionalFormatting sqref="Z103">
    <cfRule type="cellIs" dxfId="154" priority="180" operator="greaterThan">
      <formula>0</formula>
    </cfRule>
    <cfRule type="cellIs" dxfId="153" priority="181" operator="lessThan">
      <formula>0</formula>
    </cfRule>
  </conditionalFormatting>
  <conditionalFormatting sqref="S103">
    <cfRule type="cellIs" dxfId="152" priority="179" operator="lessThan">
      <formula>0</formula>
    </cfRule>
  </conditionalFormatting>
  <conditionalFormatting sqref="P103">
    <cfRule type="cellIs" dxfId="151" priority="177" operator="equal">
      <formula>AS_DURATION_EFFORT</formula>
    </cfRule>
    <cfRule type="cellIs" dxfId="150" priority="178" operator="equal">
      <formula>AS_DEV_EFFORT</formula>
    </cfRule>
  </conditionalFormatting>
  <conditionalFormatting sqref="F103">
    <cfRule type="expression" dxfId="149" priority="176">
      <formula>$K103&lt;&gt;""</formula>
    </cfRule>
  </conditionalFormatting>
  <conditionalFormatting sqref="C103">
    <cfRule type="expression" dxfId="148" priority="175">
      <formula>$G103&lt;&gt;"-"</formula>
    </cfRule>
  </conditionalFormatting>
  <conditionalFormatting sqref="D103">
    <cfRule type="expression" dxfId="147" priority="174">
      <formula>$H103&lt;&gt;"-"</formula>
    </cfRule>
  </conditionalFormatting>
  <conditionalFormatting sqref="E103">
    <cfRule type="expression" dxfId="146" priority="173">
      <formula>$I103&lt;&gt;"-"</formula>
    </cfRule>
  </conditionalFormatting>
  <conditionalFormatting sqref="B98">
    <cfRule type="expression" dxfId="145" priority="168">
      <formula>AD98&lt;&gt;""</formula>
    </cfRule>
  </conditionalFormatting>
  <conditionalFormatting sqref="Z98">
    <cfRule type="cellIs" dxfId="144" priority="166" operator="greaterThan">
      <formula>0</formula>
    </cfRule>
    <cfRule type="cellIs" dxfId="143" priority="167" operator="lessThan">
      <formula>0</formula>
    </cfRule>
  </conditionalFormatting>
  <conditionalFormatting sqref="S98">
    <cfRule type="cellIs" dxfId="142" priority="165" operator="lessThan">
      <formula>0</formula>
    </cfRule>
  </conditionalFormatting>
  <conditionalFormatting sqref="P98">
    <cfRule type="cellIs" dxfId="141" priority="163" operator="equal">
      <formula>AS_DURATION_EFFORT</formula>
    </cfRule>
    <cfRule type="cellIs" dxfId="140" priority="164" operator="equal">
      <formula>AS_DEV_EFFORT</formula>
    </cfRule>
  </conditionalFormatting>
  <conditionalFormatting sqref="F98">
    <cfRule type="expression" dxfId="139" priority="162">
      <formula>$K98&lt;&gt;""</formula>
    </cfRule>
  </conditionalFormatting>
  <conditionalFormatting sqref="C98">
    <cfRule type="expression" dxfId="138" priority="161">
      <formula>$G98&lt;&gt;"-"</formula>
    </cfRule>
  </conditionalFormatting>
  <conditionalFormatting sqref="D98">
    <cfRule type="expression" dxfId="137" priority="160">
      <formula>$H98&lt;&gt;"-"</formula>
    </cfRule>
  </conditionalFormatting>
  <conditionalFormatting sqref="E98">
    <cfRule type="expression" dxfId="136" priority="159">
      <formula>$I98&lt;&gt;"-"</formula>
    </cfRule>
  </conditionalFormatting>
  <conditionalFormatting sqref="B115">
    <cfRule type="expression" dxfId="135" priority="153">
      <formula>AD115&lt;&gt;""</formula>
    </cfRule>
  </conditionalFormatting>
  <conditionalFormatting sqref="Z115">
    <cfRule type="cellIs" dxfId="134" priority="151" operator="greaterThan">
      <formula>0</formula>
    </cfRule>
    <cfRule type="cellIs" dxfId="133" priority="152" operator="lessThan">
      <formula>0</formula>
    </cfRule>
  </conditionalFormatting>
  <conditionalFormatting sqref="S115">
    <cfRule type="cellIs" dxfId="132" priority="150" operator="lessThan">
      <formula>0</formula>
    </cfRule>
  </conditionalFormatting>
  <conditionalFormatting sqref="T113:T114">
    <cfRule type="expression" dxfId="131" priority="154">
      <formula>#REF!="Yes"</formula>
    </cfRule>
  </conditionalFormatting>
  <conditionalFormatting sqref="P115">
    <cfRule type="cellIs" dxfId="130" priority="148" operator="equal">
      <formula>AS_DURATION_EFFORT</formula>
    </cfRule>
    <cfRule type="cellIs" dxfId="129" priority="149" operator="equal">
      <formula>AS_DEV_EFFORT</formula>
    </cfRule>
  </conditionalFormatting>
  <conditionalFormatting sqref="B113:B114">
    <cfRule type="expression" dxfId="128" priority="147">
      <formula>AD113&lt;&gt;""</formula>
    </cfRule>
  </conditionalFormatting>
  <conditionalFormatting sqref="F115">
    <cfRule type="expression" dxfId="127" priority="146">
      <formula>$K115&lt;&gt;""</formula>
    </cfRule>
  </conditionalFormatting>
  <conditionalFormatting sqref="C115">
    <cfRule type="expression" dxfId="126" priority="145">
      <formula>$G115&lt;&gt;"-"</formula>
    </cfRule>
  </conditionalFormatting>
  <conditionalFormatting sqref="D115">
    <cfRule type="expression" dxfId="125" priority="144">
      <formula>$H115&lt;&gt;"-"</formula>
    </cfRule>
  </conditionalFormatting>
  <conditionalFormatting sqref="E115">
    <cfRule type="expression" dxfId="124" priority="143">
      <formula>$I115&lt;&gt;"-"</formula>
    </cfRule>
  </conditionalFormatting>
  <conditionalFormatting sqref="B116">
    <cfRule type="expression" dxfId="123" priority="138">
      <formula>AD116&lt;&gt;""</formula>
    </cfRule>
  </conditionalFormatting>
  <conditionalFormatting sqref="Z116">
    <cfRule type="cellIs" dxfId="122" priority="136" operator="greaterThan">
      <formula>0</formula>
    </cfRule>
    <cfRule type="cellIs" dxfId="121" priority="137" operator="lessThan">
      <formula>0</formula>
    </cfRule>
  </conditionalFormatting>
  <conditionalFormatting sqref="S116">
    <cfRule type="cellIs" dxfId="120" priority="135" operator="lessThan">
      <formula>0</formula>
    </cfRule>
  </conditionalFormatting>
  <conditionalFormatting sqref="P116">
    <cfRule type="cellIs" dxfId="119" priority="133" operator="equal">
      <formula>AS_DURATION_EFFORT</formula>
    </cfRule>
    <cfRule type="cellIs" dxfId="118" priority="134" operator="equal">
      <formula>AS_DEV_EFFORT</formula>
    </cfRule>
  </conditionalFormatting>
  <conditionalFormatting sqref="F116">
    <cfRule type="expression" dxfId="117" priority="132">
      <formula>$K116&lt;&gt;""</formula>
    </cfRule>
  </conditionalFormatting>
  <conditionalFormatting sqref="C116">
    <cfRule type="expression" dxfId="116" priority="131">
      <formula>$G116&lt;&gt;"-"</formula>
    </cfRule>
  </conditionalFormatting>
  <conditionalFormatting sqref="D116">
    <cfRule type="expression" dxfId="115" priority="130">
      <formula>$H116&lt;&gt;"-"</formula>
    </cfRule>
  </conditionalFormatting>
  <conditionalFormatting sqref="E116">
    <cfRule type="expression" dxfId="114" priority="129">
      <formula>$I116&lt;&gt;"-"</formula>
    </cfRule>
  </conditionalFormatting>
  <conditionalFormatting sqref="B117">
    <cfRule type="expression" dxfId="113" priority="126">
      <formula>AD117&lt;&gt;""</formula>
    </cfRule>
  </conditionalFormatting>
  <conditionalFormatting sqref="Z117">
    <cfRule type="cellIs" dxfId="112" priority="124" operator="greaterThan">
      <formula>0</formula>
    </cfRule>
    <cfRule type="cellIs" dxfId="111" priority="125" operator="lessThan">
      <formula>0</formula>
    </cfRule>
  </conditionalFormatting>
  <conditionalFormatting sqref="S117">
    <cfRule type="cellIs" dxfId="110" priority="123" operator="lessThan">
      <formula>0</formula>
    </cfRule>
  </conditionalFormatting>
  <conditionalFormatting sqref="P117">
    <cfRule type="cellIs" dxfId="109" priority="121" operator="equal">
      <formula>AS_DURATION_EFFORT</formula>
    </cfRule>
    <cfRule type="cellIs" dxfId="108" priority="122" operator="equal">
      <formula>AS_DEV_EFFORT</formula>
    </cfRule>
  </conditionalFormatting>
  <conditionalFormatting sqref="F117">
    <cfRule type="expression" dxfId="107" priority="120">
      <formula>$K117&lt;&gt;""</formula>
    </cfRule>
  </conditionalFormatting>
  <conditionalFormatting sqref="C117">
    <cfRule type="expression" dxfId="106" priority="119">
      <formula>$G117&lt;&gt;"-"</formula>
    </cfRule>
  </conditionalFormatting>
  <conditionalFormatting sqref="D117">
    <cfRule type="expression" dxfId="105" priority="118">
      <formula>$H117&lt;&gt;"-"</formula>
    </cfRule>
  </conditionalFormatting>
  <conditionalFormatting sqref="E117">
    <cfRule type="expression" dxfId="104" priority="117">
      <formula>$I117&lt;&gt;"-"</formula>
    </cfRule>
  </conditionalFormatting>
  <conditionalFormatting sqref="B118">
    <cfRule type="expression" dxfId="103" priority="114">
      <formula>AD118&lt;&gt;""</formula>
    </cfRule>
  </conditionalFormatting>
  <conditionalFormatting sqref="Z118">
    <cfRule type="cellIs" dxfId="102" priority="112" operator="greaterThan">
      <formula>0</formula>
    </cfRule>
    <cfRule type="cellIs" dxfId="101" priority="113" operator="lessThan">
      <formula>0</formula>
    </cfRule>
  </conditionalFormatting>
  <conditionalFormatting sqref="S118">
    <cfRule type="cellIs" dxfId="100" priority="111" operator="lessThan">
      <formula>0</formula>
    </cfRule>
  </conditionalFormatting>
  <conditionalFormatting sqref="P118">
    <cfRule type="cellIs" dxfId="99" priority="109" operator="equal">
      <formula>AS_DURATION_EFFORT</formula>
    </cfRule>
    <cfRule type="cellIs" dxfId="98" priority="110" operator="equal">
      <formula>AS_DEV_EFFORT</formula>
    </cfRule>
  </conditionalFormatting>
  <conditionalFormatting sqref="F118">
    <cfRule type="expression" dxfId="97" priority="108">
      <formula>$K118&lt;&gt;""</formula>
    </cfRule>
  </conditionalFormatting>
  <conditionalFormatting sqref="C118">
    <cfRule type="expression" dxfId="96" priority="107">
      <formula>$G118&lt;&gt;"-"</formula>
    </cfRule>
  </conditionalFormatting>
  <conditionalFormatting sqref="D118">
    <cfRule type="expression" dxfId="95" priority="106">
      <formula>$H118&lt;&gt;"-"</formula>
    </cfRule>
  </conditionalFormatting>
  <conditionalFormatting sqref="E118">
    <cfRule type="expression" dxfId="94" priority="105">
      <formula>$I118&lt;&gt;"-"</formula>
    </cfRule>
  </conditionalFormatting>
  <conditionalFormatting sqref="B119">
    <cfRule type="expression" dxfId="93" priority="102">
      <formula>AD119&lt;&gt;""</formula>
    </cfRule>
  </conditionalFormatting>
  <conditionalFormatting sqref="Z119">
    <cfRule type="cellIs" dxfId="92" priority="100" operator="greaterThan">
      <formula>0</formula>
    </cfRule>
    <cfRule type="cellIs" dxfId="91" priority="101" operator="lessThan">
      <formula>0</formula>
    </cfRule>
  </conditionalFormatting>
  <conditionalFormatting sqref="S119">
    <cfRule type="cellIs" dxfId="90" priority="99" operator="lessThan">
      <formula>0</formula>
    </cfRule>
  </conditionalFormatting>
  <conditionalFormatting sqref="P119">
    <cfRule type="cellIs" dxfId="89" priority="97" operator="equal">
      <formula>AS_DURATION_EFFORT</formula>
    </cfRule>
    <cfRule type="cellIs" dxfId="88" priority="98" operator="equal">
      <formula>AS_DEV_EFFORT</formula>
    </cfRule>
  </conditionalFormatting>
  <conditionalFormatting sqref="F119">
    <cfRule type="expression" dxfId="87" priority="96">
      <formula>$K119&lt;&gt;""</formula>
    </cfRule>
  </conditionalFormatting>
  <conditionalFormatting sqref="C119">
    <cfRule type="expression" dxfId="86" priority="95">
      <formula>$G119&lt;&gt;"-"</formula>
    </cfRule>
  </conditionalFormatting>
  <conditionalFormatting sqref="D119">
    <cfRule type="expression" dxfId="85" priority="94">
      <formula>$H119&lt;&gt;"-"</formula>
    </cfRule>
  </conditionalFormatting>
  <conditionalFormatting sqref="E119">
    <cfRule type="expression" dxfId="84" priority="93">
      <formula>$I119&lt;&gt;"-"</formula>
    </cfRule>
  </conditionalFormatting>
  <conditionalFormatting sqref="B120">
    <cfRule type="expression" dxfId="83" priority="90">
      <formula>AD120&lt;&gt;""</formula>
    </cfRule>
  </conditionalFormatting>
  <conditionalFormatting sqref="Z120">
    <cfRule type="cellIs" dxfId="82" priority="88" operator="greaterThan">
      <formula>0</formula>
    </cfRule>
    <cfRule type="cellIs" dxfId="81" priority="89" operator="lessThan">
      <formula>0</formula>
    </cfRule>
  </conditionalFormatting>
  <conditionalFormatting sqref="S120">
    <cfRule type="cellIs" dxfId="80" priority="87" operator="lessThan">
      <formula>0</formula>
    </cfRule>
  </conditionalFormatting>
  <conditionalFormatting sqref="P120">
    <cfRule type="cellIs" dxfId="79" priority="85" operator="equal">
      <formula>AS_DURATION_EFFORT</formula>
    </cfRule>
    <cfRule type="cellIs" dxfId="78" priority="86" operator="equal">
      <formula>AS_DEV_EFFORT</formula>
    </cfRule>
  </conditionalFormatting>
  <conditionalFormatting sqref="F120">
    <cfRule type="expression" dxfId="77" priority="84">
      <formula>$K120&lt;&gt;""</formula>
    </cfRule>
  </conditionalFormatting>
  <conditionalFormatting sqref="C120">
    <cfRule type="expression" dxfId="76" priority="83">
      <formula>$G120&lt;&gt;"-"</formula>
    </cfRule>
  </conditionalFormatting>
  <conditionalFormatting sqref="D120">
    <cfRule type="expression" dxfId="75" priority="82">
      <formula>$H120&lt;&gt;"-"</formula>
    </cfRule>
  </conditionalFormatting>
  <conditionalFormatting sqref="E120">
    <cfRule type="expression" dxfId="74" priority="81">
      <formula>$I120&lt;&gt;"-"</formula>
    </cfRule>
  </conditionalFormatting>
  <conditionalFormatting sqref="B121">
    <cfRule type="expression" dxfId="73" priority="78">
      <formula>AD121&lt;&gt;""</formula>
    </cfRule>
  </conditionalFormatting>
  <conditionalFormatting sqref="Z121">
    <cfRule type="cellIs" dxfId="72" priority="76" operator="greaterThan">
      <formula>0</formula>
    </cfRule>
    <cfRule type="cellIs" dxfId="71" priority="77" operator="lessThan">
      <formula>0</formula>
    </cfRule>
  </conditionalFormatting>
  <conditionalFormatting sqref="S121">
    <cfRule type="cellIs" dxfId="70" priority="75" operator="lessThan">
      <formula>0</formula>
    </cfRule>
  </conditionalFormatting>
  <conditionalFormatting sqref="P121">
    <cfRule type="cellIs" dxfId="69" priority="73" operator="equal">
      <formula>AS_DURATION_EFFORT</formula>
    </cfRule>
    <cfRule type="cellIs" dxfId="68" priority="74" operator="equal">
      <formula>AS_DEV_EFFORT</formula>
    </cfRule>
  </conditionalFormatting>
  <conditionalFormatting sqref="F121">
    <cfRule type="expression" dxfId="67" priority="72">
      <formula>$K121&lt;&gt;""</formula>
    </cfRule>
  </conditionalFormatting>
  <conditionalFormatting sqref="C121">
    <cfRule type="expression" dxfId="66" priority="71">
      <formula>$G121&lt;&gt;"-"</formula>
    </cfRule>
  </conditionalFormatting>
  <conditionalFormatting sqref="D121">
    <cfRule type="expression" dxfId="65" priority="70">
      <formula>$H121&lt;&gt;"-"</formula>
    </cfRule>
  </conditionalFormatting>
  <conditionalFormatting sqref="E121">
    <cfRule type="expression" dxfId="64" priority="69">
      <formula>$I121&lt;&gt;"-"</formula>
    </cfRule>
  </conditionalFormatting>
  <conditionalFormatting sqref="B122">
    <cfRule type="expression" dxfId="63" priority="66">
      <formula>AD122&lt;&gt;""</formula>
    </cfRule>
  </conditionalFormatting>
  <conditionalFormatting sqref="Z122">
    <cfRule type="cellIs" dxfId="62" priority="64" operator="greaterThan">
      <formula>0</formula>
    </cfRule>
    <cfRule type="cellIs" dxfId="61" priority="65" operator="lessThan">
      <formula>0</formula>
    </cfRule>
  </conditionalFormatting>
  <conditionalFormatting sqref="S122">
    <cfRule type="cellIs" dxfId="60" priority="63" operator="lessThan">
      <formula>0</formula>
    </cfRule>
  </conditionalFormatting>
  <conditionalFormatting sqref="P122">
    <cfRule type="cellIs" dxfId="59" priority="61" operator="equal">
      <formula>AS_DURATION_EFFORT</formula>
    </cfRule>
    <cfRule type="cellIs" dxfId="58" priority="62" operator="equal">
      <formula>AS_DEV_EFFORT</formula>
    </cfRule>
  </conditionalFormatting>
  <conditionalFormatting sqref="F122">
    <cfRule type="expression" dxfId="57" priority="60">
      <formula>$K122&lt;&gt;""</formula>
    </cfRule>
  </conditionalFormatting>
  <conditionalFormatting sqref="C122">
    <cfRule type="expression" dxfId="56" priority="59">
      <formula>$G122&lt;&gt;"-"</formula>
    </cfRule>
  </conditionalFormatting>
  <conditionalFormatting sqref="D122">
    <cfRule type="expression" dxfId="55" priority="58">
      <formula>$H122&lt;&gt;"-"</formula>
    </cfRule>
  </conditionalFormatting>
  <conditionalFormatting sqref="E122">
    <cfRule type="expression" dxfId="54" priority="57">
      <formula>$I122&lt;&gt;"-"</formula>
    </cfRule>
  </conditionalFormatting>
  <conditionalFormatting sqref="B123">
    <cfRule type="expression" dxfId="53" priority="54">
      <formula>AD123&lt;&gt;""</formula>
    </cfRule>
  </conditionalFormatting>
  <conditionalFormatting sqref="Z123">
    <cfRule type="cellIs" dxfId="52" priority="52" operator="greaterThan">
      <formula>0</formula>
    </cfRule>
    <cfRule type="cellIs" dxfId="51" priority="53" operator="lessThan">
      <formula>0</formula>
    </cfRule>
  </conditionalFormatting>
  <conditionalFormatting sqref="S123">
    <cfRule type="cellIs" dxfId="50" priority="51" operator="lessThan">
      <formula>0</formula>
    </cfRule>
  </conditionalFormatting>
  <conditionalFormatting sqref="P123">
    <cfRule type="cellIs" dxfId="49" priority="49" operator="equal">
      <formula>AS_DURATION_EFFORT</formula>
    </cfRule>
    <cfRule type="cellIs" dxfId="48" priority="50" operator="equal">
      <formula>AS_DEV_EFFORT</formula>
    </cfRule>
  </conditionalFormatting>
  <conditionalFormatting sqref="F123">
    <cfRule type="expression" dxfId="47" priority="48">
      <formula>$K123&lt;&gt;""</formula>
    </cfRule>
  </conditionalFormatting>
  <conditionalFormatting sqref="C123">
    <cfRule type="expression" dxfId="46" priority="47">
      <formula>$G123&lt;&gt;"-"</formula>
    </cfRule>
  </conditionalFormatting>
  <conditionalFormatting sqref="D123">
    <cfRule type="expression" dxfId="45" priority="46">
      <formula>$H123&lt;&gt;"-"</formula>
    </cfRule>
  </conditionalFormatting>
  <conditionalFormatting sqref="E123">
    <cfRule type="expression" dxfId="44" priority="45">
      <formula>$I123&lt;&gt;"-"</formula>
    </cfRule>
  </conditionalFormatting>
  <conditionalFormatting sqref="B275">
    <cfRule type="expression" dxfId="43" priority="41">
      <formula>AD275&lt;&gt;""</formula>
    </cfRule>
  </conditionalFormatting>
  <conditionalFormatting sqref="Z275">
    <cfRule type="cellIs" dxfId="42" priority="39" operator="greaterThan">
      <formula>0</formula>
    </cfRule>
    <cfRule type="cellIs" dxfId="41" priority="40" operator="lessThan">
      <formula>0</formula>
    </cfRule>
  </conditionalFormatting>
  <conditionalFormatting sqref="S275">
    <cfRule type="cellIs" dxfId="40" priority="38" operator="lessThan">
      <formula>0</formula>
    </cfRule>
  </conditionalFormatting>
  <conditionalFormatting sqref="T273:T274">
    <cfRule type="expression" dxfId="39" priority="42">
      <formula>#REF!="Yes"</formula>
    </cfRule>
  </conditionalFormatting>
  <conditionalFormatting sqref="P275">
    <cfRule type="cellIs" dxfId="38" priority="36" operator="equal">
      <formula>AS_DURATION_EFFORT</formula>
    </cfRule>
    <cfRule type="cellIs" dxfId="37" priority="37" operator="equal">
      <formula>AS_DEV_EFFORT</formula>
    </cfRule>
  </conditionalFormatting>
  <conditionalFormatting sqref="B273:B274">
    <cfRule type="expression" dxfId="36" priority="35">
      <formula>AD273&lt;&gt;""</formula>
    </cfRule>
  </conditionalFormatting>
  <conditionalFormatting sqref="L275:M275 O275:AC275">
    <cfRule type="expression" dxfId="35" priority="43">
      <formula>AND($G275="Yes", $S$6="Exclude")</formula>
    </cfRule>
    <cfRule type="expression" dxfId="34" priority="44">
      <formula>$J275="Yes"</formula>
    </cfRule>
  </conditionalFormatting>
  <conditionalFormatting sqref="F275">
    <cfRule type="expression" dxfId="33" priority="34">
      <formula>$K275&lt;&gt;""</formula>
    </cfRule>
  </conditionalFormatting>
  <conditionalFormatting sqref="C275">
    <cfRule type="expression" dxfId="32" priority="33">
      <formula>$G275&lt;&gt;"-"</formula>
    </cfRule>
  </conditionalFormatting>
  <conditionalFormatting sqref="D275">
    <cfRule type="expression" dxfId="31" priority="32">
      <formula>$H275&lt;&gt;"-"</formula>
    </cfRule>
  </conditionalFormatting>
  <conditionalFormatting sqref="E275">
    <cfRule type="expression" dxfId="30" priority="31">
      <formula>$I275&lt;&gt;"-"</formula>
    </cfRule>
  </conditionalFormatting>
  <conditionalFormatting sqref="N275">
    <cfRule type="expression" dxfId="29" priority="29">
      <formula>AND($G275="Yes", $S$6="Exclude")</formula>
    </cfRule>
    <cfRule type="expression" dxfId="28" priority="30">
      <formula>$J275="Yes"</formula>
    </cfRule>
  </conditionalFormatting>
  <conditionalFormatting sqref="B276">
    <cfRule type="expression" dxfId="27" priority="26">
      <formula>AD276&lt;&gt;""</formula>
    </cfRule>
  </conditionalFormatting>
  <conditionalFormatting sqref="Z276">
    <cfRule type="cellIs" dxfId="26" priority="24" operator="greaterThan">
      <formula>0</formula>
    </cfRule>
    <cfRule type="cellIs" dxfId="25" priority="25" operator="lessThan">
      <formula>0</formula>
    </cfRule>
  </conditionalFormatting>
  <conditionalFormatting sqref="S276">
    <cfRule type="cellIs" dxfId="24" priority="23" operator="lessThan">
      <formula>0</formula>
    </cfRule>
  </conditionalFormatting>
  <conditionalFormatting sqref="P276">
    <cfRule type="cellIs" dxfId="23" priority="21" operator="equal">
      <formula>AS_DURATION_EFFORT</formula>
    </cfRule>
    <cfRule type="cellIs" dxfId="22" priority="22" operator="equal">
      <formula>AS_DEV_EFFORT</formula>
    </cfRule>
  </conditionalFormatting>
  <conditionalFormatting sqref="L276:M276 O276:AC276">
    <cfRule type="expression" dxfId="21" priority="27">
      <formula>AND($G276="Yes", $S$6="Exclude")</formula>
    </cfRule>
    <cfRule type="expression" dxfId="20" priority="28">
      <formula>$J276="Yes"</formula>
    </cfRule>
  </conditionalFormatting>
  <conditionalFormatting sqref="F276">
    <cfRule type="expression" dxfId="19" priority="20">
      <formula>$K276&lt;&gt;""</formula>
    </cfRule>
  </conditionalFormatting>
  <conditionalFormatting sqref="C276">
    <cfRule type="expression" dxfId="18" priority="19">
      <formula>$G276&lt;&gt;"-"</formula>
    </cfRule>
  </conditionalFormatting>
  <conditionalFormatting sqref="D276">
    <cfRule type="expression" dxfId="17" priority="18">
      <formula>$H276&lt;&gt;"-"</formula>
    </cfRule>
  </conditionalFormatting>
  <conditionalFormatting sqref="E276">
    <cfRule type="expression" dxfId="16" priority="17">
      <formula>$I276&lt;&gt;"-"</formula>
    </cfRule>
  </conditionalFormatting>
  <conditionalFormatting sqref="N276">
    <cfRule type="expression" dxfId="15" priority="15">
      <formula>AND($G276="Yes", $S$6="Exclude")</formula>
    </cfRule>
    <cfRule type="expression" dxfId="14" priority="16">
      <formula>$J276="Yes"</formula>
    </cfRule>
  </conditionalFormatting>
  <conditionalFormatting sqref="B277">
    <cfRule type="expression" dxfId="13" priority="12">
      <formula>AD277&lt;&gt;""</formula>
    </cfRule>
  </conditionalFormatting>
  <conditionalFormatting sqref="Z277">
    <cfRule type="cellIs" dxfId="12" priority="10" operator="greaterThan">
      <formula>0</formula>
    </cfRule>
    <cfRule type="cellIs" dxfId="11" priority="11" operator="lessThan">
      <formula>0</formula>
    </cfRule>
  </conditionalFormatting>
  <conditionalFormatting sqref="S277">
    <cfRule type="cellIs" dxfId="10" priority="9" operator="lessThan">
      <formula>0</formula>
    </cfRule>
  </conditionalFormatting>
  <conditionalFormatting sqref="P277">
    <cfRule type="cellIs" dxfId="9" priority="7" operator="equal">
      <formula>AS_DURATION_EFFORT</formula>
    </cfRule>
    <cfRule type="cellIs" dxfId="8" priority="8" operator="equal">
      <formula>AS_DEV_EFFORT</formula>
    </cfRule>
  </conditionalFormatting>
  <conditionalFormatting sqref="L277:M277 O277:AC277">
    <cfRule type="expression" dxfId="7" priority="13">
      <formula>AND($G277="Yes", $S$6="Exclude")</formula>
    </cfRule>
    <cfRule type="expression" dxfId="6" priority="14">
      <formula>$J277="Yes"</formula>
    </cfRule>
  </conditionalFormatting>
  <conditionalFormatting sqref="F277">
    <cfRule type="expression" dxfId="5" priority="6">
      <formula>$K277&lt;&gt;""</formula>
    </cfRule>
  </conditionalFormatting>
  <conditionalFormatting sqref="C277">
    <cfRule type="expression" dxfId="4" priority="5">
      <formula>$G277&lt;&gt;"-"</formula>
    </cfRule>
  </conditionalFormatting>
  <conditionalFormatting sqref="D277">
    <cfRule type="expression" dxfId="3" priority="4">
      <formula>$H277&lt;&gt;"-"</formula>
    </cfRule>
  </conditionalFormatting>
  <conditionalFormatting sqref="E277">
    <cfRule type="expression" dxfId="2" priority="3">
      <formula>$I277&lt;&gt;"-"</formula>
    </cfRule>
  </conditionalFormatting>
  <conditionalFormatting sqref="N277">
    <cfRule type="expression" dxfId="1" priority="1">
      <formula>AND($G277="Yes", $S$6="Exclude")</formula>
    </cfRule>
    <cfRule type="expression" dxfId="0" priority="2">
      <formula>$J277="Yes"</formula>
    </cfRule>
  </conditionalFormatting>
  <dataValidations disablePrompts="1" count="11">
    <dataValidation type="list" allowBlank="1" showInputMessage="1" showErrorMessage="1" sqref="S5" xr:uid="{00000000-0002-0000-0100-000000000000}">
      <formula1>SALES_CALL_SCALE_LIST</formula1>
    </dataValidation>
    <dataValidation type="list" allowBlank="1" showInputMessage="1" showErrorMessage="1" sqref="S6" xr:uid="{00000000-0002-0000-0100-000001000000}">
      <formula1>INCLUDE_OPTIONALS_LIST</formula1>
    </dataValidation>
    <dataValidation type="list" allowBlank="1" showInputMessage="1" showErrorMessage="1" sqref="O412" xr:uid="{00000000-0002-0000-0100-000002000000}">
      <formula1>YES_NO_LIST</formula1>
    </dataValidation>
    <dataValidation type="list" allowBlank="1" showInputMessage="1" showErrorMessage="1" sqref="O409" xr:uid="{00000000-0002-0000-0100-000003000000}">
      <formula1>PLATFORMS_LIST</formula1>
    </dataValidation>
    <dataValidation type="list" allowBlank="1" showInputMessage="1" showErrorMessage="1" sqref="O410" xr:uid="{00000000-0002-0000-0100-000004000000}">
      <formula1>PROJECT_TYPES_LIST</formula1>
    </dataValidation>
    <dataValidation type="list" allowBlank="1" showInputMessage="1" showErrorMessage="1" sqref="O414" xr:uid="{00000000-0002-0000-0100-000005000000}">
      <formula1>CURRENCIES_LIST</formula1>
    </dataValidation>
    <dataValidation type="list" allowBlank="1" showInputMessage="1" showErrorMessage="1" sqref="O413" xr:uid="{00000000-0002-0000-0100-000006000000}">
      <formula1>REGIONS_LIST</formula1>
    </dataValidation>
    <dataValidation type="list" showInputMessage="1" showErrorMessage="1" sqref="G530 J530 G16:G18 J63:J64 J146:J148 G130:G133 J328 J235 G63:G64 G53:G56 J130:J133 J270:J271 G270:G271 J281:J284 G281:G284 G257:G258 J298:J300 G298:G300 G304:G305 J304:J305 J309:J310 G309:G310 J318:J321 G318:G321 G328 J16:J18 J22:J24 G28:G31 J41:J43 G22:G24 J28:J31 G41:G43 G263:G266 J263:J266 J257:J258 J35:J37 G35:G37 J47:J49 G47:G49 J53:J56 G86:G90 J86:J90 G288:G291 G146:G148 G245:G249 J245:J249 J288:J291 J314 J152:J153 G152:G153 J157:J158 G157:G158 G162 J162 G166 J166 J170:J171 G170:G171 G176 J176 G180 J180 G184:G186 J184:J186 J190:J191 G190:G191 G196 J196 G200 J200 J204:J206 G204:G206 G210 J210 G214 J214 G218 J218 J222:J223 J231 G231 G222:G223 G235 G240 J240 G314 G137:G141 J137:J141 G227 J227 J68:J74 G68:G74 G107:G111 J107:J111 G103 J103 G115:G123 J115:J123 J94:J99 G94:G99 J78:J82 G78:G82 G275:G277 J275:J277" xr:uid="{00000000-0002-0000-0100-000007000000}">
      <formula1>YES_NO_LIST</formula1>
    </dataValidation>
    <dataValidation type="list" showInputMessage="1" showErrorMessage="1" sqref="I530 I137:I141 I130:I133 I328 I235 I63:I64 I53:I56 I288:I291 I270:I271 I281:I284 I257:I258 I298:I300 I304:I305 I309:I310 I318:I321 I16:I18 I22:I24 I28:I31 I41:I43 I263:I266 I35:I37 I47:I49 I86:I90 I146:I148 I245:I249 I314 I152:I153 I157:I158 I162 I166 I170:I171 I176 I180 I184:I186 I190:I191 I196 I200 I204:I206 I210 I214 I218 I231 I222:I223 I240 I227 I68:I74 I107:I111 I103 I115:I123 I94:I99 I78:I82 I275:I277" xr:uid="{00000000-0002-0000-0100-000008000000}">
      <formula1>EXTRAS_LIST</formula1>
    </dataValidation>
    <dataValidation type="list" showInputMessage="1" showErrorMessage="1" sqref="H530 H137:H141 H130:H133 H328 H235 H63:H64 H53:H56 H288:H291 H270:H271 H281:H284 H257:H258 H298:H300 H304:H305 H309:H310 H318:H321 H16:H18 H22:H24 H28:H31 H41:H43 H263:H266 H35:H37 H47:H49 H86:H90 H146:H148 H245:H249 H314 H152:H153 H157:H158 H162 H166 H170:H171 H176 H180 H184:H186 H190:H191 H196 H200 H204:H206 H210 H214 H218 H231 H222:H223 H240 H227 H68:H74 H107:H111 H103 H115:H123 H94:H99 H78:H82 H275:H277" xr:uid="{00000000-0002-0000-0100-000009000000}">
      <formula1>BUFFER_TYPES_LIST</formula1>
    </dataValidation>
    <dataValidation type="list" showInputMessage="1" showErrorMessage="1" sqref="S338" xr:uid="{00000000-0002-0000-0100-00000A000000}">
      <formula1>"Default, Extended"</formula1>
    </dataValidation>
  </dataValidations>
  <hyperlinks>
    <hyperlink ref="T400" location="Schedule!A1" display="click here." xr:uid="{00000000-0004-0000-0100-000000000000}"/>
    <hyperlink ref="AB9" location="Help!A1" tooltip="Know what, how and why around most frequently asked questions." display="Read Help for more details." xr:uid="{00000000-0004-0000-0100-000001000000}"/>
    <hyperlink ref="T9" location="Estimation!U9" tooltip="Copy full WBS content as image" display="Full" xr:uid="{00000000-0004-0000-0100-000002000000}"/>
    <hyperlink ref="S9" location="Estimation!V9" tooltip="Copy compact view of WBS as image" display="Compact" xr:uid="{00000000-0004-0000-0100-000003000000}"/>
    <hyperlink ref="C12:E12" location="Estimation!C12" tooltip="Collapse All" display="−" xr:uid="{00000000-0004-0000-0100-000004000000}"/>
    <hyperlink ref="F12" location="Estimation!F12" tooltip="Expand All" display="Estimation!F12" xr:uid="{00000000-0004-0000-0100-000005000000}"/>
    <hyperlink ref="C10:F10" location="Estimation!C10" tooltip="Open" display="→" xr:uid="{00000000-0004-0000-0100-000006000000}"/>
    <hyperlink ref="C11:F11" location="Estimation!C11" tooltip="Close" display="←" xr:uid="{00000000-0004-0000-0100-000007000000}"/>
    <hyperlink ref="T338" location="Estimation!T71" tooltip="Refresh FBS" display="here" xr:uid="{00000000-0004-0000-0100-000008000000}"/>
  </hyperlinks>
  <pageMargins left="0.7" right="0.7" top="0.75" bottom="0.75" header="0.3" footer="0.3"/>
  <pageSetup scale="58"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3.AddRowsBefore">
                <anchor moveWithCells="1">
                  <from>
                    <xdr:col>11</xdr:col>
                    <xdr:colOff>19050</xdr:colOff>
                    <xdr:row>8</xdr:row>
                    <xdr:rowOff>12700</xdr:rowOff>
                  </from>
                  <to>
                    <xdr:col>13</xdr:col>
                    <xdr:colOff>76200</xdr:colOff>
                    <xdr:row>9</xdr:row>
                    <xdr:rowOff>69850</xdr:rowOff>
                  </to>
                </anchor>
              </controlPr>
            </control>
          </mc:Choice>
        </mc:AlternateContent>
        <mc:AlternateContent xmlns:mc="http://schemas.openxmlformats.org/markup-compatibility/2006">
          <mc:Choice Requires="x14">
            <control shapeId="1026" r:id="rId5" name="Button 2">
              <controlPr defaultSize="0" print="0" autoFill="0" autoPict="0" macro="[0]!Sheet3.AddRows">
                <anchor moveWithCells="1">
                  <from>
                    <xdr:col>13</xdr:col>
                    <xdr:colOff>127000</xdr:colOff>
                    <xdr:row>8</xdr:row>
                    <xdr:rowOff>12700</xdr:rowOff>
                  </from>
                  <to>
                    <xdr:col>13</xdr:col>
                    <xdr:colOff>819150</xdr:colOff>
                    <xdr:row>9</xdr:row>
                    <xdr:rowOff>69850</xdr:rowOff>
                  </to>
                </anchor>
              </controlPr>
            </control>
          </mc:Choice>
        </mc:AlternateContent>
        <mc:AlternateContent xmlns:mc="http://schemas.openxmlformats.org/markup-compatibility/2006">
          <mc:Choice Requires="x14">
            <control shapeId="1027" r:id="rId6" name="Button 3">
              <controlPr defaultSize="0" print="0" autoFill="0" autoPict="0" macro="[0]!Sheet3.RemoveRows">
                <anchor moveWithCells="1">
                  <from>
                    <xdr:col>13</xdr:col>
                    <xdr:colOff>1600200</xdr:colOff>
                    <xdr:row>8</xdr:row>
                    <xdr:rowOff>12700</xdr:rowOff>
                  </from>
                  <to>
                    <xdr:col>13</xdr:col>
                    <xdr:colOff>2298700</xdr:colOff>
                    <xdr:row>9</xdr:row>
                    <xdr:rowOff>69850</xdr:rowOff>
                  </to>
                </anchor>
              </controlPr>
            </control>
          </mc:Choice>
        </mc:AlternateContent>
        <mc:AlternateContent xmlns:mc="http://schemas.openxmlformats.org/markup-compatibility/2006">
          <mc:Choice Requires="x14">
            <control shapeId="1028" r:id="rId7" name="Button 4">
              <controlPr defaultSize="0" print="0" autoFill="0" autoPict="0" macro="[0]!Sheet3.MoveRangeUp">
                <anchor moveWithCells="1">
                  <from>
                    <xdr:col>13</xdr:col>
                    <xdr:colOff>2336800</xdr:colOff>
                    <xdr:row>8</xdr:row>
                    <xdr:rowOff>12700</xdr:rowOff>
                  </from>
                  <to>
                    <xdr:col>14</xdr:col>
                    <xdr:colOff>190500</xdr:colOff>
                    <xdr:row>9</xdr:row>
                    <xdr:rowOff>69850</xdr:rowOff>
                  </to>
                </anchor>
              </controlPr>
            </control>
          </mc:Choice>
        </mc:AlternateContent>
        <mc:AlternateContent xmlns:mc="http://schemas.openxmlformats.org/markup-compatibility/2006">
          <mc:Choice Requires="x14">
            <control shapeId="1029" r:id="rId8" name="Button 5">
              <controlPr defaultSize="0" print="0" autoFill="0" autoPict="0" macro="[0]!Sheet3.MoveRangeDown">
                <anchor moveWithCells="1">
                  <from>
                    <xdr:col>14</xdr:col>
                    <xdr:colOff>190500</xdr:colOff>
                    <xdr:row>8</xdr:row>
                    <xdr:rowOff>12700</xdr:rowOff>
                  </from>
                  <to>
                    <xdr:col>15</xdr:col>
                    <xdr:colOff>12700</xdr:colOff>
                    <xdr:row>9</xdr:row>
                    <xdr:rowOff>69850</xdr:rowOff>
                  </to>
                </anchor>
              </controlPr>
            </control>
          </mc:Choice>
        </mc:AlternateContent>
        <mc:AlternateContent xmlns:mc="http://schemas.openxmlformats.org/markup-compatibility/2006">
          <mc:Choice Requires="x14">
            <control shapeId="1030" r:id="rId9" name="Button 6">
              <controlPr defaultSize="0" print="0" autoFill="0" autoPict="0" macro="[0]!Sheet3.AddModule">
                <anchor moveWithCells="1" sizeWithCells="1">
                  <from>
                    <xdr:col>13</xdr:col>
                    <xdr:colOff>857250</xdr:colOff>
                    <xdr:row>8</xdr:row>
                    <xdr:rowOff>12700</xdr:rowOff>
                  </from>
                  <to>
                    <xdr:col>13</xdr:col>
                    <xdr:colOff>1555750</xdr:colOff>
                    <xdr:row>9</xdr:row>
                    <xdr:rowOff>69850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1671" id="{40AC60B3-7CB6-431B-B1AA-41BBC469E3D9}">
            <x14:iconSet iconSet="3Stars">
              <x14:cfvo type="percent">
                <xm:f>0</xm:f>
              </x14:cfvo>
              <x14:cfvo type="num">
                <xm:f>1</xm:f>
              </x14:cfvo>
              <x14:cfvo type="num">
                <xm:f>2</xm:f>
              </x14:cfvo>
            </x14:iconSet>
          </x14:cfRule>
          <xm:sqref>M3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AL19"/>
  <sheetViews>
    <sheetView zoomScaleNormal="100" workbookViewId="0">
      <selection activeCell="M19" sqref="M19"/>
    </sheetView>
  </sheetViews>
  <sheetFormatPr defaultColWidth="3.81640625" defaultRowHeight="14.5" x14ac:dyDescent="0.35"/>
  <cols>
    <col min="2" max="2" width="38.453125" customWidth="1"/>
    <col min="3" max="4" width="3.81640625" customWidth="1"/>
  </cols>
  <sheetData>
    <row r="1" spans="2:38" ht="15" customHeight="1" x14ac:dyDescent="0.35">
      <c r="B1" s="70" t="s">
        <v>91</v>
      </c>
      <c r="C1" s="358">
        <f>START_DATE</f>
        <v>42583</v>
      </c>
      <c r="D1" s="358"/>
      <c r="E1" s="358"/>
      <c r="F1" s="358"/>
      <c r="I1" s="1" t="s">
        <v>95</v>
      </c>
      <c r="L1" s="359">
        <v>41583</v>
      </c>
      <c r="M1" s="359"/>
      <c r="N1" s="359"/>
      <c r="O1" s="359"/>
      <c r="R1" s="134"/>
      <c r="S1" s="134"/>
      <c r="T1" s="134"/>
      <c r="U1" s="134"/>
      <c r="V1" s="134"/>
      <c r="W1" s="134"/>
      <c r="X1" s="134"/>
      <c r="Y1" s="134"/>
      <c r="Z1" s="134"/>
      <c r="AA1" s="134"/>
      <c r="AB1" s="134"/>
      <c r="AC1" s="134"/>
      <c r="AD1" s="134"/>
      <c r="AE1" s="134"/>
      <c r="AF1" s="134"/>
      <c r="AG1" s="134"/>
      <c r="AH1" s="134"/>
      <c r="AI1" s="134"/>
      <c r="AJ1" s="134"/>
    </row>
    <row r="2" spans="2:38" x14ac:dyDescent="0.35">
      <c r="B2" s="135" t="s">
        <v>122</v>
      </c>
      <c r="C2" s="136" t="s">
        <v>123</v>
      </c>
      <c r="Q2" s="134"/>
      <c r="R2" s="134"/>
      <c r="S2" s="134"/>
      <c r="T2" s="134"/>
      <c r="U2" s="134"/>
      <c r="V2" s="134"/>
      <c r="W2" s="134"/>
      <c r="X2" s="134"/>
      <c r="Y2" s="134"/>
      <c r="Z2" s="134"/>
      <c r="AA2" s="134"/>
      <c r="AB2" s="134"/>
      <c r="AC2" s="134"/>
      <c r="AD2" s="134"/>
      <c r="AE2" s="134"/>
      <c r="AF2" s="134"/>
      <c r="AG2" s="134"/>
      <c r="AH2" s="134"/>
      <c r="AI2" s="134"/>
      <c r="AJ2" s="134"/>
    </row>
    <row r="3" spans="2:38" x14ac:dyDescent="0.35">
      <c r="B3" s="70" t="s">
        <v>93</v>
      </c>
      <c r="C3" s="356">
        <v>1</v>
      </c>
      <c r="D3" s="357"/>
      <c r="E3" s="357"/>
      <c r="F3" s="360"/>
      <c r="G3" s="356">
        <f>C3+1</f>
        <v>2</v>
      </c>
      <c r="H3" s="357"/>
      <c r="I3" s="357"/>
      <c r="J3" s="357"/>
      <c r="K3" s="356">
        <f>G3+1</f>
        <v>3</v>
      </c>
      <c r="L3" s="357"/>
      <c r="M3" s="357"/>
      <c r="N3" s="357"/>
      <c r="O3" s="356">
        <f>K3+1</f>
        <v>4</v>
      </c>
      <c r="P3" s="357"/>
      <c r="Q3" s="357"/>
      <c r="R3" s="357"/>
      <c r="S3" s="356">
        <f>O3+1</f>
        <v>5</v>
      </c>
      <c r="T3" s="357"/>
      <c r="U3" s="357"/>
      <c r="V3" s="357"/>
      <c r="W3" s="356">
        <f>S3+1</f>
        <v>6</v>
      </c>
      <c r="X3" s="357"/>
      <c r="Y3" s="357"/>
      <c r="Z3" s="357"/>
      <c r="AA3" s="356">
        <f>W3+1</f>
        <v>7</v>
      </c>
      <c r="AB3" s="357"/>
      <c r="AC3" s="357"/>
      <c r="AD3" s="357"/>
      <c r="AE3" s="356">
        <f>AA3+1</f>
        <v>8</v>
      </c>
      <c r="AF3" s="357"/>
      <c r="AG3" s="357"/>
      <c r="AH3" s="357"/>
      <c r="AI3" s="356">
        <f>AE3+1</f>
        <v>9</v>
      </c>
      <c r="AJ3" s="357"/>
      <c r="AK3" s="357"/>
      <c r="AL3" s="357"/>
    </row>
    <row r="4" spans="2:38" ht="45.75" customHeight="1" x14ac:dyDescent="0.35">
      <c r="B4" s="71" t="s">
        <v>94</v>
      </c>
      <c r="C4" s="72">
        <f>START_DATE</f>
        <v>42583</v>
      </c>
      <c r="D4" s="73">
        <f t="shared" ref="D4:AL4" si="0">WORKDAY(C4,5)</f>
        <v>42590</v>
      </c>
      <c r="E4" s="73">
        <f t="shared" si="0"/>
        <v>42597</v>
      </c>
      <c r="F4" s="74">
        <f t="shared" si="0"/>
        <v>42604</v>
      </c>
      <c r="G4" s="72">
        <f t="shared" si="0"/>
        <v>42611</v>
      </c>
      <c r="H4" s="73">
        <f t="shared" si="0"/>
        <v>42618</v>
      </c>
      <c r="I4" s="73">
        <f t="shared" si="0"/>
        <v>42625</v>
      </c>
      <c r="J4" s="73">
        <f t="shared" si="0"/>
        <v>42632</v>
      </c>
      <c r="K4" s="72">
        <f t="shared" si="0"/>
        <v>42639</v>
      </c>
      <c r="L4" s="73">
        <f t="shared" si="0"/>
        <v>42646</v>
      </c>
      <c r="M4" s="73">
        <f t="shared" si="0"/>
        <v>42653</v>
      </c>
      <c r="N4" s="73">
        <f t="shared" si="0"/>
        <v>42660</v>
      </c>
      <c r="O4" s="72">
        <f t="shared" si="0"/>
        <v>42667</v>
      </c>
      <c r="P4" s="73">
        <f t="shared" si="0"/>
        <v>42674</v>
      </c>
      <c r="Q4" s="73">
        <f t="shared" si="0"/>
        <v>42681</v>
      </c>
      <c r="R4" s="73">
        <f t="shared" si="0"/>
        <v>42688</v>
      </c>
      <c r="S4" s="72">
        <f t="shared" si="0"/>
        <v>42695</v>
      </c>
      <c r="T4" s="73">
        <f t="shared" si="0"/>
        <v>42702</v>
      </c>
      <c r="U4" s="73">
        <f t="shared" si="0"/>
        <v>42709</v>
      </c>
      <c r="V4" s="73">
        <f t="shared" si="0"/>
        <v>42716</v>
      </c>
      <c r="W4" s="72">
        <f t="shared" si="0"/>
        <v>42723</v>
      </c>
      <c r="X4" s="73">
        <f t="shared" si="0"/>
        <v>42730</v>
      </c>
      <c r="Y4" s="73">
        <f t="shared" si="0"/>
        <v>42737</v>
      </c>
      <c r="Z4" s="73">
        <f t="shared" si="0"/>
        <v>42744</v>
      </c>
      <c r="AA4" s="72">
        <f t="shared" si="0"/>
        <v>42751</v>
      </c>
      <c r="AB4" s="73">
        <f t="shared" si="0"/>
        <v>42758</v>
      </c>
      <c r="AC4" s="73">
        <f t="shared" si="0"/>
        <v>42765</v>
      </c>
      <c r="AD4" s="73">
        <f t="shared" si="0"/>
        <v>42772</v>
      </c>
      <c r="AE4" s="72">
        <f t="shared" si="0"/>
        <v>42779</v>
      </c>
      <c r="AF4" s="73">
        <f t="shared" si="0"/>
        <v>42786</v>
      </c>
      <c r="AG4" s="73">
        <f t="shared" si="0"/>
        <v>42793</v>
      </c>
      <c r="AH4" s="73">
        <f t="shared" si="0"/>
        <v>42800</v>
      </c>
      <c r="AI4" s="72">
        <f t="shared" si="0"/>
        <v>42807</v>
      </c>
      <c r="AJ4" s="73">
        <f t="shared" si="0"/>
        <v>42814</v>
      </c>
      <c r="AK4" s="73">
        <f t="shared" si="0"/>
        <v>42821</v>
      </c>
      <c r="AL4" s="73">
        <f t="shared" si="0"/>
        <v>42828</v>
      </c>
    </row>
    <row r="5" spans="2:38" x14ac:dyDescent="0.35">
      <c r="B5" s="127" t="s">
        <v>120</v>
      </c>
      <c r="C5" s="126"/>
      <c r="D5" s="126"/>
      <c r="E5" s="126"/>
      <c r="F5" s="126"/>
      <c r="G5" s="126"/>
      <c r="H5" s="126"/>
      <c r="I5" s="126"/>
      <c r="J5" s="126"/>
      <c r="K5" s="126"/>
      <c r="L5" s="126"/>
      <c r="M5" s="126"/>
      <c r="N5" s="126"/>
      <c r="O5" s="126"/>
      <c r="P5" s="126"/>
      <c r="Q5" s="126"/>
      <c r="R5" s="126"/>
      <c r="S5" s="126"/>
      <c r="T5" s="126"/>
      <c r="U5" s="126"/>
      <c r="V5" s="126"/>
      <c r="W5" s="126"/>
      <c r="X5" s="126"/>
      <c r="Y5" s="126"/>
      <c r="Z5" s="126"/>
      <c r="AA5" s="126"/>
      <c r="AB5" s="126"/>
      <c r="AC5" s="126"/>
      <c r="AD5" s="126"/>
      <c r="AE5" s="126"/>
      <c r="AF5" s="126"/>
      <c r="AG5" s="126"/>
      <c r="AH5" s="126"/>
      <c r="AI5" s="126"/>
      <c r="AJ5" s="126"/>
      <c r="AK5" s="126"/>
      <c r="AL5" s="126"/>
    </row>
    <row r="6" spans="2:38" x14ac:dyDescent="0.35">
      <c r="B6" s="125" t="str">
        <f>Estimation!N391</f>
        <v>Discovery / Requirement Analysis</v>
      </c>
      <c r="C6" s="129"/>
      <c r="D6" s="129"/>
      <c r="E6" s="129"/>
    </row>
    <row r="7" spans="2:38" x14ac:dyDescent="0.35">
      <c r="B7" s="125" t="str">
        <f>Estimation!N392</f>
        <v>System Design, Framework and Test Cases</v>
      </c>
      <c r="E7" s="130"/>
      <c r="F7" s="130"/>
      <c r="G7" s="130"/>
      <c r="H7" s="130"/>
      <c r="I7" s="130"/>
    </row>
    <row r="8" spans="2:38" x14ac:dyDescent="0.35">
      <c r="B8" s="125" t="str">
        <f>Estimation!N393</f>
        <v>Development and Unit Testing</v>
      </c>
      <c r="H8" s="131"/>
      <c r="I8" s="131"/>
      <c r="J8" s="131"/>
      <c r="K8" s="131"/>
      <c r="L8" s="131"/>
      <c r="M8" s="131"/>
      <c r="N8" s="131"/>
      <c r="O8" s="131"/>
      <c r="P8" s="131"/>
      <c r="Q8" s="131"/>
      <c r="R8" s="131"/>
      <c r="S8" s="131"/>
      <c r="T8" s="131"/>
    </row>
    <row r="9" spans="2:38" x14ac:dyDescent="0.35">
      <c r="B9" s="125" t="str">
        <f>Estimation!N394</f>
        <v>System Testing and Stabilization</v>
      </c>
      <c r="Q9" s="132"/>
      <c r="R9" s="132"/>
      <c r="S9" s="132"/>
      <c r="T9" s="132"/>
      <c r="U9" s="132"/>
      <c r="V9" s="132"/>
      <c r="W9" s="132"/>
      <c r="X9" s="132"/>
    </row>
    <row r="10" spans="2:38" x14ac:dyDescent="0.35">
      <c r="B10" s="125" t="str">
        <f>Estimation!N395</f>
        <v>Deployment, UAT and Documentation</v>
      </c>
      <c r="W10" s="133"/>
      <c r="X10" s="133"/>
      <c r="Y10" s="133"/>
      <c r="Z10" s="133"/>
      <c r="AA10" s="133"/>
    </row>
    <row r="11" spans="2:38" x14ac:dyDescent="0.35">
      <c r="B11" s="125" t="str">
        <f>Estimation!N396</f>
        <v>Others</v>
      </c>
      <c r="AA11" s="99"/>
      <c r="AB11" s="99"/>
    </row>
    <row r="12" spans="2:38" x14ac:dyDescent="0.35">
      <c r="B12" s="127" t="s">
        <v>121</v>
      </c>
      <c r="C12" s="126"/>
      <c r="D12" s="126"/>
      <c r="E12" s="126"/>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row>
    <row r="13" spans="2:38" x14ac:dyDescent="0.35">
      <c r="B13" s="125" t="s">
        <v>8</v>
      </c>
      <c r="C13" s="128">
        <v>1</v>
      </c>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row>
    <row r="14" spans="2:38" x14ac:dyDescent="0.35">
      <c r="B14" s="125" t="s">
        <v>9</v>
      </c>
      <c r="C14" s="128"/>
      <c r="D14" s="128">
        <v>1</v>
      </c>
      <c r="E14" s="128">
        <v>1</v>
      </c>
      <c r="F14" s="128">
        <v>1</v>
      </c>
      <c r="G14" s="128">
        <v>1</v>
      </c>
      <c r="H14" s="128">
        <v>1</v>
      </c>
      <c r="I14" s="128">
        <v>1</v>
      </c>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row>
    <row r="15" spans="2:38" x14ac:dyDescent="0.35">
      <c r="B15" s="125" t="s">
        <v>10</v>
      </c>
      <c r="C15" s="128"/>
      <c r="D15" s="128"/>
      <c r="E15" s="128">
        <v>1</v>
      </c>
      <c r="F15" s="128">
        <v>1</v>
      </c>
      <c r="G15" s="128">
        <v>1</v>
      </c>
      <c r="H15" s="128">
        <v>1</v>
      </c>
      <c r="I15" s="128">
        <v>1</v>
      </c>
      <c r="J15" s="128">
        <v>1</v>
      </c>
      <c r="K15" s="128">
        <v>1</v>
      </c>
      <c r="L15" s="128">
        <v>1</v>
      </c>
      <c r="M15" s="128">
        <v>1</v>
      </c>
      <c r="N15" s="128">
        <v>1</v>
      </c>
      <c r="O15" s="128">
        <v>1</v>
      </c>
      <c r="P15" s="128">
        <v>1</v>
      </c>
      <c r="Q15" s="128">
        <v>1</v>
      </c>
      <c r="R15" s="128">
        <v>1</v>
      </c>
      <c r="S15" s="128">
        <v>1</v>
      </c>
      <c r="T15" s="128">
        <v>1</v>
      </c>
      <c r="U15" s="128">
        <v>1</v>
      </c>
      <c r="V15" s="128">
        <v>1</v>
      </c>
      <c r="W15" s="128">
        <v>1</v>
      </c>
      <c r="X15" s="128">
        <v>1</v>
      </c>
      <c r="Y15" s="128">
        <v>1</v>
      </c>
      <c r="Z15" s="128">
        <v>1</v>
      </c>
      <c r="AA15" s="128">
        <v>1</v>
      </c>
      <c r="AB15" s="128">
        <v>1</v>
      </c>
      <c r="AC15" s="128"/>
      <c r="AD15" s="128"/>
      <c r="AE15" s="128"/>
      <c r="AF15" s="128"/>
      <c r="AG15" s="128"/>
      <c r="AH15" s="128"/>
      <c r="AI15" s="128"/>
      <c r="AJ15" s="128"/>
      <c r="AK15" s="128"/>
      <c r="AL15" s="128"/>
    </row>
    <row r="16" spans="2:38" x14ac:dyDescent="0.35">
      <c r="B16" s="125" t="s">
        <v>12</v>
      </c>
      <c r="C16" s="128"/>
      <c r="D16" s="128"/>
      <c r="E16" s="128"/>
      <c r="F16" s="128"/>
      <c r="G16" s="128"/>
      <c r="H16" s="128">
        <v>2</v>
      </c>
      <c r="I16" s="128">
        <v>2</v>
      </c>
      <c r="J16" s="128">
        <v>2</v>
      </c>
      <c r="K16" s="128">
        <v>2</v>
      </c>
      <c r="L16" s="128">
        <v>2</v>
      </c>
      <c r="M16" s="128">
        <v>2</v>
      </c>
      <c r="N16" s="128">
        <v>2</v>
      </c>
      <c r="O16" s="128">
        <v>2</v>
      </c>
      <c r="P16" s="128">
        <v>2</v>
      </c>
      <c r="Q16" s="128">
        <v>2</v>
      </c>
      <c r="R16" s="128">
        <v>2</v>
      </c>
      <c r="S16" s="128">
        <v>2</v>
      </c>
      <c r="T16" s="128">
        <v>2</v>
      </c>
      <c r="U16" s="128">
        <v>2</v>
      </c>
      <c r="V16" s="128">
        <v>2</v>
      </c>
      <c r="W16" s="128">
        <v>2</v>
      </c>
      <c r="X16" s="128">
        <v>2</v>
      </c>
      <c r="Y16" s="128">
        <v>2</v>
      </c>
      <c r="Z16" s="128">
        <v>2</v>
      </c>
      <c r="AA16" s="128">
        <v>2</v>
      </c>
      <c r="AB16" s="128">
        <v>2</v>
      </c>
      <c r="AC16" s="128"/>
      <c r="AD16" s="128"/>
      <c r="AE16" s="128"/>
      <c r="AF16" s="128"/>
      <c r="AG16" s="128"/>
      <c r="AH16" s="128"/>
      <c r="AI16" s="128"/>
      <c r="AJ16" s="128"/>
      <c r="AK16" s="128"/>
      <c r="AL16" s="128"/>
    </row>
    <row r="17" spans="2:38" x14ac:dyDescent="0.35">
      <c r="B17" s="125" t="s">
        <v>11</v>
      </c>
      <c r="C17" s="128"/>
      <c r="D17" s="128"/>
      <c r="E17" s="128"/>
      <c r="F17" s="128"/>
      <c r="G17" s="128"/>
      <c r="H17" s="128">
        <v>1</v>
      </c>
      <c r="I17" s="128">
        <v>1</v>
      </c>
      <c r="J17" s="128"/>
      <c r="K17" s="128"/>
      <c r="L17" s="128"/>
      <c r="M17" s="128"/>
      <c r="N17" s="128"/>
      <c r="O17" s="128"/>
      <c r="P17" s="128"/>
      <c r="Q17" s="128">
        <v>1</v>
      </c>
      <c r="R17" s="128">
        <v>1</v>
      </c>
      <c r="S17" s="128">
        <v>1</v>
      </c>
      <c r="T17" s="128">
        <v>1</v>
      </c>
      <c r="U17" s="128">
        <v>1</v>
      </c>
      <c r="V17" s="128">
        <v>1</v>
      </c>
      <c r="W17" s="128">
        <v>1</v>
      </c>
      <c r="X17" s="128">
        <v>1</v>
      </c>
      <c r="Y17" s="128"/>
      <c r="Z17" s="128"/>
      <c r="AA17" s="128"/>
      <c r="AB17" s="128"/>
      <c r="AC17" s="128"/>
      <c r="AD17" s="128"/>
      <c r="AE17" s="128"/>
      <c r="AF17" s="128"/>
      <c r="AG17" s="128"/>
      <c r="AH17" s="128"/>
      <c r="AI17" s="128"/>
      <c r="AJ17" s="128"/>
      <c r="AK17" s="128"/>
      <c r="AL17" s="128"/>
    </row>
    <row r="18" spans="2:38" x14ac:dyDescent="0.35">
      <c r="B18" s="125" t="s">
        <v>13</v>
      </c>
      <c r="C18" s="128">
        <v>1</v>
      </c>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row>
    <row r="19" spans="2:38" x14ac:dyDescent="0.35">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row>
  </sheetData>
  <mergeCells count="11">
    <mergeCell ref="AA3:AD3"/>
    <mergeCell ref="AE3:AH3"/>
    <mergeCell ref="AI3:AL3"/>
    <mergeCell ref="C1:F1"/>
    <mergeCell ref="L1:O1"/>
    <mergeCell ref="C3:F3"/>
    <mergeCell ref="G3:J3"/>
    <mergeCell ref="K3:N3"/>
    <mergeCell ref="O3:R3"/>
    <mergeCell ref="S3:V3"/>
    <mergeCell ref="W3:Z3"/>
  </mergeCells>
  <pageMargins left="0.7" right="0.7" top="0.75" bottom="0.75" header="0.3" footer="0.3"/>
  <pageSetup scale="72" orientation="landscape"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C00000"/>
  </sheetPr>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1"/>
    <outlinePr summaryBelow="0" summaryRight="0"/>
  </sheetPr>
  <dimension ref="B2:BQ154"/>
  <sheetViews>
    <sheetView showGridLines="0" workbookViewId="0">
      <pane ySplit="2" topLeftCell="A162" activePane="bottomLeft" state="frozenSplit"/>
      <selection pane="bottomLeft" activeCell="T142" sqref="T142"/>
    </sheetView>
  </sheetViews>
  <sheetFormatPr defaultColWidth="2.81640625" defaultRowHeight="14.5" x14ac:dyDescent="0.35"/>
  <cols>
    <col min="1" max="16384" width="2.81640625" style="172"/>
  </cols>
  <sheetData>
    <row r="2" spans="2:58" ht="28.5" x14ac:dyDescent="0.35">
      <c r="B2" s="171" t="str">
        <f>TEMPLATE_NAME&amp;" "&amp;TEMPLATE_VER&amp;" - HELP"</f>
        <v>AG Estimation Template -  Version 2.0.4 - HELP</v>
      </c>
    </row>
    <row r="4" spans="2:58" x14ac:dyDescent="0.35">
      <c r="B4" s="172" t="s">
        <v>176</v>
      </c>
    </row>
    <row r="5" spans="2:58" x14ac:dyDescent="0.35">
      <c r="B5" s="209" t="s">
        <v>177</v>
      </c>
      <c r="D5" s="172" t="s">
        <v>178</v>
      </c>
    </row>
    <row r="6" spans="2:58" x14ac:dyDescent="0.35">
      <c r="B6" s="209" t="s">
        <v>177</v>
      </c>
      <c r="D6" s="172" t="s">
        <v>179</v>
      </c>
    </row>
    <row r="7" spans="2:58" x14ac:dyDescent="0.35">
      <c r="B7" s="209" t="s">
        <v>177</v>
      </c>
      <c r="D7" s="172" t="s">
        <v>180</v>
      </c>
    </row>
    <row r="8" spans="2:58" x14ac:dyDescent="0.35">
      <c r="B8" s="209" t="s">
        <v>177</v>
      </c>
      <c r="D8" s="172" t="s">
        <v>181</v>
      </c>
    </row>
    <row r="9" spans="2:58" x14ac:dyDescent="0.35">
      <c r="B9" s="209" t="s">
        <v>177</v>
      </c>
      <c r="D9" s="172" t="s">
        <v>182</v>
      </c>
    </row>
    <row r="10" spans="2:58" x14ac:dyDescent="0.35">
      <c r="B10" s="209" t="s">
        <v>177</v>
      </c>
      <c r="D10" s="172" t="s">
        <v>183</v>
      </c>
    </row>
    <row r="11" spans="2:58" x14ac:dyDescent="0.35">
      <c r="B11" s="209" t="s">
        <v>177</v>
      </c>
      <c r="D11" s="172" t="s">
        <v>184</v>
      </c>
    </row>
    <row r="13" spans="2:58" x14ac:dyDescent="0.35">
      <c r="B13" s="361" t="s">
        <v>263</v>
      </c>
      <c r="C13" s="361"/>
      <c r="D13" s="361"/>
      <c r="E13" s="361"/>
      <c r="F13" s="361"/>
      <c r="G13" s="361"/>
      <c r="H13" s="361"/>
      <c r="I13" s="361"/>
      <c r="J13" s="361"/>
      <c r="N13" s="235" t="s">
        <v>424</v>
      </c>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9" t="s">
        <v>425</v>
      </c>
      <c r="AW13" s="234"/>
      <c r="AX13" s="235" t="s">
        <v>426</v>
      </c>
      <c r="AY13" s="234"/>
      <c r="AZ13" s="234"/>
      <c r="BA13" s="234"/>
      <c r="BB13" s="234"/>
      <c r="BC13" s="234"/>
      <c r="BD13" s="234"/>
      <c r="BE13" s="234"/>
      <c r="BF13" s="234"/>
    </row>
    <row r="14" spans="2:58" x14ac:dyDescent="0.35">
      <c r="B14" s="361"/>
      <c r="C14" s="361"/>
      <c r="D14" s="361"/>
      <c r="E14" s="361"/>
      <c r="F14" s="361"/>
      <c r="G14" s="361"/>
      <c r="H14" s="361"/>
      <c r="I14" s="361"/>
      <c r="J14" s="361"/>
      <c r="N14" s="235" t="s">
        <v>427</v>
      </c>
      <c r="S14" s="235" t="s">
        <v>428</v>
      </c>
      <c r="AH14" s="239" t="s">
        <v>429</v>
      </c>
    </row>
    <row r="15" spans="2:58" ht="15" customHeight="1" x14ac:dyDescent="0.35">
      <c r="B15" s="236"/>
      <c r="C15" s="236"/>
      <c r="D15" s="236"/>
      <c r="E15" s="236"/>
      <c r="F15" s="236"/>
      <c r="G15" s="236"/>
      <c r="H15" s="236"/>
      <c r="I15" s="236"/>
      <c r="J15" s="236"/>
      <c r="N15" s="237"/>
      <c r="S15" s="237"/>
      <c r="AH15" s="238"/>
    </row>
    <row r="16" spans="2:58" ht="15" customHeight="1" x14ac:dyDescent="0.35">
      <c r="H16" s="362" t="s">
        <v>195</v>
      </c>
      <c r="I16" s="362"/>
      <c r="J16" s="362"/>
      <c r="K16" s="362"/>
      <c r="L16" s="362"/>
      <c r="M16" s="362"/>
      <c r="N16" s="362"/>
      <c r="O16" s="362"/>
      <c r="P16" s="362"/>
      <c r="Q16" s="362"/>
      <c r="R16" s="362"/>
      <c r="S16" s="362"/>
      <c r="T16" s="362"/>
      <c r="U16" s="362"/>
      <c r="V16" s="362"/>
      <c r="AL16" s="362" t="s">
        <v>245</v>
      </c>
      <c r="AM16" s="362"/>
      <c r="AN16" s="362"/>
      <c r="AO16" s="362"/>
      <c r="AP16" s="362"/>
      <c r="AQ16" s="362"/>
      <c r="AR16" s="362"/>
      <c r="AS16" s="362"/>
      <c r="AT16" s="362"/>
      <c r="AU16" s="362"/>
      <c r="AV16" s="362"/>
      <c r="AW16" s="362"/>
      <c r="AX16" s="362"/>
      <c r="AY16" s="362"/>
      <c r="AZ16" s="362"/>
      <c r="BA16" s="362"/>
      <c r="BB16" s="362"/>
      <c r="BC16" s="362"/>
      <c r="BD16" s="362"/>
    </row>
    <row r="17" spans="2:56" ht="15" customHeight="1" x14ac:dyDescent="0.35">
      <c r="H17" s="362"/>
      <c r="I17" s="362"/>
      <c r="J17" s="362"/>
      <c r="K17" s="362"/>
      <c r="L17" s="362"/>
      <c r="M17" s="362"/>
      <c r="N17" s="362"/>
      <c r="O17" s="362"/>
      <c r="P17" s="362"/>
      <c r="Q17" s="362"/>
      <c r="R17" s="362"/>
      <c r="S17" s="362"/>
      <c r="T17" s="362"/>
      <c r="U17" s="362"/>
      <c r="V17" s="362"/>
      <c r="AL17" s="362"/>
      <c r="AM17" s="362"/>
      <c r="AN17" s="362"/>
      <c r="AO17" s="362"/>
      <c r="AP17" s="362"/>
      <c r="AQ17" s="362"/>
      <c r="AR17" s="362"/>
      <c r="AS17" s="362"/>
      <c r="AT17" s="362"/>
      <c r="AU17" s="362"/>
      <c r="AV17" s="362"/>
      <c r="AW17" s="362"/>
      <c r="AX17" s="362"/>
      <c r="AY17" s="362"/>
      <c r="AZ17" s="362"/>
      <c r="BA17" s="362"/>
      <c r="BB17" s="362"/>
      <c r="BC17" s="362"/>
      <c r="BD17" s="362"/>
    </row>
    <row r="18" spans="2:56" x14ac:dyDescent="0.35">
      <c r="H18" s="172" t="s">
        <v>196</v>
      </c>
      <c r="AL18" s="172" t="s">
        <v>200</v>
      </c>
    </row>
    <row r="19" spans="2:56" x14ac:dyDescent="0.35">
      <c r="H19" s="172" t="s">
        <v>197</v>
      </c>
      <c r="AL19" s="172" t="s">
        <v>201</v>
      </c>
    </row>
    <row r="20" spans="2:56" x14ac:dyDescent="0.35">
      <c r="H20" s="172" t="s">
        <v>198</v>
      </c>
      <c r="AL20" s="172" t="s">
        <v>202</v>
      </c>
    </row>
    <row r="21" spans="2:56" x14ac:dyDescent="0.35">
      <c r="H21" s="172" t="s">
        <v>199</v>
      </c>
    </row>
    <row r="22" spans="2:56" x14ac:dyDescent="0.35">
      <c r="H22" s="172" t="s">
        <v>205</v>
      </c>
      <c r="O22"/>
      <c r="AL22" s="172" t="s">
        <v>203</v>
      </c>
    </row>
    <row r="23" spans="2:56" x14ac:dyDescent="0.35">
      <c r="H23" s="172" t="s">
        <v>206</v>
      </c>
      <c r="AL23" s="172" t="s">
        <v>204</v>
      </c>
    </row>
    <row r="29" spans="2:56" x14ac:dyDescent="0.35">
      <c r="B29" s="362" t="s">
        <v>207</v>
      </c>
      <c r="C29" s="362"/>
      <c r="D29" s="362"/>
      <c r="E29" s="362"/>
      <c r="F29" s="362"/>
      <c r="G29" s="362"/>
      <c r="H29" s="362"/>
      <c r="I29" s="362"/>
      <c r="J29" s="362"/>
      <c r="K29" s="362"/>
      <c r="L29" s="362"/>
      <c r="M29" s="362"/>
      <c r="N29" s="362"/>
      <c r="O29" s="362"/>
    </row>
    <row r="30" spans="2:56" x14ac:dyDescent="0.35">
      <c r="B30" s="362"/>
      <c r="C30" s="362"/>
      <c r="D30" s="362"/>
      <c r="E30" s="362"/>
      <c r="F30" s="362"/>
      <c r="G30" s="362"/>
      <c r="H30" s="362"/>
      <c r="I30" s="362"/>
      <c r="J30" s="362"/>
      <c r="K30" s="362"/>
      <c r="L30" s="362"/>
      <c r="M30" s="362"/>
      <c r="N30" s="362"/>
      <c r="O30" s="362"/>
    </row>
    <row r="31" spans="2:56" x14ac:dyDescent="0.35">
      <c r="B31" s="172" t="s">
        <v>431</v>
      </c>
    </row>
    <row r="32" spans="2:56" x14ac:dyDescent="0.35">
      <c r="B32" s="172" t="s">
        <v>432</v>
      </c>
    </row>
    <row r="33" spans="2:31" x14ac:dyDescent="0.35">
      <c r="B33" s="172" t="s">
        <v>433</v>
      </c>
    </row>
    <row r="34" spans="2:31" x14ac:dyDescent="0.35">
      <c r="B34" s="172" t="s">
        <v>434</v>
      </c>
    </row>
    <row r="35" spans="2:31" x14ac:dyDescent="0.35">
      <c r="B35" s="172" t="s">
        <v>435</v>
      </c>
    </row>
    <row r="36" spans="2:31" x14ac:dyDescent="0.35">
      <c r="B36" s="172" t="s">
        <v>436</v>
      </c>
    </row>
    <row r="41" spans="2:31" x14ac:dyDescent="0.35">
      <c r="B41" s="362" t="s">
        <v>208</v>
      </c>
      <c r="C41" s="362"/>
      <c r="D41" s="362"/>
      <c r="E41" s="362"/>
      <c r="F41" s="362"/>
      <c r="G41" s="362"/>
      <c r="H41" s="362"/>
      <c r="I41" s="362"/>
      <c r="J41" s="362"/>
      <c r="K41" s="362"/>
      <c r="L41" s="362"/>
      <c r="M41" s="362"/>
      <c r="N41" s="362"/>
      <c r="O41" s="362"/>
    </row>
    <row r="42" spans="2:31" x14ac:dyDescent="0.35">
      <c r="B42" s="362"/>
      <c r="C42" s="362"/>
      <c r="D42" s="362"/>
      <c r="E42" s="362"/>
      <c r="F42" s="362"/>
      <c r="G42" s="362"/>
      <c r="H42" s="362"/>
      <c r="I42" s="362"/>
      <c r="J42" s="362"/>
      <c r="K42" s="362"/>
      <c r="L42" s="362"/>
      <c r="M42" s="362"/>
      <c r="N42" s="362"/>
      <c r="O42" s="362"/>
      <c r="AE42" s="172" t="s">
        <v>214</v>
      </c>
    </row>
    <row r="43" spans="2:31" x14ac:dyDescent="0.35">
      <c r="B43" s="172" t="s">
        <v>210</v>
      </c>
      <c r="AE43" s="172" t="s">
        <v>213</v>
      </c>
    </row>
    <row r="44" spans="2:31" x14ac:dyDescent="0.35">
      <c r="B44" s="172" t="s">
        <v>209</v>
      </c>
      <c r="AE44" s="172" t="s">
        <v>215</v>
      </c>
    </row>
    <row r="46" spans="2:31" x14ac:dyDescent="0.35">
      <c r="B46" s="172" t="s">
        <v>211</v>
      </c>
      <c r="AE46" s="172" t="s">
        <v>216</v>
      </c>
    </row>
    <row r="47" spans="2:31" x14ac:dyDescent="0.35">
      <c r="B47" s="172" t="s">
        <v>212</v>
      </c>
      <c r="AE47" s="172" t="s">
        <v>217</v>
      </c>
    </row>
    <row r="49" spans="2:14" x14ac:dyDescent="0.35">
      <c r="B49" s="362" t="s">
        <v>224</v>
      </c>
      <c r="C49" s="362"/>
      <c r="D49" s="362"/>
      <c r="E49" s="362"/>
      <c r="F49" s="362"/>
      <c r="G49" s="362"/>
      <c r="H49" s="362"/>
      <c r="I49" s="362"/>
      <c r="J49" s="362"/>
      <c r="K49" s="362"/>
      <c r="L49" s="362"/>
      <c r="M49" s="362"/>
      <c r="N49" s="362"/>
    </row>
    <row r="50" spans="2:14" x14ac:dyDescent="0.35">
      <c r="B50" s="362"/>
      <c r="C50" s="362"/>
      <c r="D50" s="362"/>
      <c r="E50" s="362"/>
      <c r="F50" s="362"/>
      <c r="G50" s="362"/>
      <c r="H50" s="362"/>
      <c r="I50" s="362"/>
      <c r="J50" s="362"/>
      <c r="K50" s="362"/>
      <c r="L50" s="362"/>
      <c r="M50" s="362"/>
      <c r="N50" s="362"/>
    </row>
    <row r="51" spans="2:14" x14ac:dyDescent="0.35">
      <c r="B51" s="172" t="s">
        <v>218</v>
      </c>
    </row>
    <row r="52" spans="2:14" x14ac:dyDescent="0.35">
      <c r="B52" s="172" t="s">
        <v>219</v>
      </c>
    </row>
    <row r="54" spans="2:14" x14ac:dyDescent="0.35">
      <c r="B54" s="172" t="s">
        <v>220</v>
      </c>
    </row>
    <row r="55" spans="2:14" x14ac:dyDescent="0.35">
      <c r="B55" s="172" t="s">
        <v>221</v>
      </c>
    </row>
    <row r="56" spans="2:14" x14ac:dyDescent="0.35">
      <c r="B56" s="172" t="s">
        <v>222</v>
      </c>
    </row>
    <row r="57" spans="2:14" x14ac:dyDescent="0.35">
      <c r="B57" s="172" t="s">
        <v>223</v>
      </c>
    </row>
    <row r="71" spans="2:16" x14ac:dyDescent="0.35">
      <c r="B71" s="362" t="s">
        <v>225</v>
      </c>
      <c r="C71" s="362"/>
      <c r="D71" s="362"/>
      <c r="E71" s="362"/>
      <c r="F71" s="362"/>
      <c r="G71" s="362"/>
      <c r="H71" s="362"/>
      <c r="I71" s="362"/>
      <c r="J71" s="362"/>
      <c r="K71" s="362"/>
      <c r="L71" s="362"/>
      <c r="M71" s="362"/>
      <c r="N71" s="362"/>
      <c r="O71" s="362"/>
      <c r="P71" s="362"/>
    </row>
    <row r="72" spans="2:16" x14ac:dyDescent="0.35">
      <c r="B72" s="362"/>
      <c r="C72" s="362"/>
      <c r="D72" s="362"/>
      <c r="E72" s="362"/>
      <c r="F72" s="362"/>
      <c r="G72" s="362"/>
      <c r="H72" s="362"/>
      <c r="I72" s="362"/>
      <c r="J72" s="362"/>
      <c r="K72" s="362"/>
      <c r="L72" s="362"/>
      <c r="M72" s="362"/>
      <c r="N72" s="362"/>
      <c r="O72" s="362"/>
      <c r="P72" s="362"/>
    </row>
    <row r="73" spans="2:16" x14ac:dyDescent="0.35">
      <c r="B73" s="172" t="s">
        <v>226</v>
      </c>
    </row>
    <row r="74" spans="2:16" x14ac:dyDescent="0.35">
      <c r="B74" s="172" t="s">
        <v>228</v>
      </c>
    </row>
    <row r="75" spans="2:16" x14ac:dyDescent="0.35">
      <c r="B75" s="172" t="s">
        <v>227</v>
      </c>
    </row>
    <row r="79" spans="2:16" x14ac:dyDescent="0.35">
      <c r="B79" s="172" t="s">
        <v>229</v>
      </c>
    </row>
    <row r="80" spans="2:16" x14ac:dyDescent="0.35">
      <c r="B80" s="172" t="s">
        <v>230</v>
      </c>
    </row>
    <row r="83" spans="3:69" ht="15" customHeight="1" x14ac:dyDescent="0.35">
      <c r="BG83" s="217" t="s">
        <v>233</v>
      </c>
      <c r="BH83" s="216"/>
      <c r="BI83" s="216"/>
      <c r="BJ83" s="216"/>
      <c r="BK83" s="216"/>
      <c r="BL83" s="216"/>
      <c r="BM83" s="216"/>
      <c r="BN83" s="216"/>
      <c r="BO83" s="216"/>
      <c r="BP83" s="216"/>
    </row>
    <row r="84" spans="3:69" ht="15" customHeight="1" x14ac:dyDescent="0.35">
      <c r="C84" s="362" t="s">
        <v>234</v>
      </c>
      <c r="D84" s="362"/>
      <c r="E84" s="362"/>
      <c r="F84" s="362"/>
      <c r="G84" s="362"/>
      <c r="H84" s="362"/>
      <c r="I84" s="362"/>
      <c r="J84" s="362"/>
      <c r="K84" s="362"/>
      <c r="L84" s="362"/>
      <c r="M84" s="362"/>
      <c r="N84" s="362"/>
      <c r="O84" s="362"/>
      <c r="P84" s="362"/>
      <c r="Q84" s="362"/>
      <c r="AZ84" s="217"/>
      <c r="BA84" s="217"/>
      <c r="BB84" s="217"/>
      <c r="BC84" s="217"/>
      <c r="BD84" s="217"/>
      <c r="BF84" s="217"/>
      <c r="BG84" s="216" t="s">
        <v>231</v>
      </c>
      <c r="BH84" s="217"/>
      <c r="BI84" s="217"/>
      <c r="BJ84" s="217"/>
    </row>
    <row r="85" spans="3:69" ht="18.5" x14ac:dyDescent="0.35">
      <c r="C85" s="362"/>
      <c r="D85" s="362"/>
      <c r="E85" s="362"/>
      <c r="F85" s="362"/>
      <c r="G85" s="362"/>
      <c r="H85" s="362"/>
      <c r="I85" s="362"/>
      <c r="J85" s="362"/>
      <c r="K85" s="362"/>
      <c r="L85" s="362"/>
      <c r="M85" s="362"/>
      <c r="N85" s="362"/>
      <c r="O85" s="362"/>
      <c r="P85" s="362"/>
      <c r="Q85" s="362"/>
      <c r="AY85" s="217"/>
      <c r="AZ85" s="217"/>
      <c r="BA85" s="217"/>
      <c r="BB85" s="217"/>
      <c r="BC85" s="217"/>
      <c r="BD85" s="217"/>
      <c r="BF85" s="217"/>
      <c r="BG85" s="216" t="s">
        <v>232</v>
      </c>
      <c r="BH85" s="217"/>
      <c r="BI85" s="217"/>
      <c r="BJ85" s="217"/>
      <c r="BK85" s="216"/>
      <c r="BL85" s="216"/>
      <c r="BM85" s="216"/>
      <c r="BN85" s="216"/>
      <c r="BO85" s="216"/>
      <c r="BP85" s="216"/>
      <c r="BQ85" s="216"/>
    </row>
    <row r="86" spans="3:69" x14ac:dyDescent="0.35">
      <c r="C86" s="172" t="s">
        <v>235</v>
      </c>
      <c r="BG86" s="216"/>
      <c r="BH86" s="216"/>
      <c r="BI86" s="216"/>
      <c r="BJ86" s="216"/>
      <c r="BK86" s="216"/>
      <c r="BL86" s="216"/>
      <c r="BM86" s="216"/>
      <c r="BN86" s="216"/>
      <c r="BO86" s="216"/>
      <c r="BP86" s="216"/>
      <c r="BQ86" s="216"/>
    </row>
    <row r="87" spans="3:69" x14ac:dyDescent="0.35">
      <c r="C87" s="172" t="s">
        <v>236</v>
      </c>
    </row>
    <row r="93" spans="3:69" x14ac:dyDescent="0.35">
      <c r="AE93" s="362" t="s">
        <v>237</v>
      </c>
      <c r="AF93" s="362"/>
      <c r="AG93" s="362"/>
      <c r="AH93" s="362"/>
      <c r="AI93" s="362"/>
      <c r="AJ93" s="362"/>
      <c r="AK93" s="362"/>
      <c r="AL93" s="362"/>
      <c r="AM93" s="362"/>
      <c r="AN93" s="362"/>
      <c r="AO93" s="362"/>
      <c r="AP93" s="362"/>
      <c r="AQ93" s="362"/>
      <c r="AR93" s="362"/>
      <c r="AS93" s="362"/>
      <c r="AT93" s="362"/>
      <c r="AU93" s="362"/>
      <c r="AV93" s="362"/>
      <c r="AW93" s="362"/>
      <c r="AX93" s="362"/>
      <c r="AY93" s="362"/>
    </row>
    <row r="94" spans="3:69" x14ac:dyDescent="0.35">
      <c r="AE94" s="362"/>
      <c r="AF94" s="362"/>
      <c r="AG94" s="362"/>
      <c r="AH94" s="362"/>
      <c r="AI94" s="362"/>
      <c r="AJ94" s="362"/>
      <c r="AK94" s="362"/>
      <c r="AL94" s="362"/>
      <c r="AM94" s="362"/>
      <c r="AN94" s="362"/>
      <c r="AO94" s="362"/>
      <c r="AP94" s="362"/>
      <c r="AQ94" s="362"/>
      <c r="AR94" s="362"/>
      <c r="AS94" s="362"/>
      <c r="AT94" s="362"/>
      <c r="AU94" s="362"/>
      <c r="AV94" s="362"/>
      <c r="AW94" s="362"/>
      <c r="AX94" s="362"/>
      <c r="AY94" s="362"/>
    </row>
    <row r="95" spans="3:69" x14ac:dyDescent="0.35">
      <c r="AE95" s="172" t="s">
        <v>238</v>
      </c>
    </row>
    <row r="96" spans="3:69" ht="15" customHeight="1" x14ac:dyDescent="0.35">
      <c r="AE96" s="172" t="s">
        <v>239</v>
      </c>
    </row>
    <row r="97" spans="3:23" ht="15" customHeight="1" x14ac:dyDescent="0.35"/>
    <row r="104" spans="3:23" x14ac:dyDescent="0.35">
      <c r="C104" s="362" t="s">
        <v>240</v>
      </c>
      <c r="D104" s="362"/>
      <c r="E104" s="362"/>
      <c r="F104" s="362"/>
      <c r="G104" s="362"/>
      <c r="H104" s="362"/>
      <c r="I104" s="362"/>
      <c r="J104" s="362"/>
      <c r="K104" s="362"/>
      <c r="L104" s="362"/>
      <c r="M104" s="362"/>
      <c r="N104" s="362"/>
      <c r="O104" s="362"/>
      <c r="P104" s="362"/>
      <c r="Q104" s="362"/>
      <c r="R104" s="362"/>
      <c r="S104" s="362"/>
      <c r="T104" s="362"/>
      <c r="U104" s="362"/>
      <c r="V104" s="362"/>
      <c r="W104" s="362"/>
    </row>
    <row r="105" spans="3:23" x14ac:dyDescent="0.35">
      <c r="C105" s="362"/>
      <c r="D105" s="362"/>
      <c r="E105" s="362"/>
      <c r="F105" s="362"/>
      <c r="G105" s="362"/>
      <c r="H105" s="362"/>
      <c r="I105" s="362"/>
      <c r="J105" s="362"/>
      <c r="K105" s="362"/>
      <c r="L105" s="362"/>
      <c r="M105" s="362"/>
      <c r="N105" s="362"/>
      <c r="O105" s="362"/>
      <c r="P105" s="362"/>
      <c r="Q105" s="362"/>
      <c r="R105" s="362"/>
      <c r="S105" s="362"/>
      <c r="T105" s="362"/>
      <c r="U105" s="362"/>
      <c r="V105" s="362"/>
      <c r="W105" s="362"/>
    </row>
    <row r="111" spans="3:23" x14ac:dyDescent="0.35">
      <c r="C111" s="172" t="s">
        <v>241</v>
      </c>
    </row>
    <row r="112" spans="3:23" x14ac:dyDescent="0.35">
      <c r="C112" s="172" t="s">
        <v>242</v>
      </c>
    </row>
    <row r="114" spans="3:52" x14ac:dyDescent="0.35">
      <c r="C114" s="172" t="s">
        <v>243</v>
      </c>
      <c r="AF114" s="362" t="s">
        <v>246</v>
      </c>
      <c r="AG114" s="362"/>
      <c r="AH114" s="362"/>
      <c r="AI114" s="362"/>
      <c r="AJ114" s="362"/>
      <c r="AK114" s="362"/>
      <c r="AL114" s="362"/>
      <c r="AM114" s="362"/>
      <c r="AN114" s="362"/>
      <c r="AO114" s="362"/>
      <c r="AP114" s="362"/>
      <c r="AQ114" s="362"/>
      <c r="AR114" s="362"/>
      <c r="AS114" s="362"/>
      <c r="AT114" s="362"/>
      <c r="AU114" s="362"/>
      <c r="AV114" s="362"/>
      <c r="AW114" s="362"/>
      <c r="AX114" s="362"/>
      <c r="AY114" s="362"/>
      <c r="AZ114" s="362"/>
    </row>
    <row r="115" spans="3:52" x14ac:dyDescent="0.35">
      <c r="C115" s="172" t="s">
        <v>244</v>
      </c>
      <c r="AF115" s="362"/>
      <c r="AG115" s="362"/>
      <c r="AH115" s="362"/>
      <c r="AI115" s="362"/>
      <c r="AJ115" s="362"/>
      <c r="AK115" s="362"/>
      <c r="AL115" s="362"/>
      <c r="AM115" s="362"/>
      <c r="AN115" s="362"/>
      <c r="AO115" s="362"/>
      <c r="AP115" s="362"/>
      <c r="AQ115" s="362"/>
      <c r="AR115" s="362"/>
      <c r="AS115" s="362"/>
      <c r="AT115" s="362"/>
      <c r="AU115" s="362"/>
      <c r="AV115" s="362"/>
      <c r="AW115" s="362"/>
      <c r="AX115" s="362"/>
      <c r="AY115" s="362"/>
      <c r="AZ115" s="362"/>
    </row>
    <row r="116" spans="3:52" x14ac:dyDescent="0.35">
      <c r="AF116" s="172" t="s">
        <v>252</v>
      </c>
    </row>
    <row r="117" spans="3:52" x14ac:dyDescent="0.35">
      <c r="AF117" s="172" t="s">
        <v>251</v>
      </c>
    </row>
    <row r="121" spans="3:52" x14ac:dyDescent="0.35">
      <c r="V121" s="362" t="s">
        <v>247</v>
      </c>
      <c r="W121" s="362"/>
      <c r="X121" s="362"/>
      <c r="Y121" s="362"/>
      <c r="Z121" s="362"/>
      <c r="AA121" s="362"/>
      <c r="AB121" s="362"/>
      <c r="AC121" s="362"/>
      <c r="AD121" s="362"/>
      <c r="AE121" s="362"/>
      <c r="AF121" s="362"/>
      <c r="AG121" s="362"/>
      <c r="AH121" s="362"/>
      <c r="AI121" s="362"/>
      <c r="AJ121" s="362"/>
      <c r="AK121" s="362"/>
      <c r="AL121" s="362"/>
      <c r="AM121" s="362"/>
      <c r="AN121" s="362"/>
      <c r="AO121" s="362"/>
      <c r="AP121" s="362"/>
    </row>
    <row r="122" spans="3:52" x14ac:dyDescent="0.35">
      <c r="V122" s="362"/>
      <c r="W122" s="362"/>
      <c r="X122" s="362"/>
      <c r="Y122" s="362"/>
      <c r="Z122" s="362"/>
      <c r="AA122" s="362"/>
      <c r="AB122" s="362"/>
      <c r="AC122" s="362"/>
      <c r="AD122" s="362"/>
      <c r="AE122" s="362"/>
      <c r="AF122" s="362"/>
      <c r="AG122" s="362"/>
      <c r="AH122" s="362"/>
      <c r="AI122" s="362"/>
      <c r="AJ122" s="362"/>
      <c r="AK122" s="362"/>
      <c r="AL122" s="362"/>
      <c r="AM122" s="362"/>
      <c r="AN122" s="362"/>
      <c r="AO122" s="362"/>
      <c r="AP122" s="362"/>
    </row>
    <row r="123" spans="3:52" x14ac:dyDescent="0.35">
      <c r="S123" s="172" t="s">
        <v>248</v>
      </c>
    </row>
    <row r="124" spans="3:52" x14ac:dyDescent="0.35">
      <c r="S124" s="172" t="s">
        <v>249</v>
      </c>
    </row>
    <row r="126" spans="3:52" x14ac:dyDescent="0.35">
      <c r="S126" s="172" t="s">
        <v>250</v>
      </c>
    </row>
    <row r="130" spans="4:26" x14ac:dyDescent="0.35">
      <c r="F130" s="362" t="s">
        <v>253</v>
      </c>
      <c r="G130" s="362"/>
      <c r="H130" s="362"/>
      <c r="I130" s="362"/>
      <c r="J130" s="362"/>
      <c r="K130" s="362"/>
      <c r="L130" s="362"/>
      <c r="M130" s="362"/>
      <c r="N130" s="362"/>
      <c r="O130" s="362"/>
      <c r="P130" s="362"/>
      <c r="Q130" s="362"/>
      <c r="R130" s="362"/>
      <c r="S130" s="362"/>
      <c r="T130" s="362"/>
      <c r="U130" s="362"/>
      <c r="V130" s="362"/>
      <c r="W130" s="362"/>
      <c r="X130" s="362"/>
      <c r="Y130" s="362"/>
      <c r="Z130" s="362"/>
    </row>
    <row r="131" spans="4:26" x14ac:dyDescent="0.35">
      <c r="F131" s="362"/>
      <c r="G131" s="362"/>
      <c r="H131" s="362"/>
      <c r="I131" s="362"/>
      <c r="J131" s="362"/>
      <c r="K131" s="362"/>
      <c r="L131" s="362"/>
      <c r="M131" s="362"/>
      <c r="N131" s="362"/>
      <c r="O131" s="362"/>
      <c r="P131" s="362"/>
      <c r="Q131" s="362"/>
      <c r="R131" s="362"/>
      <c r="S131" s="362"/>
      <c r="T131" s="362"/>
      <c r="U131" s="362"/>
      <c r="V131" s="362"/>
      <c r="W131" s="362"/>
      <c r="X131" s="362"/>
      <c r="Y131" s="362"/>
      <c r="Z131" s="362"/>
    </row>
    <row r="132" spans="4:26" x14ac:dyDescent="0.35">
      <c r="F132" s="172" t="s">
        <v>254</v>
      </c>
    </row>
    <row r="133" spans="4:26" x14ac:dyDescent="0.35">
      <c r="F133" s="172" t="s">
        <v>255</v>
      </c>
    </row>
    <row r="143" spans="4:26" x14ac:dyDescent="0.35">
      <c r="D143" s="362" t="s">
        <v>256</v>
      </c>
      <c r="E143" s="362"/>
      <c r="F143" s="362"/>
      <c r="G143" s="362"/>
      <c r="H143" s="362"/>
      <c r="I143" s="362"/>
      <c r="J143" s="362"/>
      <c r="K143" s="362"/>
      <c r="L143" s="362"/>
      <c r="M143" s="362"/>
      <c r="N143" s="362"/>
      <c r="O143" s="362"/>
      <c r="P143" s="362"/>
      <c r="Q143" s="362"/>
      <c r="R143" s="362"/>
      <c r="S143" s="362"/>
      <c r="T143" s="362"/>
      <c r="U143" s="362"/>
      <c r="V143" s="362"/>
      <c r="W143" s="362"/>
      <c r="X143" s="362"/>
    </row>
    <row r="144" spans="4:26" x14ac:dyDescent="0.35">
      <c r="D144" s="362"/>
      <c r="E144" s="362"/>
      <c r="F144" s="362"/>
      <c r="G144" s="362"/>
      <c r="H144" s="362"/>
      <c r="I144" s="362"/>
      <c r="J144" s="362"/>
      <c r="K144" s="362"/>
      <c r="L144" s="362"/>
      <c r="M144" s="362"/>
      <c r="N144" s="362"/>
      <c r="O144" s="362"/>
      <c r="P144" s="362"/>
      <c r="Q144" s="362"/>
      <c r="R144" s="362"/>
      <c r="S144" s="362"/>
      <c r="T144" s="362"/>
      <c r="U144" s="362"/>
      <c r="V144" s="362"/>
      <c r="W144" s="362"/>
      <c r="X144" s="362"/>
    </row>
    <row r="145" spans="4:24" x14ac:dyDescent="0.35">
      <c r="D145" s="172" t="s">
        <v>257</v>
      </c>
    </row>
    <row r="146" spans="4:24" x14ac:dyDescent="0.35">
      <c r="D146" s="172" t="s">
        <v>258</v>
      </c>
    </row>
    <row r="148" spans="4:24" x14ac:dyDescent="0.35">
      <c r="D148" s="172" t="s">
        <v>259</v>
      </c>
    </row>
    <row r="149" spans="4:24" x14ac:dyDescent="0.35">
      <c r="D149" s="172" t="s">
        <v>260</v>
      </c>
    </row>
    <row r="152" spans="4:24" x14ac:dyDescent="0.35">
      <c r="D152" s="362" t="s">
        <v>261</v>
      </c>
      <c r="E152" s="362"/>
      <c r="F152" s="362"/>
      <c r="G152" s="362"/>
      <c r="H152" s="362"/>
      <c r="I152" s="362"/>
      <c r="J152" s="362"/>
      <c r="K152" s="362"/>
      <c r="L152" s="362"/>
      <c r="M152" s="362"/>
      <c r="N152" s="362"/>
      <c r="O152" s="362"/>
      <c r="P152" s="362"/>
      <c r="Q152" s="362"/>
      <c r="R152" s="362"/>
      <c r="S152" s="362"/>
      <c r="T152" s="362"/>
      <c r="U152" s="362"/>
      <c r="V152" s="362"/>
      <c r="W152" s="362"/>
      <c r="X152" s="362"/>
    </row>
    <row r="153" spans="4:24" x14ac:dyDescent="0.35">
      <c r="D153" s="362"/>
      <c r="E153" s="362"/>
      <c r="F153" s="362"/>
      <c r="G153" s="362"/>
      <c r="H153" s="362"/>
      <c r="I153" s="362"/>
      <c r="J153" s="362"/>
      <c r="K153" s="362"/>
      <c r="L153" s="362"/>
      <c r="M153" s="362"/>
      <c r="N153" s="362"/>
      <c r="O153" s="362"/>
      <c r="P153" s="362"/>
      <c r="Q153" s="362"/>
      <c r="R153" s="362"/>
      <c r="S153" s="362"/>
      <c r="T153" s="362"/>
      <c r="U153" s="362"/>
      <c r="V153" s="362"/>
      <c r="W153" s="362"/>
      <c r="X153" s="362"/>
    </row>
    <row r="154" spans="4:24" x14ac:dyDescent="0.35">
      <c r="G154" s="172" t="s">
        <v>262</v>
      </c>
    </row>
  </sheetData>
  <mergeCells count="15">
    <mergeCell ref="D152:X153"/>
    <mergeCell ref="C84:Q85"/>
    <mergeCell ref="AE93:AY94"/>
    <mergeCell ref="C104:W105"/>
    <mergeCell ref="AF114:AZ115"/>
    <mergeCell ref="AL16:BD17"/>
    <mergeCell ref="H16:V17"/>
    <mergeCell ref="V121:AP122"/>
    <mergeCell ref="F130:Z131"/>
    <mergeCell ref="D143:X144"/>
    <mergeCell ref="B13:J14"/>
    <mergeCell ref="B71:P72"/>
    <mergeCell ref="B49:N50"/>
    <mergeCell ref="B41:O42"/>
    <mergeCell ref="B29:O30"/>
  </mergeCells>
  <hyperlinks>
    <hyperlink ref="AV13" location="FAQs!A1" tooltip="Frequently Asked Questions (FAQs)" display="FAQs" xr:uid="{00000000-0004-0000-0400-000000000000}"/>
    <hyperlink ref="AH14" r:id="rId1" xr:uid="{00000000-0004-0000-0400-000001000000}"/>
  </hyperlinks>
  <pageMargins left="0.7" right="0.7" top="0.75" bottom="0.75" header="0.3" footer="0.3"/>
  <pageSetup orientation="portrait" horizontalDpi="4294967295" verticalDpi="4294967295"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outlinePr summaryBelow="0" summaryRight="0"/>
  </sheetPr>
  <dimension ref="B2:AD175"/>
  <sheetViews>
    <sheetView showGridLines="0" showRowColHeaders="0" workbookViewId="0">
      <pane ySplit="2" topLeftCell="A30" activePane="bottomLeft" state="frozenSplit"/>
      <selection pane="bottomLeft" activeCell="H51" sqref="H51"/>
    </sheetView>
  </sheetViews>
  <sheetFormatPr defaultColWidth="3.81640625" defaultRowHeight="14.5" x14ac:dyDescent="0.35"/>
  <cols>
    <col min="1" max="1" width="2.81640625" customWidth="1"/>
    <col min="2" max="2" width="4.453125" bestFit="1" customWidth="1"/>
  </cols>
  <sheetData>
    <row r="2" spans="2:4" ht="28.5" x14ac:dyDescent="0.35">
      <c r="B2" s="171" t="str">
        <f>TEMPLATE_NAME&amp;" "&amp;TEMPLATE_VER&amp;" - FAQs"</f>
        <v>AG Estimation Template -  Version 2.0.4 - FAQs</v>
      </c>
    </row>
    <row r="4" spans="2:4" ht="18.5" x14ac:dyDescent="0.45">
      <c r="B4" s="233" t="s">
        <v>409</v>
      </c>
    </row>
    <row r="6" spans="2:4" s="229" customFormat="1" ht="21" x14ac:dyDescent="0.5">
      <c r="B6" s="228">
        <v>1</v>
      </c>
      <c r="C6" s="228" t="s">
        <v>421</v>
      </c>
    </row>
    <row r="7" spans="2:4" x14ac:dyDescent="0.35">
      <c r="D7" t="s">
        <v>422</v>
      </c>
    </row>
    <row r="8" spans="2:4" x14ac:dyDescent="0.35">
      <c r="D8" t="s">
        <v>423</v>
      </c>
    </row>
    <row r="10" spans="2:4" s="229" customFormat="1" ht="21" x14ac:dyDescent="0.5">
      <c r="B10" s="228">
        <v>2</v>
      </c>
      <c r="C10" s="228" t="s">
        <v>264</v>
      </c>
    </row>
    <row r="11" spans="2:4" x14ac:dyDescent="0.35">
      <c r="D11" t="s">
        <v>437</v>
      </c>
    </row>
    <row r="12" spans="2:4" x14ac:dyDescent="0.35">
      <c r="D12" t="s">
        <v>438</v>
      </c>
    </row>
    <row r="14" spans="2:4" s="229" customFormat="1" ht="21" x14ac:dyDescent="0.5">
      <c r="B14" s="228">
        <v>3</v>
      </c>
      <c r="C14" s="228" t="s">
        <v>265</v>
      </c>
    </row>
    <row r="15" spans="2:4" x14ac:dyDescent="0.35">
      <c r="D15" t="s">
        <v>439</v>
      </c>
    </row>
    <row r="17" spans="2:4" s="229" customFormat="1" ht="21" x14ac:dyDescent="0.5">
      <c r="B17" s="228">
        <v>4</v>
      </c>
      <c r="C17" s="228" t="s">
        <v>266</v>
      </c>
    </row>
    <row r="18" spans="2:4" x14ac:dyDescent="0.35">
      <c r="D18" t="s">
        <v>267</v>
      </c>
    </row>
    <row r="19" spans="2:4" x14ac:dyDescent="0.35">
      <c r="D19" t="s">
        <v>268</v>
      </c>
    </row>
    <row r="20" spans="2:4" x14ac:dyDescent="0.35">
      <c r="D20" t="s">
        <v>269</v>
      </c>
    </row>
    <row r="22" spans="2:4" s="229" customFormat="1" ht="21" x14ac:dyDescent="0.5">
      <c r="B22" s="228">
        <v>5</v>
      </c>
      <c r="C22" s="228" t="s">
        <v>270</v>
      </c>
    </row>
    <row r="23" spans="2:4" x14ac:dyDescent="0.35">
      <c r="D23" t="s">
        <v>271</v>
      </c>
    </row>
    <row r="24" spans="2:4" x14ac:dyDescent="0.35">
      <c r="D24" t="s">
        <v>440</v>
      </c>
    </row>
    <row r="25" spans="2:4" x14ac:dyDescent="0.35">
      <c r="D25" t="s">
        <v>272</v>
      </c>
    </row>
    <row r="27" spans="2:4" s="229" customFormat="1" ht="21" x14ac:dyDescent="0.5">
      <c r="B27" s="228">
        <v>6</v>
      </c>
      <c r="C27" s="228" t="s">
        <v>273</v>
      </c>
    </row>
    <row r="28" spans="2:4" x14ac:dyDescent="0.35">
      <c r="D28" t="s">
        <v>274</v>
      </c>
    </row>
    <row r="30" spans="2:4" s="229" customFormat="1" ht="21" x14ac:dyDescent="0.5">
      <c r="B30" s="228">
        <v>7</v>
      </c>
      <c r="C30" s="228" t="s">
        <v>277</v>
      </c>
    </row>
    <row r="31" spans="2:4" x14ac:dyDescent="0.35">
      <c r="D31" t="s">
        <v>278</v>
      </c>
    </row>
    <row r="33" spans="2:9" s="229" customFormat="1" ht="21" x14ac:dyDescent="0.5">
      <c r="B33" s="228">
        <v>8</v>
      </c>
      <c r="C33" s="228" t="s">
        <v>282</v>
      </c>
    </row>
    <row r="34" spans="2:9" x14ac:dyDescent="0.35">
      <c r="D34" t="s">
        <v>283</v>
      </c>
    </row>
    <row r="35" spans="2:9" x14ac:dyDescent="0.35">
      <c r="D35" t="s">
        <v>284</v>
      </c>
    </row>
    <row r="37" spans="2:9" s="229" customFormat="1" ht="21" x14ac:dyDescent="0.5">
      <c r="B37" s="228">
        <v>9</v>
      </c>
      <c r="C37" s="228" t="s">
        <v>279</v>
      </c>
    </row>
    <row r="38" spans="2:9" x14ac:dyDescent="0.35">
      <c r="D38" t="s">
        <v>280</v>
      </c>
    </row>
    <row r="39" spans="2:9" x14ac:dyDescent="0.35">
      <c r="F39" s="220" t="s">
        <v>281</v>
      </c>
      <c r="G39" t="s">
        <v>286</v>
      </c>
    </row>
    <row r="40" spans="2:9" x14ac:dyDescent="0.35">
      <c r="F40" s="220" t="s">
        <v>285</v>
      </c>
      <c r="G40" t="s">
        <v>287</v>
      </c>
    </row>
    <row r="41" spans="2:9" x14ac:dyDescent="0.35">
      <c r="F41" s="220" t="s">
        <v>288</v>
      </c>
      <c r="G41" t="s">
        <v>289</v>
      </c>
    </row>
    <row r="42" spans="2:9" x14ac:dyDescent="0.35">
      <c r="F42" s="220" t="s">
        <v>290</v>
      </c>
      <c r="G42" t="s">
        <v>291</v>
      </c>
    </row>
    <row r="43" spans="2:9" x14ac:dyDescent="0.35">
      <c r="G43" s="220" t="s">
        <v>292</v>
      </c>
      <c r="H43" t="s">
        <v>294</v>
      </c>
    </row>
    <row r="44" spans="2:9" x14ac:dyDescent="0.35">
      <c r="G44" s="220" t="s">
        <v>293</v>
      </c>
      <c r="H44" t="s">
        <v>295</v>
      </c>
    </row>
    <row r="45" spans="2:9" x14ac:dyDescent="0.35">
      <c r="G45" s="1" t="s">
        <v>296</v>
      </c>
      <c r="H45" t="s">
        <v>297</v>
      </c>
    </row>
    <row r="46" spans="2:9" x14ac:dyDescent="0.35">
      <c r="I46" t="s">
        <v>298</v>
      </c>
    </row>
    <row r="47" spans="2:9" x14ac:dyDescent="0.35">
      <c r="G47" s="220" t="s">
        <v>299</v>
      </c>
      <c r="H47" t="s">
        <v>300</v>
      </c>
    </row>
    <row r="48" spans="2:9" x14ac:dyDescent="0.35">
      <c r="I48" t="s">
        <v>301</v>
      </c>
    </row>
    <row r="49" spans="2:20" x14ac:dyDescent="0.35">
      <c r="G49" s="220" t="s">
        <v>302</v>
      </c>
      <c r="H49" t="s">
        <v>303</v>
      </c>
    </row>
    <row r="50" spans="2:20" x14ac:dyDescent="0.35">
      <c r="D50" s="363" t="s">
        <v>445</v>
      </c>
      <c r="E50" s="363"/>
      <c r="F50" s="363"/>
      <c r="G50" s="363"/>
      <c r="H50" t="s">
        <v>446</v>
      </c>
    </row>
    <row r="51" spans="2:20" x14ac:dyDescent="0.35">
      <c r="D51" s="363"/>
      <c r="E51" s="363"/>
      <c r="F51" s="363"/>
      <c r="G51" s="363"/>
    </row>
    <row r="52" spans="2:20" x14ac:dyDescent="0.35">
      <c r="D52" s="363"/>
      <c r="E52" s="363"/>
      <c r="F52" s="363"/>
      <c r="G52" s="363"/>
    </row>
    <row r="54" spans="2:20" s="229" customFormat="1" ht="21" x14ac:dyDescent="0.5">
      <c r="B54" s="228">
        <v>10</v>
      </c>
      <c r="C54" s="228" t="s">
        <v>304</v>
      </c>
    </row>
    <row r="55" spans="2:20" x14ac:dyDescent="0.35">
      <c r="D55" t="s">
        <v>305</v>
      </c>
    </row>
    <row r="56" spans="2:20" x14ac:dyDescent="0.35">
      <c r="D56" t="s">
        <v>306</v>
      </c>
    </row>
    <row r="57" spans="2:20" x14ac:dyDescent="0.35">
      <c r="F57" s="220" t="s">
        <v>307</v>
      </c>
      <c r="G57" t="s">
        <v>308</v>
      </c>
    </row>
    <row r="58" spans="2:20" x14ac:dyDescent="0.35">
      <c r="H58" t="s">
        <v>309</v>
      </c>
    </row>
    <row r="59" spans="2:20" x14ac:dyDescent="0.35">
      <c r="I59" t="s">
        <v>311</v>
      </c>
      <c r="N59" t="s">
        <v>310</v>
      </c>
    </row>
    <row r="60" spans="2:20" x14ac:dyDescent="0.35">
      <c r="I60" t="s">
        <v>312</v>
      </c>
      <c r="N60" t="s">
        <v>313</v>
      </c>
      <c r="T60" t="s">
        <v>321</v>
      </c>
    </row>
    <row r="61" spans="2:20" x14ac:dyDescent="0.35">
      <c r="I61" t="s">
        <v>314</v>
      </c>
      <c r="N61" t="s">
        <v>315</v>
      </c>
      <c r="T61" t="s">
        <v>321</v>
      </c>
    </row>
    <row r="62" spans="2:20" x14ac:dyDescent="0.35">
      <c r="N62" t="s">
        <v>316</v>
      </c>
    </row>
    <row r="63" spans="2:20" x14ac:dyDescent="0.35">
      <c r="F63" s="220" t="s">
        <v>317</v>
      </c>
      <c r="G63" t="s">
        <v>318</v>
      </c>
    </row>
    <row r="64" spans="2:20" x14ac:dyDescent="0.35">
      <c r="F64" s="220" t="s">
        <v>322</v>
      </c>
      <c r="G64" t="s">
        <v>323</v>
      </c>
    </row>
    <row r="65" spans="2:30" x14ac:dyDescent="0.35">
      <c r="H65" t="s">
        <v>324</v>
      </c>
    </row>
    <row r="66" spans="2:30" x14ac:dyDescent="0.35">
      <c r="I66" t="s">
        <v>325</v>
      </c>
    </row>
    <row r="67" spans="2:30" x14ac:dyDescent="0.35">
      <c r="G67" t="s">
        <v>326</v>
      </c>
    </row>
    <row r="68" spans="2:30" x14ac:dyDescent="0.35">
      <c r="F68" s="220" t="s">
        <v>319</v>
      </c>
      <c r="G68" t="s">
        <v>320</v>
      </c>
      <c r="AD68" t="s">
        <v>321</v>
      </c>
    </row>
    <row r="69" spans="2:30" x14ac:dyDescent="0.35">
      <c r="H69" t="s">
        <v>342</v>
      </c>
    </row>
    <row r="71" spans="2:30" s="229" customFormat="1" ht="21" x14ac:dyDescent="0.5">
      <c r="B71" s="228">
        <v>11</v>
      </c>
      <c r="C71" s="228" t="s">
        <v>327</v>
      </c>
    </row>
    <row r="72" spans="2:30" x14ac:dyDescent="0.35">
      <c r="D72" t="s">
        <v>328</v>
      </c>
    </row>
    <row r="73" spans="2:30" x14ac:dyDescent="0.35">
      <c r="D73" t="s">
        <v>329</v>
      </c>
    </row>
    <row r="74" spans="2:30" x14ac:dyDescent="0.35">
      <c r="D74" t="s">
        <v>330</v>
      </c>
    </row>
    <row r="76" spans="2:30" s="229" customFormat="1" ht="21" x14ac:dyDescent="0.5">
      <c r="B76" s="228">
        <v>12</v>
      </c>
      <c r="C76" s="228" t="s">
        <v>331</v>
      </c>
    </row>
    <row r="77" spans="2:30" x14ac:dyDescent="0.35">
      <c r="D77" t="s">
        <v>332</v>
      </c>
    </row>
    <row r="78" spans="2:30" x14ac:dyDescent="0.35">
      <c r="D78" t="s">
        <v>333</v>
      </c>
    </row>
    <row r="79" spans="2:30" x14ac:dyDescent="0.35">
      <c r="E79" s="220" t="s">
        <v>334</v>
      </c>
      <c r="F79" t="s">
        <v>338</v>
      </c>
    </row>
    <row r="80" spans="2:30" x14ac:dyDescent="0.35">
      <c r="G80" t="s">
        <v>344</v>
      </c>
    </row>
    <row r="81" spans="2:7" x14ac:dyDescent="0.35">
      <c r="G81" t="s">
        <v>339</v>
      </c>
    </row>
    <row r="82" spans="2:7" x14ac:dyDescent="0.35">
      <c r="E82" s="220" t="s">
        <v>340</v>
      </c>
      <c r="F82" t="s">
        <v>341</v>
      </c>
    </row>
    <row r="83" spans="2:7" x14ac:dyDescent="0.35">
      <c r="G83" t="s">
        <v>343</v>
      </c>
    </row>
    <row r="85" spans="2:7" s="229" customFormat="1" ht="21" x14ac:dyDescent="0.5">
      <c r="B85" s="228">
        <v>13</v>
      </c>
      <c r="C85" s="228" t="s">
        <v>345</v>
      </c>
    </row>
    <row r="86" spans="2:7" x14ac:dyDescent="0.35">
      <c r="D86" t="s">
        <v>346</v>
      </c>
    </row>
    <row r="87" spans="2:7" x14ac:dyDescent="0.35">
      <c r="E87" s="220" t="s">
        <v>347</v>
      </c>
      <c r="F87" t="s">
        <v>350</v>
      </c>
    </row>
    <row r="88" spans="2:7" x14ac:dyDescent="0.35">
      <c r="E88" s="220"/>
      <c r="F88" t="s">
        <v>351</v>
      </c>
    </row>
    <row r="89" spans="2:7" x14ac:dyDescent="0.35">
      <c r="E89" s="220"/>
      <c r="F89" t="s">
        <v>352</v>
      </c>
    </row>
    <row r="90" spans="2:7" x14ac:dyDescent="0.35">
      <c r="E90" s="220"/>
      <c r="F90" t="s">
        <v>353</v>
      </c>
    </row>
    <row r="91" spans="2:7" x14ac:dyDescent="0.35">
      <c r="E91" s="220"/>
      <c r="F91" t="s">
        <v>354</v>
      </c>
    </row>
    <row r="92" spans="2:7" x14ac:dyDescent="0.35">
      <c r="E92" s="220" t="s">
        <v>348</v>
      </c>
      <c r="F92" t="s">
        <v>355</v>
      </c>
    </row>
    <row r="93" spans="2:7" x14ac:dyDescent="0.35">
      <c r="E93" s="220"/>
      <c r="F93" t="s">
        <v>356</v>
      </c>
    </row>
    <row r="94" spans="2:7" x14ac:dyDescent="0.35">
      <c r="E94" s="220" t="s">
        <v>349</v>
      </c>
      <c r="F94" t="s">
        <v>357</v>
      </c>
    </row>
    <row r="96" spans="2:7" s="229" customFormat="1" ht="21" x14ac:dyDescent="0.5">
      <c r="B96" s="228">
        <v>14</v>
      </c>
      <c r="C96" s="228" t="s">
        <v>417</v>
      </c>
    </row>
    <row r="97" spans="2:6" x14ac:dyDescent="0.35">
      <c r="D97" t="s">
        <v>358</v>
      </c>
    </row>
    <row r="98" spans="2:6" x14ac:dyDescent="0.35">
      <c r="E98" s="220" t="s">
        <v>359</v>
      </c>
      <c r="F98" t="s">
        <v>366</v>
      </c>
    </row>
    <row r="99" spans="2:6" x14ac:dyDescent="0.35">
      <c r="E99" s="220" t="s">
        <v>360</v>
      </c>
      <c r="F99" t="s">
        <v>367</v>
      </c>
    </row>
    <row r="100" spans="2:6" x14ac:dyDescent="0.35">
      <c r="E100" s="220" t="s">
        <v>361</v>
      </c>
      <c r="F100" t="s">
        <v>365</v>
      </c>
    </row>
    <row r="101" spans="2:6" x14ac:dyDescent="0.35">
      <c r="E101" s="220" t="s">
        <v>362</v>
      </c>
      <c r="F101" t="s">
        <v>364</v>
      </c>
    </row>
    <row r="102" spans="2:6" x14ac:dyDescent="0.35">
      <c r="E102" s="220" t="s">
        <v>363</v>
      </c>
      <c r="F102" t="s">
        <v>368</v>
      </c>
    </row>
    <row r="104" spans="2:6" s="229" customFormat="1" ht="21" x14ac:dyDescent="0.5">
      <c r="B104" s="228">
        <v>15</v>
      </c>
      <c r="C104" s="228" t="s">
        <v>335</v>
      </c>
    </row>
    <row r="105" spans="2:6" x14ac:dyDescent="0.35">
      <c r="D105" t="s">
        <v>336</v>
      </c>
    </row>
    <row r="106" spans="2:6" x14ac:dyDescent="0.35">
      <c r="D106" t="s">
        <v>337</v>
      </c>
    </row>
    <row r="108" spans="2:6" s="229" customFormat="1" ht="21" x14ac:dyDescent="0.5">
      <c r="B108" s="228">
        <v>16</v>
      </c>
      <c r="C108" s="228" t="s">
        <v>369</v>
      </c>
    </row>
    <row r="109" spans="2:6" x14ac:dyDescent="0.35">
      <c r="D109" t="s">
        <v>370</v>
      </c>
    </row>
    <row r="110" spans="2:6" x14ac:dyDescent="0.35">
      <c r="D110" t="s">
        <v>371</v>
      </c>
    </row>
    <row r="111" spans="2:6" x14ac:dyDescent="0.35">
      <c r="D111" t="s">
        <v>372</v>
      </c>
    </row>
    <row r="114" spans="2:6" ht="18.5" x14ac:dyDescent="0.45">
      <c r="B114" s="233" t="s">
        <v>410</v>
      </c>
    </row>
    <row r="116" spans="2:6" s="229" customFormat="1" ht="21" x14ac:dyDescent="0.5">
      <c r="B116" s="227">
        <v>17</v>
      </c>
      <c r="C116" s="227" t="s">
        <v>389</v>
      </c>
    </row>
    <row r="117" spans="2:6" x14ac:dyDescent="0.35">
      <c r="D117" t="s">
        <v>396</v>
      </c>
    </row>
    <row r="118" spans="2:6" x14ac:dyDescent="0.35">
      <c r="E118" t="s">
        <v>397</v>
      </c>
    </row>
    <row r="119" spans="2:6" x14ac:dyDescent="0.35">
      <c r="E119" t="s">
        <v>398</v>
      </c>
    </row>
    <row r="120" spans="2:6" x14ac:dyDescent="0.35">
      <c r="E120" t="s">
        <v>400</v>
      </c>
    </row>
    <row r="121" spans="2:6" s="231" customFormat="1" x14ac:dyDescent="0.35">
      <c r="F121" s="232" t="s">
        <v>399</v>
      </c>
    </row>
    <row r="122" spans="2:6" s="231" customFormat="1" x14ac:dyDescent="0.35">
      <c r="F122" s="232"/>
    </row>
    <row r="123" spans="2:6" s="231" customFormat="1" x14ac:dyDescent="0.35">
      <c r="E123" s="232" t="s">
        <v>401</v>
      </c>
      <c r="F123" s="232"/>
    </row>
    <row r="124" spans="2:6" s="231" customFormat="1" x14ac:dyDescent="0.35">
      <c r="F124" s="232" t="s">
        <v>402</v>
      </c>
    </row>
    <row r="125" spans="2:6" s="231" customFormat="1" x14ac:dyDescent="0.35">
      <c r="F125" s="232" t="s">
        <v>403</v>
      </c>
    </row>
    <row r="126" spans="2:6" x14ac:dyDescent="0.35">
      <c r="F126" s="232" t="s">
        <v>404</v>
      </c>
    </row>
    <row r="127" spans="2:6" x14ac:dyDescent="0.35">
      <c r="F127" s="232"/>
    </row>
    <row r="128" spans="2:6" s="229" customFormat="1" ht="21" x14ac:dyDescent="0.5">
      <c r="B128" s="227">
        <v>18</v>
      </c>
      <c r="C128" s="227" t="s">
        <v>390</v>
      </c>
    </row>
    <row r="129" spans="2:4" x14ac:dyDescent="0.35">
      <c r="D129" t="s">
        <v>405</v>
      </c>
    </row>
    <row r="130" spans="2:4" x14ac:dyDescent="0.35">
      <c r="D130" t="s">
        <v>406</v>
      </c>
    </row>
    <row r="131" spans="2:4" x14ac:dyDescent="0.35">
      <c r="D131" t="s">
        <v>407</v>
      </c>
    </row>
    <row r="132" spans="2:4" x14ac:dyDescent="0.35">
      <c r="D132" t="s">
        <v>408</v>
      </c>
    </row>
    <row r="134" spans="2:4" s="229" customFormat="1" ht="21" x14ac:dyDescent="0.5">
      <c r="B134" s="227">
        <v>19</v>
      </c>
      <c r="C134" s="227" t="s">
        <v>392</v>
      </c>
    </row>
    <row r="135" spans="2:4" x14ac:dyDescent="0.35">
      <c r="D135" t="s">
        <v>393</v>
      </c>
    </row>
    <row r="137" spans="2:4" s="229" customFormat="1" ht="21" x14ac:dyDescent="0.5">
      <c r="B137" s="227">
        <v>20</v>
      </c>
      <c r="C137" s="227" t="s">
        <v>394</v>
      </c>
    </row>
    <row r="138" spans="2:4" x14ac:dyDescent="0.35">
      <c r="D138" t="s">
        <v>395</v>
      </c>
    </row>
    <row r="140" spans="2:4" s="229" customFormat="1" ht="21" x14ac:dyDescent="0.5">
      <c r="B140" s="227">
        <v>21</v>
      </c>
      <c r="C140" s="227" t="s">
        <v>379</v>
      </c>
    </row>
    <row r="141" spans="2:4" x14ac:dyDescent="0.35">
      <c r="D141" t="s">
        <v>373</v>
      </c>
    </row>
    <row r="142" spans="2:4" x14ac:dyDescent="0.35">
      <c r="D142" t="s">
        <v>374</v>
      </c>
    </row>
    <row r="144" spans="2:4" s="229" customFormat="1" ht="21" x14ac:dyDescent="0.5">
      <c r="B144" s="227">
        <v>22</v>
      </c>
      <c r="C144" s="227" t="s">
        <v>380</v>
      </c>
    </row>
    <row r="145" spans="2:4" x14ac:dyDescent="0.35">
      <c r="D145" t="s">
        <v>375</v>
      </c>
    </row>
    <row r="146" spans="2:4" x14ac:dyDescent="0.35">
      <c r="D146" t="s">
        <v>376</v>
      </c>
    </row>
    <row r="147" spans="2:4" x14ac:dyDescent="0.35">
      <c r="D147" t="s">
        <v>377</v>
      </c>
    </row>
    <row r="148" spans="2:4" x14ac:dyDescent="0.35">
      <c r="D148" t="s">
        <v>378</v>
      </c>
    </row>
    <row r="151" spans="2:4" ht="18.5" x14ac:dyDescent="0.45">
      <c r="B151" s="233" t="s">
        <v>411</v>
      </c>
    </row>
    <row r="153" spans="2:4" s="229" customFormat="1" ht="21" x14ac:dyDescent="0.5">
      <c r="B153" s="230">
        <v>23</v>
      </c>
      <c r="C153" s="230" t="s">
        <v>420</v>
      </c>
    </row>
    <row r="154" spans="2:4" x14ac:dyDescent="0.35">
      <c r="D154" t="s">
        <v>381</v>
      </c>
    </row>
    <row r="155" spans="2:4" x14ac:dyDescent="0.35">
      <c r="D155" t="s">
        <v>382</v>
      </c>
    </row>
    <row r="156" spans="2:4" x14ac:dyDescent="0.35">
      <c r="D156" t="s">
        <v>383</v>
      </c>
    </row>
    <row r="157" spans="2:4" x14ac:dyDescent="0.35">
      <c r="D157" t="s">
        <v>384</v>
      </c>
    </row>
    <row r="159" spans="2:4" s="229" customFormat="1" ht="21" x14ac:dyDescent="0.5">
      <c r="B159" s="230">
        <v>24</v>
      </c>
      <c r="C159" s="230" t="s">
        <v>418</v>
      </c>
    </row>
    <row r="160" spans="2:4" x14ac:dyDescent="0.35">
      <c r="D160" t="s">
        <v>412</v>
      </c>
    </row>
    <row r="161" spans="2:4" x14ac:dyDescent="0.35">
      <c r="D161" t="s">
        <v>413</v>
      </c>
    </row>
    <row r="162" spans="2:4" x14ac:dyDescent="0.35">
      <c r="D162" t="s">
        <v>414</v>
      </c>
    </row>
    <row r="163" spans="2:4" x14ac:dyDescent="0.35">
      <c r="D163" t="s">
        <v>415</v>
      </c>
    </row>
    <row r="165" spans="2:4" s="229" customFormat="1" ht="21" x14ac:dyDescent="0.5">
      <c r="B165" s="230">
        <v>25</v>
      </c>
      <c r="C165" s="230" t="s">
        <v>385</v>
      </c>
    </row>
    <row r="166" spans="2:4" x14ac:dyDescent="0.35">
      <c r="D166" t="s">
        <v>386</v>
      </c>
    </row>
    <row r="167" spans="2:4" x14ac:dyDescent="0.35">
      <c r="D167" t="s">
        <v>387</v>
      </c>
    </row>
    <row r="168" spans="2:4" x14ac:dyDescent="0.35">
      <c r="D168" t="s">
        <v>388</v>
      </c>
    </row>
    <row r="172" spans="2:4" ht="18.5" x14ac:dyDescent="0.45">
      <c r="B172" s="233" t="s">
        <v>416</v>
      </c>
    </row>
    <row r="174" spans="2:4" s="229" customFormat="1" ht="21" x14ac:dyDescent="0.5">
      <c r="B174" s="226">
        <v>26</v>
      </c>
      <c r="C174" s="226" t="s">
        <v>419</v>
      </c>
    </row>
    <row r="175" spans="2:4" x14ac:dyDescent="0.35">
      <c r="C175" t="s">
        <v>391</v>
      </c>
    </row>
  </sheetData>
  <mergeCells count="1">
    <mergeCell ref="D50:G52"/>
  </mergeCells>
  <pageMargins left="0.7" right="0.7" top="0.75" bottom="0.75" header="0.3" footer="0.3"/>
  <pageSetup orientation="portrait" horizontalDpi="4294967295" verticalDpi="4294967295"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KeywordTaxHTField xmlns="a1360130-ace9-4116-92dd-ec756f4e397b">
      <Terms xmlns="http://schemas.microsoft.com/office/infopath/2007/PartnerControls"/>
    </TaxKeywordTaxHTField>
    <DocDescription xmlns="a1360130-ace9-4116-92dd-ec756f4e397b">Template provides advanced features to prepare rough and ballpark estimates for a given requirement, project or RFP. It also contains sample WBS task items.</DocDescription>
    <TaxCatchAll xmlns="a1360130-ace9-4116-92dd-ec756f4e397b"/>
    <People xmlns="a1360130-ace9-4116-92dd-ec756f4e397b">
      <UserInfo>
        <DisplayName/>
        <AccountId xsi:nil="true"/>
        <AccountType/>
      </UserInfo>
    </People>
    <DocumentVersion xmlns="a1360130-ace9-4116-92dd-ec756f4e397b" xsi:nil="true"/>
    <SVNLocation xmlns="a1360130-ace9-4116-92dd-ec756f4e397b" xsi:nil="true"/>
    <Links xmlns="a1360130-ace9-4116-92dd-ec756f4e397b"/>
  </documentManagement>
</p:properties>
</file>

<file path=customXml/item3.xml><?xml version="1.0" encoding="utf-8"?>
<ct:contentTypeSchema xmlns:ct="http://schemas.microsoft.com/office/2006/metadata/contentType" xmlns:ma="http://schemas.microsoft.com/office/2006/metadata/properties/metaAttributes" ct:_="" ma:_="" ma:contentTypeName="AnS Document" ma:contentTypeID="0x01010042D37EA284E13942B467171D07EA769900DF6D81BBF89D0D4DA19794E72F57D948" ma:contentTypeVersion="19" ma:contentTypeDescription="" ma:contentTypeScope="" ma:versionID="3b6de457559cd0436ceb29123c467a76">
  <xsd:schema xmlns:xsd="http://www.w3.org/2001/XMLSchema" xmlns:xs="http://www.w3.org/2001/XMLSchema" xmlns:p="http://schemas.microsoft.com/office/2006/metadata/properties" xmlns:ns2="a1360130-ace9-4116-92dd-ec756f4e397b" xmlns:ns3="97082568-3af7-4690-b0aa-7486844aca3d" targetNamespace="http://schemas.microsoft.com/office/2006/metadata/properties" ma:root="true" ma:fieldsID="14d79c159d607aa21ba2c8d09858bf7e" ns2:_="" ns3:_="">
    <xsd:import namespace="a1360130-ace9-4116-92dd-ec756f4e397b"/>
    <xsd:import namespace="97082568-3af7-4690-b0aa-7486844aca3d"/>
    <xsd:element name="properties">
      <xsd:complexType>
        <xsd:sequence>
          <xsd:element name="documentManagement">
            <xsd:complexType>
              <xsd:all>
                <xsd:element ref="ns2:DocDescription" minOccurs="0"/>
                <xsd:element ref="ns2:People" minOccurs="0"/>
                <xsd:element ref="ns2:Links" minOccurs="0"/>
                <xsd:element ref="ns2:SVNLocation" minOccurs="0"/>
                <xsd:element ref="ns2:DocumentVersion" minOccurs="0"/>
                <xsd:element ref="ns2:TaxCatchAll" minOccurs="0"/>
                <xsd:element ref="ns2:TaxCatchAllLabel" minOccurs="0"/>
                <xsd:element ref="ns2:TaxKeywordTaxHTField"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360130-ace9-4116-92dd-ec756f4e397b" elementFormDefault="qualified">
    <xsd:import namespace="http://schemas.microsoft.com/office/2006/documentManagement/types"/>
    <xsd:import namespace="http://schemas.microsoft.com/office/infopath/2007/PartnerControls"/>
    <xsd:element name="DocDescription" ma:index="2" nillable="true" ma:displayName="Document Description" ma:internalName="DocDescription">
      <xsd:simpleType>
        <xsd:restriction base="dms:Note">
          <xsd:maxLength value="255"/>
        </xsd:restriction>
      </xsd:simpleType>
    </xsd:element>
    <xsd:element name="People" ma:index="3" nillable="true" ma:displayName="People" ma:list="UserInfo" ma:SharePointGroup="0" ma:internalName="Peopl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inks" ma:index="4" nillable="true" ma:displayName="Links" ma:list="{8ca7dfac-ece5-4247-b95a-1e5850de886b}" ma:internalName="Links" ma:showField="Title"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SVNLocation" ma:index="5" nillable="true" ma:displayName="SVNLocation" ma:internalName="SVNLocation">
      <xsd:simpleType>
        <xsd:restriction base="dms:Note">
          <xsd:maxLength value="255"/>
        </xsd:restriction>
      </xsd:simpleType>
    </xsd:element>
    <xsd:element name="DocumentVersion" ma:index="6" nillable="true" ma:displayName="DocumentVersion" ma:internalName="DocumentVersion">
      <xsd:simpleType>
        <xsd:restriction base="dms:Text">
          <xsd:maxLength value="255"/>
        </xsd:restriction>
      </xsd:simpleType>
    </xsd:element>
    <xsd:element name="TaxCatchAll" ma:index="10" nillable="true" ma:displayName="Taxonomy Catch All Column" ma:description="" ma:hidden="true" ma:list="{1b91a5dd-074b-4091-ae28-72dfdb61e466}" ma:internalName="TaxCatchAll" ma:showField="CatchAllData"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description="" ma:hidden="true" ma:list="{1b91a5dd-074b-4091-ae28-72dfdb61e466}" ma:internalName="TaxCatchAllLabel" ma:readOnly="true" ma:showField="CatchAllDataLabel"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TaxKeywordTaxHTField" ma:index="13" nillable="true" ma:taxonomy="true" ma:internalName="TaxKeywordTaxHTField" ma:taxonomyFieldName="TaxKeyword" ma:displayName="Tags" ma:fieldId="{23f27201-bee3-471e-b2e7-b64fd8b7ca38}" ma:taxonomyMulti="true" ma:sspId="e2715f63-63d5-4241-9ac6-6337b509393b"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7082568-3af7-4690-b0aa-7486844aca3d" elementFormDefault="qualified">
    <xsd:import namespace="http://schemas.microsoft.com/office/2006/documentManagement/types"/>
    <xsd:import namespace="http://schemas.microsoft.com/office/infopath/2007/PartnerControls"/>
    <xsd:element name="MediaServiceMetadata" ma:index="17" nillable="true" ma:displayName="MediaServiceMetadata" ma:hidden="true" ma:internalName="MediaServiceMetadata" ma:readOnly="true">
      <xsd:simpleType>
        <xsd:restriction base="dms:Note"/>
      </xsd:simpleType>
    </xsd:element>
    <xsd:element name="MediaServiceFastMetadata" ma:index="18"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2F824C-B5E3-4BD3-92A1-2403F6E69E71}">
  <ds:schemaRefs>
    <ds:schemaRef ds:uri="http://schemas.microsoft.com/sharepoint/v3/contenttype/forms"/>
  </ds:schemaRefs>
</ds:datastoreItem>
</file>

<file path=customXml/itemProps2.xml><?xml version="1.0" encoding="utf-8"?>
<ds:datastoreItem xmlns:ds="http://schemas.openxmlformats.org/officeDocument/2006/customXml" ds:itemID="{E55A3788-A2C5-49FE-A0B1-252591E114B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1360130-ace9-4116-92dd-ec756f4e397b"/>
    <ds:schemaRef ds:uri="http://purl.org/dc/elements/1.1/"/>
    <ds:schemaRef ds:uri="http://schemas.microsoft.com/office/2006/metadata/properties"/>
    <ds:schemaRef ds:uri="97082568-3af7-4690-b0aa-7486844aca3d"/>
    <ds:schemaRef ds:uri="http://www.w3.org/XML/1998/namespace"/>
    <ds:schemaRef ds:uri="http://purl.org/dc/dcmitype/"/>
  </ds:schemaRefs>
</ds:datastoreItem>
</file>

<file path=customXml/itemProps3.xml><?xml version="1.0" encoding="utf-8"?>
<ds:datastoreItem xmlns:ds="http://schemas.openxmlformats.org/officeDocument/2006/customXml" ds:itemID="{39EF3843-EEF4-4BA1-AA02-A0818997DD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360130-ace9-4116-92dd-ec756f4e397b"/>
    <ds:schemaRef ds:uri="97082568-3af7-4690-b0aa-7486844a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Lists</vt:lpstr>
      <vt:lpstr>Estimation</vt:lpstr>
      <vt:lpstr>Schedule</vt:lpstr>
      <vt:lpstr>RoughWork</vt:lpstr>
      <vt:lpstr>Help</vt:lpstr>
      <vt:lpstr>FAQs</vt:lpstr>
      <vt:lpstr>ACTIVITY_RANGE</vt:lpstr>
      <vt:lpstr>AS_DEV_EFFORT</vt:lpstr>
      <vt:lpstr>AS_DURATION_EFFORT</vt:lpstr>
      <vt:lpstr>AS_MANUAL_DURATION_EFFORT</vt:lpstr>
      <vt:lpstr>AUTOMATED_END_DATE</vt:lpstr>
      <vt:lpstr>BUFFER_TYPES_LIST</vt:lpstr>
      <vt:lpstr>BUFFERS_BY_TYPE</vt:lpstr>
      <vt:lpstr>CHOSEN_CURRENCY</vt:lpstr>
      <vt:lpstr>CLIENT_NAME</vt:lpstr>
      <vt:lpstr>COMPACT_WBS</vt:lpstr>
      <vt:lpstr>COPY_TYPE</vt:lpstr>
      <vt:lpstr>CURRENCIES_LIST</vt:lpstr>
      <vt:lpstr>CUSTOM_PERCENT</vt:lpstr>
      <vt:lpstr>DESIGN_COST</vt:lpstr>
      <vt:lpstr>DESIGN_EFFORT</vt:lpstr>
      <vt:lpstr>DESIGN_RANGE</vt:lpstr>
      <vt:lpstr>DESIGN_TA_COUNT</vt:lpstr>
      <vt:lpstr>DESIGN_TA_PERCENT</vt:lpstr>
      <vt:lpstr>DEV_COST</vt:lpstr>
      <vt:lpstr>DEV_DEV_COUNT</vt:lpstr>
      <vt:lpstr>DEV_DEV_PERCENT</vt:lpstr>
      <vt:lpstr>DEV_EFFORT</vt:lpstr>
      <vt:lpstr>DEV_RANGE</vt:lpstr>
      <vt:lpstr>DURATION</vt:lpstr>
      <vt:lpstr>EXTRA_FOR_H</vt:lpstr>
      <vt:lpstr>EXTRAS_ARRAY</vt:lpstr>
      <vt:lpstr>EXTRAS_LIST</vt:lpstr>
      <vt:lpstr>FBS</vt:lpstr>
      <vt:lpstr>FBS_FORMAT</vt:lpstr>
      <vt:lpstr>FBS_INSERT_AT</vt:lpstr>
      <vt:lpstr>FBS_LINK</vt:lpstr>
      <vt:lpstr>FBS_RANGE</vt:lpstr>
      <vt:lpstr>FULL_WBS</vt:lpstr>
      <vt:lpstr>INCLUDE_OPTIONALS_LIST</vt:lpstr>
      <vt:lpstr>IS_KEY_OPP</vt:lpstr>
      <vt:lpstr>LESS_FOR_L</vt:lpstr>
      <vt:lpstr>MANUAL_DURATION</vt:lpstr>
      <vt:lpstr>MANUAL_END_DATE</vt:lpstr>
      <vt:lpstr>MAX_EFFORT_PERCENT</vt:lpstr>
      <vt:lpstr>MIN_EFFORT_PERCENT</vt:lpstr>
      <vt:lpstr>MODULE_RANGE</vt:lpstr>
      <vt:lpstr>NOT_IN_COMPACT</vt:lpstr>
      <vt:lpstr>OTHER_COST</vt:lpstr>
      <vt:lpstr>OTHER_EFFORT</vt:lpstr>
      <vt:lpstr>OTHER_TL_COUNT</vt:lpstr>
      <vt:lpstr>OTHER_TL_PERCENT</vt:lpstr>
      <vt:lpstr>OTHERS_RANGE</vt:lpstr>
      <vt:lpstr>PLATFORM</vt:lpstr>
      <vt:lpstr>PLATFORMS_LIST</vt:lpstr>
      <vt:lpstr>Estimation!Print_Area</vt:lpstr>
      <vt:lpstr>PROJECT_NAME</vt:lpstr>
      <vt:lpstr>PROJECT_TYPE</vt:lpstr>
      <vt:lpstr>PROJECT_TYPES_LIST</vt:lpstr>
      <vt:lpstr>QA_COST</vt:lpstr>
      <vt:lpstr>QA_EFFORT</vt:lpstr>
      <vt:lpstr>QA_RANGE</vt:lpstr>
      <vt:lpstr>REGIONS_LIST</vt:lpstr>
      <vt:lpstr>REQ_BA_COUNT</vt:lpstr>
      <vt:lpstr>REQ_BA_PERCENT</vt:lpstr>
      <vt:lpstr>REQ_COST</vt:lpstr>
      <vt:lpstr>REQ_EFFORT</vt:lpstr>
      <vt:lpstr>REQ_RANGE</vt:lpstr>
      <vt:lpstr>RFP_NAME</vt:lpstr>
      <vt:lpstr>ROLES_LIST</vt:lpstr>
      <vt:lpstr>SALES_CALL_SCALE_ARRAY</vt:lpstr>
      <vt:lpstr>SALES_CALL_SCALE_LIST</vt:lpstr>
      <vt:lpstr>SALES_DECISION_TABLE</vt:lpstr>
      <vt:lpstr>SECTION_RANGE</vt:lpstr>
      <vt:lpstr>START_DATE</vt:lpstr>
      <vt:lpstr>TASK_RANGE</vt:lpstr>
      <vt:lpstr>TEMPLATE_NAME</vt:lpstr>
      <vt:lpstr>TEMPLATE_SECTION</vt:lpstr>
      <vt:lpstr>TEMPLATE_VER</vt:lpstr>
      <vt:lpstr>TESTING_QA_COUNT</vt:lpstr>
      <vt:lpstr>TESTING_QA_PERCENT</vt:lpstr>
      <vt:lpstr>TOTAL_COST</vt:lpstr>
      <vt:lpstr>TOTAL_EFFORT</vt:lpstr>
      <vt:lpstr>Total_FRs</vt:lpstr>
      <vt:lpstr>Total_Screens</vt:lpstr>
      <vt:lpstr>Total_Test_Cases</vt:lpstr>
      <vt:lpstr>Total_Use_Cases</vt:lpstr>
      <vt:lpstr>TOTAL_WEEKS</vt:lpstr>
      <vt:lpstr>UAT_COST</vt:lpstr>
      <vt:lpstr>UAT_DEV_COUNT</vt:lpstr>
      <vt:lpstr>UAT_DEV_PERCENT</vt:lpstr>
      <vt:lpstr>UAT_EFFORT</vt:lpstr>
      <vt:lpstr>UAT_RANGE</vt:lpstr>
      <vt:lpstr>YES_NO_LIST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Estimation Template</dc:title>
  <dc:creator>Nagarro</dc:creator>
  <cp:keywords/>
  <cp:lastModifiedBy>Sanjeet Chauhan</cp:lastModifiedBy>
  <cp:lastPrinted>2015-06-17T10:58:29Z</cp:lastPrinted>
  <dcterms:created xsi:type="dcterms:W3CDTF">2013-10-21T05:49:27Z</dcterms:created>
  <dcterms:modified xsi:type="dcterms:W3CDTF">2022-01-04T18:15:47Z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0x01010042D37EA284E13942B467171D07EA769900DF6D81BBF89D0D4DA19794E72F57D948</vt:lpwstr>
  </property>
  <property fmtid="{D5CDD505-2E9C-101B-9397-08002B2CF9AE}" pid="3" name="Description0">
    <vt:lpwstr>This is a template document (Excel Workbook) released as part of AG suggest series. This version (v2.0.4) provides advanced features to prepare rough and ballpark estimates for a given requirement, project or RFP. It also contains sample WBS task items.</vt:lpwstr>
  </property>
  <property fmtid="{D5CDD505-2E9C-101B-9397-08002B2CF9AE}" pid="4" name="TaxKeyword">
    <vt:lpwstr/>
  </property>
  <property fmtid="{D5CDD505-2E9C-101B-9397-08002B2CF9AE}" pid="5" name="DocDescription">
    <vt:lpwstr>This is a template document (Excel Workbook) released as part of AG suggest series. This version (v2.0.4) provides advanced features to prepare rough and ballpark estimates for a given requirement, project or RFP. It also contains sample WBS task items.</vt:lpwstr>
  </property>
  <property fmtid="{D5CDD505-2E9C-101B-9397-08002B2CF9AE}" pid="6" name="TaxCatchAll">
    <vt:lpwstr/>
  </property>
  <property fmtid="{D5CDD505-2E9C-101B-9397-08002B2CF9AE}" pid="7" name="SharedWithUsers">
    <vt:lpwstr>31;#Ridhi Jain;#32;#All Users (membership)</vt:lpwstr>
  </property>
</Properties>
</file>