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eet2126\Desktop\Assessment for Assc Architect\Artifacts\"/>
    </mc:Choice>
  </mc:AlternateContent>
  <xr:revisionPtr revIDLastSave="0" documentId="13_ncr:1_{8573271E-50B3-4646-A0CC-3F95210D2B0D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0420" tabRatio="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Estimation!$490:$490</definedName>
    <definedName name="AS_DEV_EFFORT">Estimation!$P$380</definedName>
    <definedName name="AS_DURATION_EFFORT">Estimation!$P$381</definedName>
    <definedName name="AS_MANUAL_DURATION_EFFORT">Estimation!$U$382</definedName>
    <definedName name="AUTOMATED_END_DATE">Estimation!$P$356</definedName>
    <definedName name="BUFFER_TYPES_LIST">Lists!$B$45:$B$48</definedName>
    <definedName name="BUFFERS_BY_TYPE">Estimation!$N$415:$O$417</definedName>
    <definedName name="CHOSEN_CURRENCY">Estimation!$O$374</definedName>
    <definedName name="CLIENT_NAME">Estimation!$O$367</definedName>
    <definedName name="COMPACT_WBS">Estimation!$L$10:$T$293</definedName>
    <definedName name="COPY_TYPE">Estimation!$R$9</definedName>
    <definedName name="CURRENCIES_LIST">Lists!$B$27:$B$29</definedName>
    <definedName name="CUSTOM_PERCENT">Estimation!$T$5</definedName>
    <definedName name="DESIGN_COST">Estimation!$W$342</definedName>
    <definedName name="DESIGN_EFFORT">Estimation!$O$342</definedName>
    <definedName name="DESIGN_RANGE">Estimation!$L$59:$AC$89</definedName>
    <definedName name="DESIGN_TA_COUNT">Estimation!$R$352</definedName>
    <definedName name="DESIGN_TA_PERCENT">Estimation!$R$342</definedName>
    <definedName name="DEV_COST">Estimation!$W$343</definedName>
    <definedName name="DEV_DEV_COUNT">Estimation!$T$353</definedName>
    <definedName name="DEV_DEV_PERCENT">Estimation!$T$343</definedName>
    <definedName name="DEV_EFFORT">Estimation!$O$343</definedName>
    <definedName name="DEV_RANGE">Estimation!$L$90:$AC$219</definedName>
    <definedName name="DURATION">Estimation!$P$357</definedName>
    <definedName name="EXTRA_FOR_H">Estimation!$O$402</definedName>
    <definedName name="EXTRAS_ARRAY">Estimation!$N$407:$O$412</definedName>
    <definedName name="EXTRAS_LIST">Estimation!$N$407:$N$412</definedName>
    <definedName name="FBS">Estimation!$L$295</definedName>
    <definedName name="FBS_FORMAT">Estimation!$S$300</definedName>
    <definedName name="FBS_INSERT_AT">Estimation!$M$330:$P$330</definedName>
    <definedName name="FBS_LINK">Estimation!$T$300</definedName>
    <definedName name="FBS_RANGE">Estimation!$M$301:$P$331</definedName>
    <definedName name="FULL_WBS">Estimation!$L$10:$AC$293</definedName>
    <definedName name="INCLUDE_OPTIONALS_LIST">Lists!$B$58:$B$59</definedName>
    <definedName name="IS_KEY_OPP">Estimation!$O$372</definedName>
    <definedName name="LESS_FOR_L">Estimation!$O$403</definedName>
    <definedName name="MANUAL_DURATION">Estimation!$P$358</definedName>
    <definedName name="MANUAL_END_DATE">Schedule!$L$1</definedName>
    <definedName name="MAX_EFFORT_PERCENT">Estimation!$P$377</definedName>
    <definedName name="MIN_EFFORT_PERCENT">Estimation!$O$377</definedName>
    <definedName name="MODULE_RANGE">Estimation!$494:$494</definedName>
    <definedName name="NOT_IN_COMPACT">Estimation!$O:$W</definedName>
    <definedName name="OTHER_COST">Estimation!$W$346</definedName>
    <definedName name="OTHER_EFFORT">Estimation!$O$346</definedName>
    <definedName name="OTHER_TL_COUNT">Estimation!$S$356</definedName>
    <definedName name="OTHER_TL_PERCENT">Estimation!$S$346</definedName>
    <definedName name="OTHERS_RANGE">Estimation!$L$286:$AC$292</definedName>
    <definedName name="PLATFORM">Estimation!$O$369</definedName>
    <definedName name="PLATFORMS_LIST">Lists!$B$38:$B$42</definedName>
    <definedName name="_xlnm.Print_Area" localSheetId="1">Estimation!$A$1:$AC$363</definedName>
    <definedName name="PROJECT_NAME">Estimation!$O$368</definedName>
    <definedName name="PROJECT_TYPE">Estimation!$O$370</definedName>
    <definedName name="PROJECT_TYPES_LIST">Lists!$B$32:$B$35</definedName>
    <definedName name="QA_COST">Estimation!$W$344</definedName>
    <definedName name="QA_EFFORT">Estimation!$O$344</definedName>
    <definedName name="QA_RANGE">Estimation!$L$220:$AC$255</definedName>
    <definedName name="REGIONS_LIST">Lists!$B$19:$B$24</definedName>
    <definedName name="REQ_BA_COUNT">Estimation!$Q$351</definedName>
    <definedName name="REQ_BA_PERCENT">Estimation!$Q$341</definedName>
    <definedName name="REQ_COST">Estimation!$W$341</definedName>
    <definedName name="REQ_EFFORT">Estimation!$O$341</definedName>
    <definedName name="REQ_RANGE">Estimation!$L$12:$AC$58</definedName>
    <definedName name="RFP_NAME">Estimation!$O$371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Estimation!$P$407:$P$408</definedName>
    <definedName name="SECTION_RANGE">Estimation!$486:$492</definedName>
    <definedName name="START_DATE">Estimation!$O$351</definedName>
    <definedName name="TASK_RANGE">Estimation!$488:$491</definedName>
    <definedName name="TEMPLATE_NAME">Estimation!$G$3</definedName>
    <definedName name="TEMPLATE_SECTION">Estimation!$485:$495</definedName>
    <definedName name="TEMPLATE_VER">Estimation!$K$3</definedName>
    <definedName name="TESTING_QA_COUNT">Estimation!$U$354</definedName>
    <definedName name="TESTING_QA_PERCENT">Estimation!$U$344</definedName>
    <definedName name="TOTAL_COST">Estimation!$W$347</definedName>
    <definedName name="TOTAL_EFFORT">Estimation!$O$347</definedName>
    <definedName name="Total_FRs">Estimation!$Q$23</definedName>
    <definedName name="Total_Screens">Estimation!$P$56</definedName>
    <definedName name="Total_Test_Cases">Estimation!$P$232</definedName>
    <definedName name="Total_Use_Cases">Estimation!$P$41</definedName>
    <definedName name="TOTAL_WEEKS">Estimation!$P$347</definedName>
    <definedName name="UAT_COST">Estimation!$W$345</definedName>
    <definedName name="UAT_DEV_COUNT">Estimation!$T$355</definedName>
    <definedName name="UAT_DEV_PERCENT">Estimation!$T$345</definedName>
    <definedName name="UAT_EFFORT">Estimation!$O$345</definedName>
    <definedName name="UAT_RANGE">Estimation!$L$256:$AC$285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53" i="2" l="1"/>
  <c r="AA253" i="2" s="1"/>
  <c r="S253" i="2" s="1"/>
  <c r="AD253" i="2" s="1"/>
  <c r="Y276" i="2" l="1"/>
  <c r="AA276" i="2" s="1"/>
  <c r="S276" i="2" s="1"/>
  <c r="AD274" i="2"/>
  <c r="Y208" i="2"/>
  <c r="AA208" i="2" s="1"/>
  <c r="S208" i="2" s="1"/>
  <c r="AD206" i="2"/>
  <c r="Y87" i="2"/>
  <c r="AA87" i="2" s="1"/>
  <c r="S87" i="2" s="1"/>
  <c r="AD87" i="2" s="1"/>
  <c r="Y86" i="2"/>
  <c r="AA86" i="2" s="1"/>
  <c r="S86" i="2" s="1"/>
  <c r="AD86" i="2" s="1"/>
  <c r="Y69" i="2"/>
  <c r="AA69" i="2" s="1"/>
  <c r="S69" i="2" s="1"/>
  <c r="AD69" i="2" s="1"/>
  <c r="Y204" i="2"/>
  <c r="AA204" i="2" s="1"/>
  <c r="S204" i="2" s="1"/>
  <c r="AD202" i="2"/>
  <c r="Y190" i="2"/>
  <c r="AA190" i="2" s="1"/>
  <c r="S190" i="2" s="1"/>
  <c r="AD190" i="2" s="1"/>
  <c r="Y200" i="2"/>
  <c r="AA200" i="2" s="1"/>
  <c r="S200" i="2" s="1"/>
  <c r="AD198" i="2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7" i="2"/>
  <c r="Y185" i="2"/>
  <c r="AA185" i="2" s="1"/>
  <c r="S185" i="2" s="1"/>
  <c r="AD183" i="2"/>
  <c r="Y181" i="2"/>
  <c r="AA181" i="2" s="1"/>
  <c r="S181" i="2" s="1"/>
  <c r="AD179" i="2"/>
  <c r="Y177" i="2"/>
  <c r="AA177" i="2" s="1"/>
  <c r="S177" i="2" s="1"/>
  <c r="AD175" i="2"/>
  <c r="Y172" i="2"/>
  <c r="AA172" i="2" s="1"/>
  <c r="S172" i="2" s="1"/>
  <c r="AD172" i="2" s="1"/>
  <c r="Y173" i="2"/>
  <c r="AA173" i="2" s="1"/>
  <c r="S173" i="2" s="1"/>
  <c r="AD173" i="2" s="1"/>
  <c r="Y171" i="2"/>
  <c r="AA171" i="2" s="1"/>
  <c r="S171" i="2" s="1"/>
  <c r="AD169" i="2"/>
  <c r="Y167" i="2"/>
  <c r="AA167" i="2" s="1"/>
  <c r="S167" i="2" s="1"/>
  <c r="AD165" i="2"/>
  <c r="Y163" i="2"/>
  <c r="AA163" i="2" s="1"/>
  <c r="S163" i="2" s="1"/>
  <c r="AD161" i="2"/>
  <c r="Y159" i="2"/>
  <c r="AA159" i="2" s="1"/>
  <c r="S159" i="2" s="1"/>
  <c r="AD159" i="2" s="1"/>
  <c r="Y158" i="2"/>
  <c r="AA158" i="2" s="1"/>
  <c r="S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0" i="2"/>
  <c r="Y148" i="2"/>
  <c r="AA148" i="2" s="1"/>
  <c r="S148" i="2" s="1"/>
  <c r="AD146" i="2"/>
  <c r="Y144" i="2"/>
  <c r="AA144" i="2" s="1"/>
  <c r="S144" i="2" s="1"/>
  <c r="AD142" i="2"/>
  <c r="Y140" i="2"/>
  <c r="AA140" i="2" s="1"/>
  <c r="S140" i="2" s="1"/>
  <c r="AD140" i="2" s="1"/>
  <c r="Y139" i="2"/>
  <c r="AA139" i="2" s="1"/>
  <c r="S139" i="2" s="1"/>
  <c r="AD137" i="2"/>
  <c r="Y135" i="2"/>
  <c r="AA135" i="2" s="1"/>
  <c r="S135" i="2" s="1"/>
  <c r="AD133" i="2"/>
  <c r="Y131" i="2"/>
  <c r="AA131" i="2" s="1"/>
  <c r="S131" i="2" s="1"/>
  <c r="AD129" i="2"/>
  <c r="Y127" i="2"/>
  <c r="AA127" i="2" s="1"/>
  <c r="S127" i="2" s="1"/>
  <c r="AD127" i="2" s="1"/>
  <c r="Y126" i="2"/>
  <c r="AA126" i="2" s="1"/>
  <c r="S126" i="2" s="1"/>
  <c r="AD124" i="2"/>
  <c r="Y122" i="2"/>
  <c r="AA122" i="2" s="1"/>
  <c r="S122" i="2" s="1"/>
  <c r="AD122" i="2" s="1"/>
  <c r="Y121" i="2"/>
  <c r="AA121" i="2" s="1"/>
  <c r="S121" i="2" s="1"/>
  <c r="AD119" i="2"/>
  <c r="Y271" i="2"/>
  <c r="AA271" i="2" s="1"/>
  <c r="S271" i="2" s="1"/>
  <c r="AD271" i="2" s="1"/>
  <c r="Y266" i="2"/>
  <c r="AA266" i="2" s="1"/>
  <c r="S266" i="2" s="1"/>
  <c r="AD266" i="2" s="1"/>
  <c r="Y260" i="2"/>
  <c r="AA260" i="2" s="1"/>
  <c r="S260" i="2" s="1"/>
  <c r="AD260" i="2" s="1"/>
  <c r="AD276" i="2" l="1"/>
  <c r="T274" i="2"/>
  <c r="AD208" i="2"/>
  <c r="T206" i="2"/>
  <c r="AD204" i="2"/>
  <c r="T202" i="2"/>
  <c r="AD200" i="2"/>
  <c r="T198" i="2"/>
  <c r="AD194" i="2"/>
  <c r="T192" i="2"/>
  <c r="AD189" i="2"/>
  <c r="T187" i="2"/>
  <c r="AD185" i="2"/>
  <c r="T183" i="2"/>
  <c r="AD181" i="2"/>
  <c r="T179" i="2"/>
  <c r="AD177" i="2"/>
  <c r="T175" i="2"/>
  <c r="AD171" i="2"/>
  <c r="T169" i="2"/>
  <c r="AD167" i="2"/>
  <c r="T165" i="2"/>
  <c r="AD163" i="2"/>
  <c r="T161" i="2"/>
  <c r="AD158" i="2"/>
  <c r="T156" i="2"/>
  <c r="AD152" i="2"/>
  <c r="T150" i="2"/>
  <c r="AD148" i="2"/>
  <c r="T146" i="2"/>
  <c r="T142" i="2"/>
  <c r="AD144" i="2"/>
  <c r="AD139" i="2"/>
  <c r="T137" i="2"/>
  <c r="AD135" i="2"/>
  <c r="T133" i="2"/>
  <c r="AD131" i="2"/>
  <c r="T129" i="2"/>
  <c r="AD126" i="2"/>
  <c r="T124" i="2"/>
  <c r="T119" i="2"/>
  <c r="AD121" i="2"/>
  <c r="Y216" i="2" l="1"/>
  <c r="AA216" i="2" s="1"/>
  <c r="S216" i="2" s="1"/>
  <c r="AD216" i="2" s="1"/>
  <c r="Y217" i="2"/>
  <c r="AA217" i="2" s="1"/>
  <c r="S217" i="2" s="1"/>
  <c r="AD217" i="2" s="1"/>
  <c r="Y215" i="2"/>
  <c r="AA215" i="2" s="1"/>
  <c r="S215" i="2" s="1"/>
  <c r="AD215" i="2" s="1"/>
  <c r="Y117" i="2" l="1"/>
  <c r="AA117" i="2" s="1"/>
  <c r="S117" i="2" s="1"/>
  <c r="AD115" i="2"/>
  <c r="Y113" i="2"/>
  <c r="AA113" i="2" s="1"/>
  <c r="S113" i="2" s="1"/>
  <c r="AD113" i="2" s="1"/>
  <c r="Y112" i="2"/>
  <c r="AA112" i="2" s="1"/>
  <c r="S112" i="2" s="1"/>
  <c r="AD112" i="2" s="1"/>
  <c r="AD117" i="2" l="1"/>
  <c r="T115" i="2"/>
  <c r="Y76" i="2"/>
  <c r="AA76" i="2" s="1"/>
  <c r="S76" i="2" s="1"/>
  <c r="AD76" i="2" s="1"/>
  <c r="Y252" i="2" l="1"/>
  <c r="AA252" i="2" s="1"/>
  <c r="S252" i="2" s="1"/>
  <c r="AD252" i="2" s="1"/>
  <c r="R250" i="2" l="1"/>
  <c r="AD228" i="2" l="1"/>
  <c r="AD222" i="2"/>
  <c r="Y225" i="2"/>
  <c r="AA225" i="2" s="1"/>
  <c r="S225" i="2" s="1"/>
  <c r="AD223" i="2"/>
  <c r="Y234" i="2"/>
  <c r="AA234" i="2" s="1"/>
  <c r="S234" i="2" s="1"/>
  <c r="AD234" i="2" s="1"/>
  <c r="Y231" i="2"/>
  <c r="AA231" i="2" s="1"/>
  <c r="S231" i="2" s="1"/>
  <c r="AD229" i="2"/>
  <c r="Y214" i="2"/>
  <c r="AA214" i="2" s="1"/>
  <c r="S214" i="2" s="1"/>
  <c r="AD214" i="2" s="1"/>
  <c r="AD210" i="2"/>
  <c r="Y213" i="2"/>
  <c r="AA213" i="2" s="1"/>
  <c r="S213" i="2" s="1"/>
  <c r="AD211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Y55" i="2" l="1"/>
  <c r="AA55" i="2" s="1"/>
  <c r="S55" i="2" s="1"/>
  <c r="AD55" i="2" s="1"/>
  <c r="Y226" i="2"/>
  <c r="AA226" i="2" s="1"/>
  <c r="S226" i="2" s="1"/>
  <c r="AD226" i="2" s="1"/>
  <c r="AD225" i="2"/>
  <c r="AD231" i="2"/>
  <c r="T211" i="2"/>
  <c r="AD213" i="2"/>
  <c r="Y41" i="2"/>
  <c r="AA41" i="2" s="1"/>
  <c r="S41" i="2" s="1"/>
  <c r="T39" i="2" s="1"/>
  <c r="AD53" i="2"/>
  <c r="T45" i="2"/>
  <c r="T33" i="2"/>
  <c r="AD35" i="2"/>
  <c r="T26" i="2"/>
  <c r="AD28" i="2"/>
  <c r="T51" i="2" l="1"/>
  <c r="Y232" i="2"/>
  <c r="AA232" i="2" s="1"/>
  <c r="S232" i="2" s="1"/>
  <c r="AD232" i="2" s="1"/>
  <c r="T223" i="2"/>
  <c r="Y233" i="2"/>
  <c r="AA233" i="2" s="1"/>
  <c r="S233" i="2" s="1"/>
  <c r="AD233" i="2" s="1"/>
  <c r="AD41" i="2"/>
  <c r="S210" i="2"/>
  <c r="T229" i="2" l="1"/>
  <c r="R339" i="2" l="1"/>
  <c r="S339" i="2"/>
  <c r="T339" i="2"/>
  <c r="U339" i="2"/>
  <c r="V339" i="2"/>
  <c r="Q339" i="2"/>
  <c r="S494" i="2"/>
  <c r="AD288" i="2" l="1"/>
  <c r="Y18" i="2" l="1"/>
  <c r="AA18" i="2" s="1"/>
  <c r="S18" i="2" s="1"/>
  <c r="AD18" i="2" s="1"/>
  <c r="Y281" i="2" l="1"/>
  <c r="AA281" i="2" s="1"/>
  <c r="S281" i="2" s="1"/>
  <c r="AD281" i="2" s="1"/>
  <c r="Y282" i="2"/>
  <c r="AA282" i="2" s="1"/>
  <c r="S282" i="2" s="1"/>
  <c r="AD282" i="2" s="1"/>
  <c r="Y283" i="2"/>
  <c r="AA283" i="2" s="1"/>
  <c r="S283" i="2" s="1"/>
  <c r="AD283" i="2" s="1"/>
  <c r="Y280" i="2"/>
  <c r="AA280" i="2" s="1"/>
  <c r="S280" i="2" s="1"/>
  <c r="AD278" i="2"/>
  <c r="Y272" i="2"/>
  <c r="AA272" i="2" s="1"/>
  <c r="S272" i="2" s="1"/>
  <c r="AD269" i="2"/>
  <c r="Y267" i="2"/>
  <c r="AA267" i="2" s="1"/>
  <c r="S267" i="2" s="1"/>
  <c r="AD264" i="2"/>
  <c r="Y262" i="2"/>
  <c r="AA262" i="2" s="1"/>
  <c r="S262" i="2" s="1"/>
  <c r="AD262" i="2" s="1"/>
  <c r="Y261" i="2"/>
  <c r="AA261" i="2" s="1"/>
  <c r="S261" i="2" s="1"/>
  <c r="AD258" i="2"/>
  <c r="Y251" i="2"/>
  <c r="AA251" i="2" s="1"/>
  <c r="S251" i="2" s="1"/>
  <c r="AD251" i="2" s="1"/>
  <c r="Y250" i="2"/>
  <c r="AA250" i="2" s="1"/>
  <c r="S250" i="2" s="1"/>
  <c r="AD248" i="2"/>
  <c r="Y245" i="2"/>
  <c r="AA245" i="2" s="1"/>
  <c r="S245" i="2" s="1"/>
  <c r="AD245" i="2" s="1"/>
  <c r="Y246" i="2"/>
  <c r="AA246" i="2" s="1"/>
  <c r="S246" i="2" s="1"/>
  <c r="AD246" i="2" s="1"/>
  <c r="Y244" i="2"/>
  <c r="AA244" i="2" s="1"/>
  <c r="S244" i="2" s="1"/>
  <c r="AD244" i="2" s="1"/>
  <c r="Y243" i="2"/>
  <c r="AA243" i="2" s="1"/>
  <c r="S243" i="2" s="1"/>
  <c r="AD241" i="2"/>
  <c r="Y239" i="2"/>
  <c r="AA239" i="2" s="1"/>
  <c r="S239" i="2" s="1"/>
  <c r="AD239" i="2" s="1"/>
  <c r="Y238" i="2"/>
  <c r="AA238" i="2" s="1"/>
  <c r="S238" i="2" s="1"/>
  <c r="AD236" i="2"/>
  <c r="Y111" i="2"/>
  <c r="AA111" i="2" s="1"/>
  <c r="S111" i="2" s="1"/>
  <c r="AD111" i="2" s="1"/>
  <c r="Y102" i="2"/>
  <c r="AA102" i="2" s="1"/>
  <c r="S102" i="2" s="1"/>
  <c r="AD102" i="2" s="1"/>
  <c r="Y103" i="2"/>
  <c r="AA103" i="2" s="1"/>
  <c r="S103" i="2" s="1"/>
  <c r="AD103" i="2" s="1"/>
  <c r="Y104" i="2"/>
  <c r="AA104" i="2" s="1"/>
  <c r="S104" i="2" s="1"/>
  <c r="AD104" i="2" s="1"/>
  <c r="Y105" i="2"/>
  <c r="AA105" i="2" s="1"/>
  <c r="S105" i="2" s="1"/>
  <c r="AD105" i="2" s="1"/>
  <c r="Y95" i="2"/>
  <c r="AA95" i="2" s="1"/>
  <c r="S95" i="2" s="1"/>
  <c r="AD95" i="2" s="1"/>
  <c r="Y96" i="2"/>
  <c r="AA96" i="2" s="1"/>
  <c r="S96" i="2" s="1"/>
  <c r="AD96" i="2" s="1"/>
  <c r="Y97" i="2"/>
  <c r="AA97" i="2" s="1"/>
  <c r="S97" i="2" s="1"/>
  <c r="AD97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85" i="2"/>
  <c r="AA85" i="2" s="1"/>
  <c r="S85" i="2" s="1"/>
  <c r="AD85" i="2" s="1"/>
  <c r="Y77" i="2"/>
  <c r="AA77" i="2" s="1"/>
  <c r="S77" i="2" s="1"/>
  <c r="AD77" i="2" s="1"/>
  <c r="Y75" i="2"/>
  <c r="AA75" i="2" s="1"/>
  <c r="S75" i="2" s="1"/>
  <c r="AD75" i="2" s="1"/>
  <c r="Y74" i="2"/>
  <c r="AA74" i="2" s="1"/>
  <c r="S74" i="2" s="1"/>
  <c r="AD74" i="2" s="1"/>
  <c r="Y64" i="2"/>
  <c r="AA64" i="2" s="1"/>
  <c r="S64" i="2" s="1"/>
  <c r="AD64" i="2" s="1"/>
  <c r="Y81" i="2"/>
  <c r="AA81" i="2" s="1"/>
  <c r="S81" i="2" s="1"/>
  <c r="AD79" i="2"/>
  <c r="Y73" i="2"/>
  <c r="AA73" i="2" s="1"/>
  <c r="S73" i="2" s="1"/>
  <c r="AD71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280" i="2" l="1"/>
  <c r="T278" i="2"/>
  <c r="AD272" i="2"/>
  <c r="AD267" i="2"/>
  <c r="AD261" i="2"/>
  <c r="T258" i="2"/>
  <c r="AD250" i="2"/>
  <c r="T248" i="2"/>
  <c r="AD243" i="2"/>
  <c r="T241" i="2"/>
  <c r="AD238" i="2"/>
  <c r="T236" i="2"/>
  <c r="AD81" i="2"/>
  <c r="T79" i="2"/>
  <c r="AD73" i="2"/>
  <c r="T71" i="2"/>
  <c r="AD68" i="2"/>
  <c r="T66" i="2"/>
  <c r="AD23" i="2"/>
  <c r="T20" i="2"/>
  <c r="S228" i="2"/>
  <c r="S222" i="2"/>
  <c r="AD107" i="2" l="1"/>
  <c r="Y101" i="2"/>
  <c r="AA101" i="2" s="1"/>
  <c r="S101" i="2" s="1"/>
  <c r="AD99" i="2"/>
  <c r="Y110" i="2"/>
  <c r="AA110" i="2" s="1"/>
  <c r="S110" i="2" s="1"/>
  <c r="AD108" i="2"/>
  <c r="Y94" i="2"/>
  <c r="AA94" i="2" s="1"/>
  <c r="S94" i="2" s="1"/>
  <c r="AD92" i="2"/>
  <c r="AD101" i="2" l="1"/>
  <c r="T99" i="2"/>
  <c r="AD110" i="2"/>
  <c r="T108" i="2"/>
  <c r="T92" i="2"/>
  <c r="AD94" i="2"/>
  <c r="S107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346" i="2"/>
  <c r="B345" i="2"/>
  <c r="B344" i="2"/>
  <c r="B343" i="2"/>
  <c r="B342" i="2"/>
  <c r="B341" i="2"/>
  <c r="AD494" i="2"/>
  <c r="AD488" i="2"/>
  <c r="L26" i="2"/>
  <c r="L27" i="2" l="1"/>
  <c r="M23" i="2"/>
  <c r="P300" i="2"/>
  <c r="L33" i="2"/>
  <c r="L34" i="2" l="1"/>
  <c r="M28" i="2"/>
  <c r="M29" i="2" s="1"/>
  <c r="M24" i="2"/>
  <c r="B2" i="6"/>
  <c r="B2" i="8"/>
  <c r="AB364" i="2"/>
  <c r="L39" i="2"/>
  <c r="M30" i="2" l="1"/>
  <c r="M31" i="2" s="1"/>
  <c r="L40" i="2"/>
  <c r="M35" i="2"/>
  <c r="Y490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358" i="2"/>
  <c r="P358" i="2"/>
  <c r="M48" i="2" l="1"/>
  <c r="M49" i="2" s="1"/>
  <c r="M53" i="2"/>
  <c r="AA490" i="2"/>
  <c r="S490" i="2" s="1"/>
  <c r="C1" i="5"/>
  <c r="N356" i="2"/>
  <c r="B11" i="5" s="1"/>
  <c r="M356" i="2"/>
  <c r="N355" i="2"/>
  <c r="B10" i="5" s="1"/>
  <c r="M355" i="2"/>
  <c r="N354" i="2"/>
  <c r="B9" i="5" s="1"/>
  <c r="M354" i="2"/>
  <c r="N353" i="2"/>
  <c r="B8" i="5" s="1"/>
  <c r="M353" i="2"/>
  <c r="N352" i="2"/>
  <c r="B7" i="5" s="1"/>
  <c r="M352" i="2"/>
  <c r="N351" i="2"/>
  <c r="B6" i="5" s="1"/>
  <c r="M351" i="2"/>
  <c r="N346" i="2"/>
  <c r="N345" i="2"/>
  <c r="N344" i="2"/>
  <c r="N343" i="2"/>
  <c r="N342" i="2"/>
  <c r="N341" i="2"/>
  <c r="M346" i="2"/>
  <c r="M345" i="2"/>
  <c r="M344" i="2"/>
  <c r="M343" i="2"/>
  <c r="M342" i="2"/>
  <c r="M341" i="2"/>
  <c r="L61" i="2"/>
  <c r="M54" i="2" l="1"/>
  <c r="M55" i="2" s="1"/>
  <c r="M56" i="2" s="1"/>
  <c r="L62" i="2"/>
  <c r="T488" i="2"/>
  <c r="AD490" i="2"/>
  <c r="L66" i="2"/>
  <c r="L67" i="2" l="1"/>
  <c r="M63" i="2"/>
  <c r="M64" i="2" s="1"/>
  <c r="AD486" i="2"/>
  <c r="L71" i="2"/>
  <c r="L72" i="2" l="1"/>
  <c r="M68" i="2"/>
  <c r="M69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9" i="2"/>
  <c r="L80" i="2" l="1"/>
  <c r="M73" i="2"/>
  <c r="M74" i="2" s="1"/>
  <c r="M75" i="2" s="1"/>
  <c r="N417" i="2"/>
  <c r="N416" i="2"/>
  <c r="N415" i="2"/>
  <c r="W339" i="2"/>
  <c r="B339" i="2" s="1"/>
  <c r="M76" i="2" l="1"/>
  <c r="M77" i="2" s="1"/>
  <c r="M81" i="2"/>
  <c r="M82" i="2" s="1"/>
  <c r="M83" i="2" s="1"/>
  <c r="M84" i="2" s="1"/>
  <c r="M85" i="2" s="1"/>
  <c r="M86" i="2" s="1"/>
  <c r="M87" i="2" s="1"/>
  <c r="M3" i="2"/>
  <c r="L92" i="2"/>
  <c r="L93" i="2" l="1"/>
  <c r="N3" i="2"/>
  <c r="M94" i="2" l="1"/>
  <c r="M95" i="2" s="1"/>
  <c r="M96" i="2" s="1"/>
  <c r="M97" i="2" s="1"/>
  <c r="S59" i="2"/>
  <c r="O342" i="2" s="1"/>
  <c r="P342" i="2" s="1"/>
  <c r="S12" i="2"/>
  <c r="O341" i="2" s="1"/>
  <c r="L99" i="2"/>
  <c r="L100" i="2" l="1"/>
  <c r="W342" i="2"/>
  <c r="P341" i="2"/>
  <c r="P351" i="2" s="1"/>
  <c r="O352" i="2" s="1"/>
  <c r="W341" i="2"/>
  <c r="M101" i="2" l="1"/>
  <c r="P352" i="2"/>
  <c r="O353" i="2" s="1"/>
  <c r="L108" i="2"/>
  <c r="M102" i="2" l="1"/>
  <c r="M103" i="2" s="1"/>
  <c r="M104" i="2" s="1"/>
  <c r="M105" i="2" s="1"/>
  <c r="L109" i="2"/>
  <c r="S486" i="2"/>
  <c r="L115" i="2"/>
  <c r="L116" i="2" l="1"/>
  <c r="M110" i="2"/>
  <c r="M111" i="2" s="1"/>
  <c r="M112" i="2" s="1"/>
  <c r="M113" i="2" s="1"/>
  <c r="S90" i="2"/>
  <c r="O343" i="2" s="1"/>
  <c r="L119" i="2"/>
  <c r="L120" i="2" l="1"/>
  <c r="M117" i="2"/>
  <c r="T269" i="2"/>
  <c r="P343" i="2"/>
  <c r="P353" i="2" s="1"/>
  <c r="O354" i="2" s="1"/>
  <c r="W343" i="2"/>
  <c r="L124" i="2"/>
  <c r="L125" i="2" l="1"/>
  <c r="M121" i="2"/>
  <c r="M122" i="2" s="1"/>
  <c r="S220" i="2"/>
  <c r="O344" i="2" s="1"/>
  <c r="T264" i="2"/>
  <c r="S256" i="2" s="1"/>
  <c r="O345" i="2" s="1"/>
  <c r="M126" i="2" l="1"/>
  <c r="M127" i="2" s="1"/>
  <c r="X290" i="2"/>
  <c r="Y290" i="2" s="1"/>
  <c r="AA290" i="2" s="1"/>
  <c r="S290" i="2" s="1"/>
  <c r="W344" i="2"/>
  <c r="P344" i="2"/>
  <c r="P354" i="2" s="1"/>
  <c r="O355" i="2" s="1"/>
  <c r="P345" i="2"/>
  <c r="W345" i="2"/>
  <c r="L129" i="2"/>
  <c r="L130" i="2" l="1"/>
  <c r="M131" i="2" s="1"/>
  <c r="AD290" i="2"/>
  <c r="T3" i="2" s="1"/>
  <c r="T288" i="2"/>
  <c r="S286" i="2" s="1"/>
  <c r="O346" i="2" s="1"/>
  <c r="P355" i="2"/>
  <c r="O356" i="2" s="1"/>
  <c r="L133" i="2"/>
  <c r="L134" i="2" l="1"/>
  <c r="M135" i="2" s="1"/>
  <c r="O347" i="2"/>
  <c r="W346" i="2"/>
  <c r="W347" i="2" s="1"/>
  <c r="P332" i="2" s="1"/>
  <c r="P346" i="2"/>
  <c r="P347" i="2" s="1"/>
  <c r="L137" i="2"/>
  <c r="L138" i="2" l="1"/>
  <c r="M139" i="2" s="1"/>
  <c r="M140" i="2" s="1"/>
  <c r="N5" i="2"/>
  <c r="P356" i="2"/>
  <c r="T357" i="2" s="1"/>
  <c r="O332" i="2"/>
  <c r="N376" i="2"/>
  <c r="S293" i="2"/>
  <c r="L142" i="2"/>
  <c r="L143" i="2" l="1"/>
  <c r="M144" i="2" s="1"/>
  <c r="P357" i="2"/>
  <c r="N6" i="2" s="1"/>
  <c r="L146" i="2"/>
  <c r="L147" i="2" l="1"/>
  <c r="M148" i="2" s="1"/>
  <c r="L150" i="2"/>
  <c r="L151" i="2" l="1"/>
  <c r="M152" i="2" s="1"/>
  <c r="M153" i="2" s="1"/>
  <c r="M154" i="2" s="1"/>
  <c r="L156" i="2"/>
  <c r="L157" i="2" l="1"/>
  <c r="L161" i="2"/>
  <c r="M158" i="2" l="1"/>
  <c r="M159" i="2" s="1"/>
  <c r="L162" i="2"/>
  <c r="M163" i="2" s="1"/>
  <c r="L165" i="2"/>
  <c r="L166" i="2" l="1"/>
  <c r="M167" i="2" s="1"/>
  <c r="L169" i="2"/>
  <c r="L170" i="2" l="1"/>
  <c r="M171" i="2" s="1"/>
  <c r="L175" i="2"/>
  <c r="L176" i="2" l="1"/>
  <c r="M177" i="2" s="1"/>
  <c r="M172" i="2"/>
  <c r="M173" i="2" s="1"/>
  <c r="L179" i="2"/>
  <c r="L180" i="2" l="1"/>
  <c r="L183" i="2"/>
  <c r="M181" i="2" l="1"/>
  <c r="L184" i="2"/>
  <c r="M185" i="2" s="1"/>
  <c r="L187" i="2"/>
  <c r="L188" i="2" l="1"/>
  <c r="M189" i="2" s="1"/>
  <c r="M190" i="2" s="1"/>
  <c r="L192" i="2"/>
  <c r="L193" i="2" l="1"/>
  <c r="M194" i="2" s="1"/>
  <c r="M195" i="2" s="1"/>
  <c r="M196" i="2" s="1"/>
  <c r="L198" i="2"/>
  <c r="L199" i="2" l="1"/>
  <c r="M200" i="2" s="1"/>
  <c r="L202" i="2"/>
  <c r="L203" i="2" l="1"/>
  <c r="L206" i="2"/>
  <c r="L207" i="2" l="1"/>
  <c r="M204" i="2"/>
  <c r="L211" i="2"/>
  <c r="L223" i="2"/>
  <c r="L212" i="2" l="1"/>
  <c r="M213" i="2" s="1"/>
  <c r="M214" i="2" s="1"/>
  <c r="M215" i="2" s="1"/>
  <c r="M216" i="2" s="1"/>
  <c r="M217" i="2" s="1"/>
  <c r="M208" i="2"/>
  <c r="L224" i="2"/>
  <c r="L229" i="2"/>
  <c r="L230" i="2" l="1"/>
  <c r="M225" i="2"/>
  <c r="M226" i="2" s="1"/>
  <c r="L236" i="2"/>
  <c r="L237" i="2" l="1"/>
  <c r="M231" i="2"/>
  <c r="M232" i="2" s="1"/>
  <c r="M233" i="2" s="1"/>
  <c r="M234" i="2" s="1"/>
  <c r="M238" i="2" l="1"/>
  <c r="M239" i="2" s="1"/>
  <c r="L241" i="2"/>
  <c r="L242" i="2" l="1"/>
  <c r="M243" i="2" s="1"/>
  <c r="M244" i="2" s="1"/>
  <c r="M245" i="2" s="1"/>
  <c r="M246" i="2" s="1"/>
  <c r="L248" i="2"/>
  <c r="L249" i="2" l="1"/>
  <c r="M250" i="2" s="1"/>
  <c r="M251" i="2" s="1"/>
  <c r="M252" i="2" s="1"/>
  <c r="M253" i="2" s="1"/>
  <c r="L488" i="2"/>
  <c r="L258" i="2"/>
  <c r="L489" i="2" l="1"/>
  <c r="M490" i="2" s="1"/>
  <c r="L259" i="2"/>
  <c r="L264" i="2"/>
  <c r="L265" i="2" l="1"/>
  <c r="M260" i="2"/>
  <c r="M261" i="2" s="1"/>
  <c r="M262" i="2" s="1"/>
  <c r="L269" i="2"/>
  <c r="L270" i="2" l="1"/>
  <c r="M266" i="2"/>
  <c r="M267" i="2" s="1"/>
  <c r="L274" i="2"/>
  <c r="L275" i="2" l="1"/>
  <c r="M271" i="2"/>
  <c r="M272" i="2" s="1"/>
  <c r="L278" i="2"/>
  <c r="L288" i="2"/>
  <c r="L289" i="2" l="1"/>
  <c r="M290" i="2" s="1"/>
  <c r="L279" i="2"/>
  <c r="M280" i="2" s="1"/>
  <c r="M281" i="2" s="1"/>
  <c r="M282" i="2" s="1"/>
  <c r="M283" i="2" s="1"/>
  <c r="M27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tc={7CCDC33E-4A20-4C04-9208-3ABAB03F06DB}</author>
    <author>tc={A26F4214-8AFF-4C7D-875A-54FC233A4694}</author>
  </authors>
  <commentList>
    <comment ref="O23" authorId="0" shapeId="0" xr:uid="{7CCDC33E-4A20-4C04-9208-3ABAB03F0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  <comment ref="X47" authorId="1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<sst xmlns="http://schemas.openxmlformats.org/spreadsheetml/2006/main" count="1619" uniqueCount="667">
  <si>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</si>
  <si>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</si>
  <si>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</si>
  <si>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</si>
  <si>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</si>
  <si>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</si>
  <si>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</si>
  <si>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</si>
  <si>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</si>
  <si>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</si>
  <si>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</si>
  <si>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</si>
  <si>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</si>
  <si>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</si>
  <si>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</si>
  <si>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</si>
  <si>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</si>
  <si>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</si>
  <si>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</si>
  <si>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</si>
  <si>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</si>
  <si>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</si>
  <si>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</si>
  <si>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</si>
  <si>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</si>
  <si>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</si>
  <si>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</si>
  <si>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</si>
  <si>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</si>
  <si>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</si>
  <si>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</si>
  <si>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</si>
  <si>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</si>
  <si>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</si>
  <si>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</si>
  <si>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</si>
  <si>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</si>
  <si>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</si>
  <si>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</si>
  <si>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</si>
  <si>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</si>
  <si>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</si>
  <si>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</si>
  <si>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</si>
  <si>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</si>
  <si>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</si>
  <si>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</si>
  <si>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</si>
  <si>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</si>
  <si>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</si>
  <si>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</si>
  <si>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</si>
  <si>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</si>
  <si>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</si>
  <si>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</si>
  <si>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</si>
  <si>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</si>
  <si>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</si>
  <si>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</si>
  <si>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</si>
  <si>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</si>
  <si>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</si>
  <si>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</si>
  <si>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</si>
  <si>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</si>
  <si>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</si>
  <si>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</si>
  <si>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</si>
  <si>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</si>
  <si>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</si>
  <si>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</si>
  <si>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</si>
  <si>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</si>
  <si>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</si>
  <si>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</si>
  <si>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</si>
  <si>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</si>
  <si>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</si>
  <si>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</si>
  <si>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</si>
  <si>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</si>
  <si>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</si>
  <si>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</si>
  <si>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</si>
  <si>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</si>
  <si>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</si>
  <si>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</si>
  <si>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</si>
  <si>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</si>
  <si>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</si>
  <si>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</si>
  <si>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</si>
  <si>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</si>
  <si>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</si>
  <si>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</si>
  <si>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</si>
  <si>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</si>
  <si>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</si>
  <si>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</si>
  <si>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</si>
  <si>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</si>
  <si>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</si>
  <si>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</si>
  <si>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</si>
  <si>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</si>
  <si>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</si>
  <si>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</si>
  <si>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</si>
  <si>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</si>
  <si>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</si>
  <si>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</si>
  <si>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</si>
  <si>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</si>
  <si>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</si>
  <si>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</si>
  <si>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</si>
  <si>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</si>
  <si>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</si>
  <si>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</si>
  <si>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</si>
  <si>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</si>
  <si>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</si>
  <si>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</si>
  <si>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</si>
  <si>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</si>
  <si>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</si>
  <si>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</si>
  <si>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</si>
  <si>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</si>
  <si>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</si>
  <si>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</si>
  <si>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</si>
  <si>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</si>
  <si>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</si>
  <si>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</si>
  <si>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</si>
  <si>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</si>
  <si>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</si>
  <si>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</si>
  <si>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</si>
  <si>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</si>
  <si>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</si>
  <si>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</si>
  <si>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</si>
  <si>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</si>
  <si>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</si>
  <si>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</si>
  <si>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</si>
  <si>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</si>
  <si>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</si>
  <si>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</si>
  <si>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</si>
  <si>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</si>
  <si>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</si>
  <si>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</si>
  <si>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</si>
  <si>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</si>
  <si>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</si>
  <si>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</si>
  <si>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</si>
  <si>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</si>
  <si>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</si>
  <si>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</si>
  <si>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</si>
  <si>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</si>
  <si>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</si>
  <si>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</si>
  <si>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</si>
  <si>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</si>
  <si>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</si>
  <si>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</si>
  <si>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</si>
  <si>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</si>
  <si>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</si>
  <si>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</si>
  <si>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</si>
  <si>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</si>
  <si>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</si>
  <si>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</si>
  <si>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</si>
  <si>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</si>
  <si>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</si>
  <si>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</si>
  <si>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</si>
  <si>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</si>
  <si>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</si>
  <si>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</si>
  <si>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</si>
  <si>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</si>
  <si>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</si>
  <si>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</si>
  <si>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</si>
  <si>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</si>
  <si>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</si>
  <si>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</si>
  <si>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</si>
  <si>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</si>
  <si>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</si>
  <si>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</si>
  <si>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</si>
  <si>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</si>
  <si>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</si>
  <si>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</si>
  <si>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</si>
  <si>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</si>
  <si>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</si>
  <si>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</si>
  <si>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</si>
  <si>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</si>
  <si>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</si>
  <si>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</si>
  <si>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</si>
  <si>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</si>
  <si>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</si>
  <si>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</si>
  <si>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</si>
  <si>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</si>
  <si>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</si>
  <si>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</si>
  <si>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</si>
  <si>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</si>
  <si>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</si>
  <si>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</si>
  <si>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</si>
  <si>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</si>
  <si>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</si>
  <si>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</si>
  <si>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</si>
  <si>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</si>
  <si>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</si>
  <si>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</si>
  <si>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</si>
  <si>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</si>
  <si>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</si>
  <si>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</si>
  <si>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</si>
  <si>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</si>
  <si>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</si>
  <si>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</si>
  <si>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</si>
  <si>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</si>
  <si>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</si>
  <si>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</si>
  <si>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</si>
  <si>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</si>
  <si>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</si>
  <si>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</si>
  <si>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</si>
  <si>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</si>
  <si>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</si>
  <si>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</si>
  <si>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</si>
  <si>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</si>
  <si>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</si>
  <si>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</si>
  <si>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</si>
  <si>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</si>
  <si>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</si>
  <si>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</si>
  <si>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</si>
  <si>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</si>
  <si>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</si>
  <si>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</si>
  <si>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</si>
  <si>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</si>
  <si>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</si>
  <si>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</si>
  <si>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</si>
  <si>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</si>
  <si>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</si>
  <si>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</si>
  <si>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</si>
  <si>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</si>
  <si>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</si>
  <si>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</si>
  <si>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</si>
  <si>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</si>
  <si>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</si>
  <si>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</si>
  <si>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</si>
  <si>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</si>
  <si>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</si>
  <si>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</si>
  <si>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</si>
  <si>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</si>
  <si>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</si>
  <si>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</si>
  <si>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</si>
  <si>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</si>
  <si>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</si>
  <si>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</si>
  <si>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</si>
  <si>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</si>
  <si>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</si>
  <si>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</si>
  <si>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</si>
  <si>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</si>
  <si>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</si>
  <si>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</si>
  <si>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</si>
  <si>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</si>
  <si>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</si>
  <si>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</si>
  <si>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</si>
  <si>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</si>
  <si>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</si>
  <si>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</si>
  <si>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</si>
  <si>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</si>
  <si>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</si>
  <si>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</si>
  <si>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</si>
  <si>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</si>
  <si>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</si>
  <si>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</si>
  <si>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</si>
  <si>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</si>
  <si>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</si>
  <si>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</si>
  <si>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</si>
  <si>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</si>
  <si>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</si>
  <si>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</si>
  <si>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</si>
  <si>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</si>
  <si>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</si>
  <si>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</si>
  <si>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</si>
  <si>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</si>
  <si>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</si>
  <si>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</si>
  <si>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</si>
  <si>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</si>
  <si>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</si>
  <si>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</si>
  <si>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</si>
  <si>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</si>
  <si>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</si>
  <si>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</si>
  <si>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</si>
  <si>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</si>
  <si>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</si>
  <si>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</si>
  <si>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</si>
  <si>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</si>
  <si>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</si>
  <si>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</si>
  <si>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</si>
  <si>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</si>
  <si>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</si>
  <si>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</si>
  <si>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</si>
  <si>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</si>
  <si>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</si>
  <si>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</si>
  <si>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</si>
  <si>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</si>
  <si>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</si>
  <si>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</si>
  <si>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</si>
  <si>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</si>
  <si>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</si>
  <si>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</si>
  <si>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</si>
  <si>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</si>
  <si>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</si>
  <si>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</si>
  <si>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</si>
  <si>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</si>
  <si>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</si>
  <si>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</si>
  <si>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</si>
  <si>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</si>
  <si>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</si>
  <si>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</si>
  <si>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</si>
  <si>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</si>
  <si>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</si>
  <si>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</si>
  <si>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</si>
  <si>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</si>
  <si>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</si>
  <si>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</si>
  <si>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</si>
  <si>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</si>
  <si>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</si>
  <si>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</si>
  <si>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</si>
  <si>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</si>
  <si>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</si>
  <si>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</si>
  <si>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</si>
  <si>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</si>
  <si>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</si>
  <si>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</si>
  <si>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</si>
  <si>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</si>
  <si>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</si>
  <si>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</si>
  <si>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</si>
  <si>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</si>
  <si>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</si>
  <si>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</si>
  <si>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</si>
  <si>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</si>
  <si>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</si>
  <si>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</si>
  <si>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</si>
  <si>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</si>
  <si>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</si>
  <si>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</si>
  <si>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</si>
  <si>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</si>
  <si>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</si>
  <si>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</si>
  <si>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</si>
  <si>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</si>
  <si>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</si>
  <si>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</si>
  <si>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</si>
  <si>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</si>
  <si>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</si>
  <si>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</si>
  <si>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</si>
  <si>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</si>
  <si>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</si>
  <si>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</si>
  <si>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</si>
  <si>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</si>
  <si>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</si>
  <si>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</si>
  <si>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</si>
  <si>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</si>
  <si>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</si>
  <si>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</si>
  <si>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</si>
  <si>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</si>
  <si>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</si>
  <si>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</si>
  <si>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</si>
  <si>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</si>
  <si>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</si>
  <si>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</si>
  <si>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</si>
  <si>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</si>
  <si>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</si>
  <si>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</si>
  <si>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</si>
  <si>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</si>
  <si>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</si>
  <si>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</si>
  <si>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</si>
  <si>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</si>
  <si>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</si>
  <si>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</si>
  <si>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</si>
  <si>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</si>
  <si>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</si>
  <si>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</si>
  <si>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</si>
  <si>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</si>
  <si>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</si>
  <si>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</si>
  <si>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</si>
  <si>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</si>
  <si>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</si>
  <si>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 xml:space="preserve">High Level Analysis and design document preparation
</t>
  </si>
  <si>
    <t xml:space="preserve">Low level analysis and design document preparation
</t>
  </si>
  <si>
    <t>Review and Sign-off
&gt;&gt; Client review iterations and sign-off on design documents</t>
  </si>
  <si>
    <t>Design Analysis and Documentation</t>
  </si>
  <si>
    <t>Integration adaptor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</si>
  <si>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</si>
  <si>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</si>
  <si>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</si>
  <si>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</si>
  <si>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</si>
  <si>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</si>
  <si>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</si>
  <si>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</si>
  <si>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</si>
  <si>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</si>
  <si>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</si>
  <si>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</si>
  <si>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</si>
  <si>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</si>
  <si>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</si>
  <si>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</si>
  <si>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</si>
  <si>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</si>
  <si>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</si>
  <si>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</si>
  <si>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</si>
  <si>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</si>
  <si>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</si>
  <si>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</si>
  <si>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</si>
  <si>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</si>
  <si>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Multi-browser testing</t>
  </si>
  <si>
    <t>System Stabilization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</si>
  <si>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</si>
  <si>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</si>
  <si>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</si>
  <si>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</si>
  <si>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</si>
  <si>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</si>
  <si>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</si>
  <si>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</si>
  <si>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</si>
  <si>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</si>
  <si>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</si>
  <si>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</si>
  <si>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</si>
  <si>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</si>
  <si>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</si>
  <si>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</si>
  <si>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</si>
  <si>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</si>
  <si>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</si>
  <si>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</si>
  <si>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</si>
  <si>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</si>
  <si>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</si>
  <si>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</si>
  <si>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</si>
  <si>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</si>
  <si>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</si>
  <si>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</si>
  <si>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</si>
  <si>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</si>
  <si>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</si>
  <si>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</si>
  <si>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</si>
  <si>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</si>
  <si>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</si>
  <si>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</si>
  <si>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</si>
  <si>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</si>
  <si>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</si>
  <si>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</si>
  <si>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</si>
  <si>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</si>
  <si>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</si>
  <si>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</si>
  <si>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</si>
  <si>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</si>
  <si>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</si>
  <si>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</si>
  <si>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</si>
  <si>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</si>
  <si>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</si>
  <si>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How much percentage of test cases you are intended to execute</t>
  </si>
  <si>
    <t>2.0.4</t>
  </si>
  <si>
    <t>Usability Testing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</si>
  <si>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</si>
  <si>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</si>
  <si>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</si>
  <si>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</si>
  <si>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</si>
  <si>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</si>
  <si>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</si>
  <si>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</si>
  <si>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</si>
  <si>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</si>
  <si>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</si>
  <si>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</si>
  <si>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>POC: 
&gt;&gt; Database sharding
&gt;&gt; AKS scaling
&gt;&gt; Hardware scaling</t>
  </si>
  <si>
    <t>Database design and analysis document preparation
&gt;&gt; class relationship
&gt;&gt; relationship constraints
&gt;&gt; fields identifications etc</t>
  </si>
  <si>
    <t xml:space="preserve">DAR 
</t>
  </si>
  <si>
    <t>Multi-layered architecture:
&gt;&gt; DAL, ORM, BLL
&gt;&gt; 
&gt;&gt; Communication design across layers through interfaces and DTOs</t>
  </si>
  <si>
    <t>X-cutting layers
&gt;&gt; Logging, Exception handling, caching, notification, etc.
&gt;&gt; Integration with Kfka server
&gt;&gt; write job to mongo db as consumer</t>
  </si>
  <si>
    <t>Security
&gt;&gt; Authentication, authorization framework
&gt;&gt; token generation
&gt;&gt; filters
&gt;&gt; profiling
&gt;&gt; revoking
&gt;&gt; token expiration configuration</t>
  </si>
  <si>
    <t>UI Navigation framework
&gt;&gt; Nodejs and npm installation
&gt;&gt; Angular cli
&gt;&gt; Shared modules
&gt;&gt; configurations
&gt;&gt; mocking framework etc</t>
  </si>
  <si>
    <t>3 micro app</t>
  </si>
  <si>
    <t>Team member X no of cycle</t>
  </si>
  <si>
    <t xml:space="preserve">Based on Total Use Cases
</t>
  </si>
  <si>
    <t>No of preseation</t>
  </si>
  <si>
    <t>3 micro applications</t>
  </si>
  <si>
    <t>Customer login</t>
  </si>
  <si>
    <t>Screen: Login
&gt;&gt; User credential</t>
  </si>
  <si>
    <t>Task: Verify user credetial
&gt;&gt; Verifying credetial</t>
  </si>
  <si>
    <t>Task: Display failure message
&gt;&gt; Display messhe in case login fails</t>
  </si>
  <si>
    <t>Task: Validate token
&gt;&gt; Validating token
&gt;&gt; Revoke in case expired
&gt;&gt; Throw 401 error</t>
  </si>
  <si>
    <t>Performance testing enviroment setup</t>
  </si>
  <si>
    <t>Script writing</t>
  </si>
  <si>
    <t>Script execution</t>
  </si>
  <si>
    <t>Report generation</t>
  </si>
  <si>
    <t>Enviroment</t>
  </si>
  <si>
    <t>Test cases</t>
  </si>
  <si>
    <t>Issue fixing</t>
  </si>
  <si>
    <t>No of report</t>
  </si>
  <si>
    <t>Reports like loading time browser wise
rendering time browser wise
query execution
With and without cache</t>
  </si>
  <si>
    <t xml:space="preserve">Test cases only around critical area </t>
  </si>
  <si>
    <t>Team members</t>
  </si>
  <si>
    <t>Mobile testing</t>
  </si>
  <si>
    <t xml:space="preserve">&gt;&gt; Azure provisioning
&gt;&gt; Kafka Setup
&gt;&gt; Kibana Setup
&gt;&gt; Radis Setup
&gt;&gt; Kubernetes Setup
</t>
  </si>
  <si>
    <t>Promotions</t>
  </si>
  <si>
    <t xml:space="preserve">Task : Promotions on customer portal
&gt;&gt; load promotions on portal
&gt;&gt; display latest in a section
</t>
  </si>
  <si>
    <t>Incident reporting</t>
  </si>
  <si>
    <t>Task : Incident report
&gt;&gt; Enter incident data
&gt;&gt; Upload images</t>
  </si>
  <si>
    <t xml:space="preserve">Task Claim initiation
&gt;&gt; Enter claim daya
&gt;&gt; Upload supportive documents
</t>
  </si>
  <si>
    <t>Policy document and status</t>
  </si>
  <si>
    <t xml:space="preserve">Task Status check
&gt;&gt; Loan claim status
</t>
  </si>
  <si>
    <t>Task Reports
&gt;&gt; Report screen and filetrs
&gt;&gt; Paginations
&gt;&gt; Downoad report</t>
  </si>
  <si>
    <t>Contact company</t>
  </si>
  <si>
    <t>Task Appointment
&gt;&gt; Open contact form and set an appointment</t>
  </si>
  <si>
    <t>Customer profile</t>
  </si>
  <si>
    <t xml:space="preserve">Task Update profile data
&gt;&gt; Opean screen to load and update data
</t>
  </si>
  <si>
    <t>Customer payment</t>
  </si>
  <si>
    <t xml:space="preserve">Task Payment
&gt;&gt; Confirm amount 
&gt;&gt; Proceed to payment
</t>
  </si>
  <si>
    <t>Task Billing reports
&gt;&gt; View reports of billing and invoice</t>
  </si>
  <si>
    <t>User login</t>
  </si>
  <si>
    <t>Partner login</t>
  </si>
  <si>
    <t>Task Login Screen
&gt;&gt; Open login screen
&gt;&gt; validate credential
&gt;&gt; Display message in case failure</t>
  </si>
  <si>
    <t>Work order</t>
  </si>
  <si>
    <t>Task work order
&gt;&gt; create work order
&gt;&gt; Upload document
&gt;&gt; Verify incident data</t>
  </si>
  <si>
    <t xml:space="preserve">Update work order </t>
  </si>
  <si>
    <t xml:space="preserve">Task Update status
&gt;&gt; Update work order status
&gt;&gt; Upload image
</t>
  </si>
  <si>
    <t xml:space="preserve">Task Query
&gt;&gt; Ask query to company
</t>
  </si>
  <si>
    <t xml:space="preserve">Task Billing
&gt;&gt; Generate bill
&gt;&gt; Send to customer and company
</t>
  </si>
  <si>
    <t>Partner reports</t>
  </si>
  <si>
    <t>Task Viewing report
&gt;&gt; Load data of report
&gt;&gt; Apply filters
&gt;&gt; Pagination</t>
  </si>
  <si>
    <t xml:space="preserve">Task Report download
&gt;&gt; Download report in excel and pdf format
</t>
  </si>
  <si>
    <t>Task Login by window user
&gt;&gt; Validate window identity
&gt;&gt; Attach a token
&gt;&gt; Revoke token in case expired</t>
  </si>
  <si>
    <t>Policy</t>
  </si>
  <si>
    <t xml:space="preserve">Task View policy and history
&gt;&gt; Open customer policy and history
</t>
  </si>
  <si>
    <t>Claims</t>
  </si>
  <si>
    <t>Task Update data
&gt;&gt; Update customer claim data
&gt;&gt; Adjust amount
&gt;&gt; Upload documents</t>
  </si>
  <si>
    <t xml:space="preserve">Task Approval sending
&gt;&gt; Send for approval
</t>
  </si>
  <si>
    <t xml:space="preserve">Task policy data
&gt;&gt; View customer policy data and history 
</t>
  </si>
  <si>
    <t xml:space="preserve">Task Open customer account
&gt;&gt; Open customer account
</t>
  </si>
  <si>
    <t>Partner account</t>
  </si>
  <si>
    <t>Customer account</t>
  </si>
  <si>
    <t xml:space="preserve">Task Open partner account
&gt;&gt; Open partner account
</t>
  </si>
  <si>
    <t>Survey</t>
  </si>
  <si>
    <t>Task Surveying
&gt;&gt; Inspect vehical
&gt;&gt; Upload images</t>
  </si>
  <si>
    <t>Reports</t>
  </si>
  <si>
    <t>Task Create/view report
&gt;&gt; View reports
&gt;&gt; Download
&gt;&gt; Pagination</t>
  </si>
  <si>
    <t>Approval and Rejection</t>
  </si>
  <si>
    <t xml:space="preserve">Task Approve
&gt;&gt; Adjust further and approve 
</t>
  </si>
  <si>
    <t xml:space="preserve">Task Reject
&gt;&gt; Reject amount
&gt;&gt; Give reason in comment </t>
  </si>
  <si>
    <t>Task Reject whole amount
&gt;&gt; Reject requested claim and raise a notification</t>
  </si>
  <si>
    <t>Payment by user</t>
  </si>
  <si>
    <t>Task Payment to partne
&gt;&gt; View invoice
&gt;&gt; View policy and T&amp;C
&gt;&gt; Pay dues</t>
  </si>
  <si>
    <t>Task Transaction reports
&gt;&gt; View transaction reports
&gt;&gt; View failed transaction detail
&gt;&gt; Print transaction report</t>
  </si>
  <si>
    <t>Messages</t>
  </si>
  <si>
    <t>Task Respond to query
&gt;&gt; Respond to customer query
&gt;&gt; Respond to partner query</t>
  </si>
  <si>
    <t>Complex business may involve</t>
  </si>
  <si>
    <t>Complex business logic may involve</t>
  </si>
  <si>
    <t>POC
&gt;&gt;Hybrid application using Angula and Ionic for mobile device
&gt;&gt; Phonegap simulater testing for mobile device</t>
  </si>
  <si>
    <t>Integration of Ionic and Angular
&gt;&gt; Intgrate angular framework with ionic</t>
  </si>
  <si>
    <t>Hybrid app will be sufficient hence VC++ not required</t>
  </si>
  <si>
    <t xml:space="preserve">Task Integrate and test
&gt;&gt; Integrate each screen with ionic
&gt;&gt; Test in phonegap simulator
</t>
  </si>
  <si>
    <t>Register app on IOS and Play store</t>
  </si>
  <si>
    <t>Task Register App
&gt;&gt; Register app on IOS App store
&gt;&gt; Register app on Android Play store</t>
  </si>
  <si>
    <t>Prepare Guide and questionaire and Interview Users 
&gt;&gt; 7-10) Users</t>
  </si>
  <si>
    <t>3 iterations</t>
  </si>
  <si>
    <t>1 member and 3 cycle</t>
  </si>
  <si>
    <t xml:space="preserve">Team member </t>
  </si>
  <si>
    <t>Styling framework
&gt;&gt; Get bootstrap
&gt;&gt; Inherit from bootstrap
&gt;&gt; Write and change application syle</t>
  </si>
  <si>
    <t>DEV and FAT/PROD like</t>
  </si>
  <si>
    <t>FAT, UAT, Prod Mirror</t>
  </si>
  <si>
    <t>Use case x Avg test case</t>
  </si>
  <si>
    <t>UAT and Prod mirror</t>
  </si>
  <si>
    <t>20% test cases considered for Performance testing</t>
  </si>
  <si>
    <t>Security testing</t>
  </si>
  <si>
    <t>3 micro application</t>
  </si>
  <si>
    <t>Approx 25% of dev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</si>
</sst>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6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0" fontId="0" fillId="6" borderId="0" xfId="0" applyFont="1" applyFill="1" applyBorder="1" applyAlignment="1" applyProtection="1">
      <alignment vertical="top"/>
    </xf>
    <xf numFmtId="0" fontId="0" fillId="6" borderId="0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left" vertical="top"/>
    </xf>
    <xf numFmtId="0" fontId="0" fillId="4" borderId="0" xfId="0" applyFont="1" applyFill="1" applyAlignment="1" applyProtection="1">
      <alignment vertical="top" wrapText="1"/>
    </xf>
    <xf numFmtId="166" fontId="0" fillId="4" borderId="0" xfId="0" applyNumberFormat="1" applyFont="1" applyFill="1" applyAlignment="1" applyProtection="1">
      <alignment vertical="top" wrapText="1"/>
    </xf>
    <xf numFmtId="166" fontId="0" fillId="4" borderId="0" xfId="0" applyNumberFormat="1" applyFont="1" applyFill="1" applyAlignment="1" applyProtection="1">
      <alignment vertical="top"/>
    </xf>
    <xf numFmtId="0" fontId="0" fillId="6" borderId="0" xfId="0" applyFont="1" applyFill="1" applyAlignment="1" applyProtection="1">
      <alignment vertical="top" wrapText="1"/>
    </xf>
    <xf numFmtId="0" fontId="0" fillId="6" borderId="0" xfId="0" applyFont="1" applyFill="1" applyAlignment="1" applyProtection="1">
      <alignment vertical="top"/>
    </xf>
    <xf numFmtId="0" fontId="80" fillId="11" borderId="0" xfId="0" applyFont="1" applyFill="1" applyBorder="1" applyAlignment="1" applyProtection="1">
      <alignment horizontal="center" vertical="top" textRotation="90"/>
    </xf>
    <xf numFmtId="0" fontId="2" fillId="6" borderId="0" xfId="0" applyFont="1" applyFill="1" applyBorder="1" applyAlignment="1" applyProtection="1">
      <alignment vertical="top"/>
    </xf>
    <xf numFmtId="0" fontId="2" fillId="6" borderId="0" xfId="0" applyFont="1" applyFill="1" applyBorder="1" applyAlignment="1" applyProtection="1">
      <alignment horizontal="center" vertical="top"/>
    </xf>
    <xf numFmtId="0" fontId="78" fillId="7" borderId="0" xfId="0" applyFont="1" applyFill="1" applyBorder="1" applyAlignment="1" applyProtection="1">
      <alignment horizontal="center" vertical="top"/>
    </xf>
    <xf numFmtId="0" fontId="2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left" vertical="top"/>
    </xf>
    <xf numFmtId="0" fontId="2" fillId="4" borderId="0" xfId="0" applyFont="1" applyFill="1" applyAlignment="1" applyProtection="1">
      <alignment vertical="top" wrapText="1"/>
    </xf>
    <xf numFmtId="166" fontId="2" fillId="4" borderId="0" xfId="0" applyNumberFormat="1" applyFont="1" applyFill="1" applyAlignment="1" applyProtection="1">
      <alignment vertical="top" wrapText="1"/>
    </xf>
    <xf numFmtId="166" fontId="2" fillId="4" borderId="0" xfId="0" applyNumberFormat="1" applyFont="1" applyFill="1" applyAlignment="1" applyProtection="1">
      <alignment vertical="top"/>
    </xf>
    <xf numFmtId="0" fontId="2" fillId="6" borderId="0" xfId="0" applyFont="1" applyFill="1" applyAlignment="1" applyProtection="1">
      <alignment vertical="top" wrapText="1"/>
    </xf>
    <xf numFmtId="0" fontId="2" fillId="6" borderId="0" xfId="0" applyFont="1" applyFill="1" applyAlignment="1" applyProtection="1">
      <alignment vertical="top"/>
    </xf>
    <xf numFmtId="0" fontId="2" fillId="9" borderId="0" xfId="0" applyFont="1" applyFill="1" applyAlignment="1" applyProtection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65" fontId="7" fillId="13" borderId="0" xfId="1" applyNumberFormat="1" applyFont="1" applyFill="1" applyAlignment="1" applyProtection="1">
      <alignment horizontal="left" vertical="center" indent="1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5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0570-4E76-9434-8A5BC1B4A7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70-4E76-9434-8A5BC1B4A7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570-4E76-9434-8A5BC1B4A7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70-4E76-9434-8A5BC1B4A7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570-4E76-9434-8A5BC1B4A7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570-4E76-9434-8A5BC1B4A7C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0570-4E76-9434-8A5BC1B4A7C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570-4E76-9434-8A5BC1B4A7C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570-4E76-9434-8A5BC1B4A7C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0570-4E76-9434-8A5BC1B4A7C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0570-4E76-9434-8A5BC1B4A7C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0570-4E76-9434-8A5BC1B4A7C5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Estimation!$L$341:$L$346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Estimation!$O$341:$O$346</c:f>
              <c:numCache>
                <c:formatCode>0</c:formatCode>
                <c:ptCount val="6"/>
                <c:pt idx="0">
                  <c:v>150</c:v>
                </c:pt>
                <c:pt idx="1">
                  <c:v>129</c:v>
                </c:pt>
                <c:pt idx="2">
                  <c:v>218</c:v>
                </c:pt>
                <c:pt idx="3">
                  <c:v>266</c:v>
                </c:pt>
                <c:pt idx="4">
                  <c:v>89</c:v>
                </c:pt>
                <c:pt idx="5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339</xdr:row>
      <xdr:rowOff>100852</xdr:rowOff>
    </xdr:from>
    <xdr:to>
      <xdr:col>26</xdr:col>
      <xdr:colOff>515471</xdr:colOff>
      <xdr:row>347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3" dT="2019-07-09T21:53:09.88" personId="{7A866C20-73AD-4A7D-ABD4-7FF91D8E3CCD}" id="{7CCDC33E-4A20-4C04-9208-3ABAB03F06DB}">
    <text>Need to clarify</text>
  </threadedComment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96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N3" sqref="N3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30" t="s">
        <v>151</v>
      </c>
      <c r="D2" s="330"/>
      <c r="E2" s="330"/>
      <c r="F2" s="330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30"/>
      <c r="D3" s="330"/>
      <c r="E3" s="330"/>
      <c r="F3" s="330"/>
      <c r="G3" s="335" t="s">
        <v>522</v>
      </c>
      <c r="H3" s="335"/>
      <c r="I3" s="335"/>
      <c r="J3" s="335"/>
      <c r="K3" s="297" t="s">
        <v>551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IF(COUNTIF(AD9:AD293, "Error:*") = 0, "", COUNTIF(AD9:AD293, "Error:*") &amp; " errors")</f>
        <v/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30"/>
      <c r="D4" s="330"/>
      <c r="E4" s="330"/>
      <c r="F4" s="330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30"/>
      <c r="D5" s="330"/>
      <c r="E5" s="330"/>
      <c r="F5" s="330"/>
      <c r="G5" s="95"/>
      <c r="H5" s="218"/>
      <c r="I5" s="218" t="s">
        <v>275</v>
      </c>
      <c r="J5" s="336">
        <v>42565</v>
      </c>
      <c r="K5" s="336"/>
      <c r="L5" s="95"/>
      <c r="M5" s="278"/>
      <c r="N5" s="98" t="str">
        <f>IF(TOTAL_EFFORT&lt;=0, "", CHOSEN_CURRENCY&amp;" "&amp;TEXT(CEILING(($W$347/1000),1),"##,##,###")&amp;" K  ●  "&amp;TEXT(TOTAL_EFFORT,"##,##,###")&amp;" PDs ("&amp;TEXT(TOTAL_WEEKS,"##,###"&amp;" Wk)"))</f>
        <v>- 211 K  ●  938 PDs (188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37" t="s">
        <v>110</v>
      </c>
      <c r="AC5" s="97"/>
      <c r="AD5" s="12"/>
    </row>
    <row r="6" spans="1:30" s="11" customFormat="1" ht="20.25" customHeight="1" x14ac:dyDescent="0.35">
      <c r="A6" s="94"/>
      <c r="B6" s="10"/>
      <c r="C6" s="330"/>
      <c r="D6" s="330"/>
      <c r="E6" s="330"/>
      <c r="F6" s="330"/>
      <c r="G6" s="95"/>
      <c r="H6" s="218"/>
      <c r="I6" s="218" t="s">
        <v>276</v>
      </c>
      <c r="J6" s="95" t="s">
        <v>523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86 Wk  (21.5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37"/>
      <c r="AC6" s="97"/>
      <c r="AD6" s="12"/>
    </row>
    <row r="7" spans="1:30" s="11" customFormat="1" ht="4.5" customHeight="1" x14ac:dyDescent="0.35">
      <c r="A7" s="94"/>
      <c r="B7" s="10"/>
      <c r="C7" s="330"/>
      <c r="D7" s="330"/>
      <c r="E7" s="330"/>
      <c r="F7" s="330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30"/>
      <c r="D8" s="330"/>
      <c r="E8" s="330"/>
      <c r="F8" s="330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30"/>
      <c r="D9" s="330"/>
      <c r="E9" s="330"/>
      <c r="F9" s="330"/>
      <c r="G9" s="332" t="s">
        <v>131</v>
      </c>
      <c r="H9" s="332"/>
      <c r="I9" s="332"/>
      <c r="J9" s="332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31" t="s">
        <v>109</v>
      </c>
      <c r="D10" s="331"/>
      <c r="E10" s="331"/>
      <c r="F10" s="331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38" t="s">
        <v>57</v>
      </c>
      <c r="Q10" s="339"/>
      <c r="R10" s="340"/>
      <c r="S10" s="41"/>
      <c r="T10" s="250"/>
      <c r="U10" s="338" t="s">
        <v>58</v>
      </c>
      <c r="V10" s="339"/>
      <c r="W10" s="340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31" t="s">
        <v>152</v>
      </c>
      <c r="D11" s="331"/>
      <c r="E11" s="331"/>
      <c r="F11" s="331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54" t="s">
        <v>59</v>
      </c>
      <c r="T11" s="355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x14ac:dyDescent="0.35">
      <c r="A12" s="93" t="s">
        <v>98</v>
      </c>
      <c r="B12" s="14"/>
      <c r="C12" s="333" t="s">
        <v>150</v>
      </c>
      <c r="D12" s="334"/>
      <c r="E12" s="334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27">
        <f>CEILING(SUMIF(J13:J58, "&lt;&gt;Yes", T13:T58),1)</f>
        <v>150</v>
      </c>
      <c r="T12" s="327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outlineLevel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26" t="s">
        <v>454</v>
      </c>
      <c r="N14" s="326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17.25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513</v>
      </c>
      <c r="L16" s="22"/>
      <c r="M16" s="286" t="str">
        <f ca="1">IFERROR(OFFSET(M16,-1,,1,1)+0.1,OFFSET(M16,-1,-1,1,1)&amp;".1")</f>
        <v>1.1</v>
      </c>
      <c r="N16" s="23" t="s">
        <v>555</v>
      </c>
      <c r="O16" s="23"/>
      <c r="P16" s="23" t="s">
        <v>573</v>
      </c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556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525</v>
      </c>
      <c r="O17" s="23"/>
      <c r="P17" s="23" t="s">
        <v>573</v>
      </c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70"/>
      <c r="U17" s="24">
        <v>0</v>
      </c>
      <c r="V17" s="24">
        <v>1</v>
      </c>
      <c r="W17" s="24">
        <v>0</v>
      </c>
      <c r="X17" s="168">
        <v>0.5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25"/>
      <c r="AA17" s="169">
        <f>Y17+Y17*VLOOKUP(I17,EXTRAS_ARRAY,2,FALSE)</f>
        <v>4</v>
      </c>
      <c r="AB17" s="23" t="s">
        <v>557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530</v>
      </c>
      <c r="O18" s="23"/>
      <c r="P18" s="23" t="s">
        <v>574</v>
      </c>
      <c r="Q18" s="144">
        <v>50</v>
      </c>
      <c r="R18" s="137">
        <v>1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10.25</v>
      </c>
      <c r="T18" s="170"/>
      <c r="U18" s="24">
        <v>0.2</v>
      </c>
      <c r="V18" s="24">
        <v>0.5</v>
      </c>
      <c r="W18" s="24">
        <v>0.3</v>
      </c>
      <c r="X18" s="168">
        <v>0.2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10.25</v>
      </c>
      <c r="Z18" s="25"/>
      <c r="AA18" s="169">
        <f>Y18+Y18*VLOOKUP(I18,EXTRAS_ARRAY,2,FALSE)</f>
        <v>10.25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outlineLevel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26" t="s">
        <v>455</v>
      </c>
      <c r="N20" s="326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20.75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531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558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456</v>
      </c>
      <c r="O23" s="23" t="s">
        <v>515</v>
      </c>
      <c r="P23" s="23"/>
      <c r="Q23" s="144">
        <v>15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15</v>
      </c>
      <c r="T23" s="170"/>
      <c r="U23" s="24">
        <v>0</v>
      </c>
      <c r="V23" s="24">
        <v>1</v>
      </c>
      <c r="W23" s="24">
        <v>0</v>
      </c>
      <c r="X23" s="168">
        <v>1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15</v>
      </c>
      <c r="Z23" s="25"/>
      <c r="AA23" s="169">
        <f>Y23+Y23*VLOOKUP(I23,EXTRAS_ARRAY,2,FALSE)</f>
        <v>15</v>
      </c>
      <c r="AB23" s="23" t="s">
        <v>559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514</v>
      </c>
      <c r="L24" s="22"/>
      <c r="M24" s="286">
        <f ca="1">IFERROR(OFFSET(M24,-1,,1,1)+0.1,OFFSET(M24,-1,-1,1,1)&amp;".1")</f>
        <v>2.3000000000000003</v>
      </c>
      <c r="N24" s="23" t="s">
        <v>457</v>
      </c>
      <c r="O24" s="23"/>
      <c r="P24" s="23" t="s">
        <v>573</v>
      </c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560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outlineLevel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26" t="s">
        <v>524</v>
      </c>
      <c r="N26" s="326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17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654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3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562</v>
      </c>
      <c r="O29" s="23" t="s">
        <v>533</v>
      </c>
      <c r="P29" s="23"/>
      <c r="Q29" s="144"/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3</v>
      </c>
      <c r="T29" s="170"/>
      <c r="U29" s="24">
        <v>0</v>
      </c>
      <c r="V29" s="24">
        <v>1</v>
      </c>
      <c r="W29" s="24">
        <v>0</v>
      </c>
      <c r="X29" s="168">
        <v>3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3</v>
      </c>
      <c r="Z29" s="25"/>
      <c r="AA29" s="169">
        <f>Y29+Y29*VLOOKUP(I29,EXTRAS_ARRAY,2,FALSE)</f>
        <v>3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561</v>
      </c>
      <c r="O30" s="23" t="s">
        <v>533</v>
      </c>
      <c r="P30" s="23"/>
      <c r="Q30" s="144"/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9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532</v>
      </c>
      <c r="O31" s="23"/>
      <c r="P31" s="23"/>
      <c r="Q31" s="144"/>
      <c r="R31" s="137">
        <v>2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2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outlineLevel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26" t="s">
        <v>526</v>
      </c>
      <c r="N33" s="326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9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563</v>
      </c>
      <c r="O35" s="23" t="s">
        <v>533</v>
      </c>
      <c r="P35" s="23"/>
      <c r="Q35" s="144"/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5</v>
      </c>
      <c r="T35" s="170"/>
      <c r="U35" s="24">
        <v>0</v>
      </c>
      <c r="V35" s="24">
        <v>1</v>
      </c>
      <c r="W35" s="24">
        <v>0</v>
      </c>
      <c r="X35" s="168">
        <v>5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5</v>
      </c>
      <c r="Z35" s="25"/>
      <c r="AA35" s="169">
        <f>Y35+Y35*VLOOKUP(I35,EXTRAS_ARRAY,2,FALSE)</f>
        <v>5</v>
      </c>
      <c r="AB35" s="23" t="s">
        <v>564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534</v>
      </c>
      <c r="O36" s="23" t="s">
        <v>533</v>
      </c>
      <c r="P36" s="23"/>
      <c r="Q36" s="144"/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2</v>
      </c>
      <c r="T36" s="170"/>
      <c r="U36" s="24">
        <v>0</v>
      </c>
      <c r="V36" s="24">
        <v>1</v>
      </c>
      <c r="W36" s="24">
        <v>0</v>
      </c>
      <c r="X36" s="168">
        <v>2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2</v>
      </c>
      <c r="Z36" s="25"/>
      <c r="AA36" s="169">
        <f>Y36+Y36*VLOOKUP(I36,EXTRAS_ARRAY,2,FALSE)</f>
        <v>2</v>
      </c>
      <c r="AB36" s="23" t="s">
        <v>564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9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535</v>
      </c>
      <c r="O37" s="23"/>
      <c r="P37" s="23" t="s">
        <v>575</v>
      </c>
      <c r="Q37" s="144"/>
      <c r="R37" s="137">
        <v>2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</v>
      </c>
      <c r="T37" s="170"/>
      <c r="U37" s="24">
        <v>0</v>
      </c>
      <c r="V37" s="24">
        <v>1</v>
      </c>
      <c r="W37" s="24">
        <v>0</v>
      </c>
      <c r="X37" s="168">
        <v>2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</v>
      </c>
      <c r="Z37" s="25"/>
      <c r="AA37" s="169">
        <f>Y37+Y37*VLOOKUP(I37,EXTRAS_ARRAY,2,FALSE)</f>
        <v>2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outlineLevel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326" t="s">
        <v>527</v>
      </c>
      <c r="N39" s="326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33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458</v>
      </c>
      <c r="O41" s="23" t="s">
        <v>516</v>
      </c>
      <c r="P41" s="23"/>
      <c r="Q41" s="144">
        <v>22</v>
      </c>
      <c r="R41" s="137">
        <v>50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22.75</v>
      </c>
      <c r="T41" s="170"/>
      <c r="U41" s="24">
        <v>0.2</v>
      </c>
      <c r="V41" s="24">
        <v>0.5</v>
      </c>
      <c r="W41" s="24">
        <v>0.3</v>
      </c>
      <c r="X41" s="168">
        <v>0.02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22.75</v>
      </c>
      <c r="Z41" s="25"/>
      <c r="AA41" s="169">
        <f>Y41+Y41*VLOOKUP(I41,EXTRAS_ARRAY,2,FALSE)</f>
        <v>22.75</v>
      </c>
      <c r="AB41" s="23"/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459</v>
      </c>
      <c r="O42" s="23"/>
      <c r="P42" s="23" t="s">
        <v>573</v>
      </c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/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460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outlineLevel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326" t="s">
        <v>528</v>
      </c>
      <c r="N45" s="326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18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536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537</v>
      </c>
      <c r="O48" s="23"/>
      <c r="P48" s="23" t="s">
        <v>655</v>
      </c>
      <c r="Q48" s="144"/>
      <c r="R48" s="137">
        <v>3</v>
      </c>
      <c r="S48" s="169">
        <f t="shared" si="1"/>
        <v>15</v>
      </c>
      <c r="T48" s="170"/>
      <c r="U48" s="24">
        <v>0</v>
      </c>
      <c r="V48" s="24">
        <v>1</v>
      </c>
      <c r="W48" s="24">
        <v>0</v>
      </c>
      <c r="X48" s="168">
        <v>15</v>
      </c>
      <c r="Y48" s="169">
        <f t="shared" si="2"/>
        <v>15</v>
      </c>
      <c r="Z48" s="25"/>
      <c r="AA48" s="169">
        <f t="shared" si="3"/>
        <v>15</v>
      </c>
      <c r="AB48" s="23"/>
      <c r="AC48" s="37"/>
      <c r="AD48" s="26" t="str">
        <f t="shared" si="4"/>
        <v/>
      </c>
    </row>
    <row r="49" spans="1:30" ht="43.5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538</v>
      </c>
      <c r="O49" s="23"/>
      <c r="P49" s="23"/>
      <c r="Q49" s="144"/>
      <c r="R49" s="137"/>
      <c r="S49" s="169">
        <f t="shared" si="1"/>
        <v>2</v>
      </c>
      <c r="T49" s="170"/>
      <c r="U49" s="24">
        <v>0</v>
      </c>
      <c r="V49" s="24">
        <v>1</v>
      </c>
      <c r="W49" s="24">
        <v>0</v>
      </c>
      <c r="X49" s="168">
        <v>2</v>
      </c>
      <c r="Y49" s="169">
        <f t="shared" si="2"/>
        <v>2</v>
      </c>
      <c r="Z49" s="25"/>
      <c r="AA49" s="169">
        <f t="shared" si="3"/>
        <v>2</v>
      </c>
      <c r="AB49" s="23"/>
      <c r="AC49" s="37"/>
      <c r="AD49" s="26" t="str">
        <f t="shared" si="4"/>
        <v/>
      </c>
    </row>
    <row r="50" spans="1:30" s="11" customFormat="1" ht="7.5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outlineLevel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326" t="s">
        <v>529</v>
      </c>
      <c r="N51" s="326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34.5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539</v>
      </c>
      <c r="O53" s="23" t="s">
        <v>125</v>
      </c>
      <c r="P53" s="23"/>
      <c r="Q53" s="144"/>
      <c r="R53" s="137"/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5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656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540</v>
      </c>
      <c r="O54" s="23" t="s">
        <v>125</v>
      </c>
      <c r="P54" s="23"/>
      <c r="Q54" s="144"/>
      <c r="R54" s="137"/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25</v>
      </c>
      <c r="T54" s="170"/>
      <c r="U54" s="24">
        <v>0</v>
      </c>
      <c r="V54" s="24">
        <v>1</v>
      </c>
      <c r="W54" s="24">
        <v>0</v>
      </c>
      <c r="X54" s="168">
        <v>25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25</v>
      </c>
      <c r="Z54" s="25"/>
      <c r="AA54" s="169">
        <f>Y54+Y54*VLOOKUP(I54,EXTRAS_ARRAY,2,FALSE)</f>
        <v>25</v>
      </c>
      <c r="AB54" s="23" t="s">
        <v>656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29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552</v>
      </c>
      <c r="O55" s="23" t="s">
        <v>553</v>
      </c>
      <c r="P55" s="274">
        <v>0.02</v>
      </c>
      <c r="Q55" s="144"/>
      <c r="R55" s="137"/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2.5</v>
      </c>
      <c r="T55" s="170"/>
      <c r="U55" s="24">
        <v>0</v>
      </c>
      <c r="V55" s="24">
        <v>1</v>
      </c>
      <c r="W55" s="24">
        <v>0</v>
      </c>
      <c r="X55" s="168">
        <v>2.5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2.5</v>
      </c>
      <c r="Z55" s="25"/>
      <c r="AA55" s="169">
        <f>Y55+Y55*VLOOKUP(I55,EXTRAS_ARRAY,2,FALSE)</f>
        <v>2.5</v>
      </c>
      <c r="AB55" s="23" t="s">
        <v>554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541</v>
      </c>
      <c r="O56" s="23" t="s">
        <v>517</v>
      </c>
      <c r="P56" s="23"/>
      <c r="Q56" s="144"/>
      <c r="R56" s="137"/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2</v>
      </c>
      <c r="T56" s="170"/>
      <c r="U56" s="24">
        <v>0</v>
      </c>
      <c r="V56" s="24">
        <v>1</v>
      </c>
      <c r="W56" s="24">
        <v>0</v>
      </c>
      <c r="X56" s="168">
        <v>2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2</v>
      </c>
      <c r="Z56" s="25"/>
      <c r="AA56" s="169">
        <f>Y56+Y56*VLOOKUP(I56,EXTRAS_ARRAY,2,FALSE)</f>
        <v>2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327">
        <f>CEILING(SUMIF(J60:J89, "&lt;&gt;Yes", T60:T89),1)</f>
        <v>129</v>
      </c>
      <c r="T59" s="327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outlineLevel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326" t="s">
        <v>454</v>
      </c>
      <c r="N61" s="326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8.5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15.5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464</v>
      </c>
      <c r="O63" s="23"/>
      <c r="P63" s="23" t="s">
        <v>657</v>
      </c>
      <c r="Q63" s="144">
        <v>2</v>
      </c>
      <c r="R63" s="137"/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5</v>
      </c>
      <c r="T63" s="170"/>
      <c r="U63" s="24">
        <v>0.2</v>
      </c>
      <c r="V63" s="24">
        <v>0.5</v>
      </c>
      <c r="W63" s="24">
        <v>0.3</v>
      </c>
      <c r="X63" s="168">
        <v>2.4</v>
      </c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5</v>
      </c>
      <c r="Z63" s="25"/>
      <c r="AA63" s="169">
        <f>Y63+Y63*VLOOKUP(I63,EXTRAS_ARRAY,2,FALSE)</f>
        <v>5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/>
      </c>
    </row>
    <row r="64" spans="1:30" ht="15.5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465</v>
      </c>
      <c r="O64" s="23"/>
      <c r="P64" s="23" t="s">
        <v>657</v>
      </c>
      <c r="Q64" s="144">
        <v>2</v>
      </c>
      <c r="R64" s="137"/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3.5</v>
      </c>
      <c r="T64" s="170"/>
      <c r="U64" s="24">
        <v>0.2</v>
      </c>
      <c r="V64" s="24">
        <v>0.5</v>
      </c>
      <c r="W64" s="24">
        <v>0.3</v>
      </c>
      <c r="X64" s="168">
        <v>1.6</v>
      </c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3.5</v>
      </c>
      <c r="Z64" s="25"/>
      <c r="AA64" s="169">
        <f>Y64+Y64*VLOOKUP(I64,EXTRAS_ARRAY,2,FALSE)</f>
        <v>3.5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/>
      </c>
    </row>
    <row r="65" spans="1:30" s="11" customFormat="1" ht="7.5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outlineLevel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326" t="s">
        <v>461</v>
      </c>
      <c r="N66" s="326"/>
      <c r="O66" s="5"/>
      <c r="P66" s="33"/>
      <c r="Q66" s="33"/>
      <c r="R66" s="33"/>
      <c r="S66" s="33"/>
      <c r="T66" s="167">
        <f>IF($S$6="Exclude", SUMIFS(S67:S70, J67:J70, "&lt;&gt;Yes", G67:G70, "&lt;&gt;Yes"), SUMIFS(S67:S70, J67:J70, "&lt;&gt;Yes"))</f>
        <v>13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58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565</v>
      </c>
      <c r="O68" s="23"/>
      <c r="P68" s="23" t="s">
        <v>573</v>
      </c>
      <c r="Q68" s="144">
        <v>2</v>
      </c>
      <c r="R68" s="137">
        <v>1</v>
      </c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10</v>
      </c>
      <c r="T68" s="170"/>
      <c r="U68" s="24">
        <v>0.3</v>
      </c>
      <c r="V68" s="24">
        <v>0.5</v>
      </c>
      <c r="W68" s="24">
        <v>0.2</v>
      </c>
      <c r="X68" s="168">
        <v>4.5</v>
      </c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10</v>
      </c>
      <c r="Z68" s="25"/>
      <c r="AA68" s="169">
        <f>Y68+Y68*VLOOKUP(I68,EXTRAS_ARRAY,2,FALSE)</f>
        <v>10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58" outlineLevel="2" x14ac:dyDescent="0.35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>
        <f ca="1">IFERROR(OFFSET(M69,-1,,1,1)+0.1,OFFSET(M69,-1,-1,1,1)&amp;".1")</f>
        <v>2.2000000000000002</v>
      </c>
      <c r="N69" s="23" t="s">
        <v>648</v>
      </c>
      <c r="O69" s="23"/>
      <c r="P69" s="23"/>
      <c r="Q69" s="144">
        <v>1</v>
      </c>
      <c r="R69" s="137">
        <v>1</v>
      </c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3</v>
      </c>
      <c r="T69" s="170"/>
      <c r="U69" s="24">
        <v>0</v>
      </c>
      <c r="V69" s="24">
        <v>1</v>
      </c>
      <c r="W69" s="24">
        <v>0</v>
      </c>
      <c r="X69" s="168">
        <v>3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3</v>
      </c>
      <c r="Z69" s="25"/>
      <c r="AA69" s="169">
        <f>Y69+Y69*VLOOKUP(I69,EXTRAS_ARRAY,2,FALSE)</f>
        <v>3</v>
      </c>
      <c r="AB69" s="23"/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11" customFormat="1" ht="7.5" customHeight="1" outlineLevel="2" x14ac:dyDescent="0.35">
      <c r="A70" s="93" t="s">
        <v>132</v>
      </c>
      <c r="B70" s="18"/>
      <c r="C70" s="78"/>
      <c r="D70" s="78"/>
      <c r="E70" s="78"/>
      <c r="F70" s="78"/>
      <c r="G70" s="10"/>
      <c r="H70" s="10"/>
      <c r="I70" s="10"/>
      <c r="J70" s="10"/>
      <c r="K70" s="10"/>
      <c r="L70" s="10"/>
      <c r="M70" s="287"/>
      <c r="N70" s="10"/>
      <c r="O70" s="10"/>
      <c r="P70" s="10"/>
      <c r="Q70" s="10"/>
      <c r="R70" s="10"/>
      <c r="S70" s="10"/>
      <c r="T70" s="18"/>
      <c r="U70" s="10"/>
      <c r="V70" s="10"/>
      <c r="W70" s="10"/>
      <c r="X70" s="18"/>
      <c r="Y70" s="10"/>
      <c r="Z70" s="10"/>
      <c r="AA70" s="10"/>
      <c r="AB70" s="60"/>
      <c r="AC70" s="60"/>
      <c r="AD70" s="12"/>
    </row>
    <row r="71" spans="1:30" s="17" customFormat="1" ht="15.5" outlineLevel="1" x14ac:dyDescent="0.35">
      <c r="A71" s="93" t="s">
        <v>100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20">
        <f ca="1">LOOKUP(1000,INDIRECT("L1:"&amp;CELL("address",INDIRECT("R[-1]C",FALSE))))+1</f>
        <v>3</v>
      </c>
      <c r="M71" s="326" t="s">
        <v>469</v>
      </c>
      <c r="N71" s="326"/>
      <c r="O71" s="5"/>
      <c r="P71" s="33"/>
      <c r="Q71" s="33"/>
      <c r="R71" s="33"/>
      <c r="S71" s="33"/>
      <c r="T71" s="167">
        <f>IF($S$6="Exclude", SUMIFS(S72:S78, J72:J78, "&lt;&gt;Yes", G72:G78, "&lt;&gt;Yes"), SUMIFS(S72:S78, J72:J78, "&lt;&gt;Yes"))</f>
        <v>46.75</v>
      </c>
      <c r="U71" s="33"/>
      <c r="V71" s="33"/>
      <c r="W71" s="33"/>
      <c r="X71" s="34"/>
      <c r="Y71" s="35"/>
      <c r="Z71" s="35"/>
      <c r="AA71" s="35"/>
      <c r="AB71" s="240"/>
      <c r="AC71" s="36"/>
      <c r="AD71" s="26" t="str">
        <f>IF(M71="", "Error: Task name cannot be empty.", "")</f>
        <v/>
      </c>
    </row>
    <row r="72" spans="1:30" s="15" customFormat="1" ht="1.5" customHeight="1" outlineLevel="2" x14ac:dyDescent="0.35">
      <c r="A72" s="93" t="s">
        <v>101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175">
        <f ca="1">L71</f>
        <v>3</v>
      </c>
      <c r="M72" s="176" t="s">
        <v>105</v>
      </c>
      <c r="N72" s="173"/>
      <c r="O72" s="174"/>
      <c r="P72" s="33"/>
      <c r="Q72" s="33"/>
      <c r="R72" s="33"/>
      <c r="S72" s="33"/>
      <c r="T72" s="167"/>
      <c r="U72" s="33"/>
      <c r="V72" s="33"/>
      <c r="W72" s="33"/>
      <c r="X72" s="34"/>
      <c r="Y72" s="35"/>
      <c r="Z72" s="35"/>
      <c r="AA72" s="35"/>
      <c r="AB72" s="36"/>
      <c r="AC72" s="36"/>
      <c r="AD72" s="26"/>
    </row>
    <row r="73" spans="1:30" ht="43.5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 t="str">
        <f ca="1">IFERROR(OFFSET(M73,-1,,1,1)+0.1,OFFSET(M73,-1,-1,1,1)&amp;".1")</f>
        <v>3.1</v>
      </c>
      <c r="N73" s="23" t="s">
        <v>466</v>
      </c>
      <c r="O73" s="23"/>
      <c r="P73" s="23" t="s">
        <v>573</v>
      </c>
      <c r="Q73" s="144">
        <v>2</v>
      </c>
      <c r="R73" s="137">
        <v>2</v>
      </c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70"/>
      <c r="U73" s="24">
        <v>0</v>
      </c>
      <c r="V73" s="24">
        <v>1</v>
      </c>
      <c r="W73" s="24">
        <v>0</v>
      </c>
      <c r="X73" s="168">
        <v>2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5"/>
      <c r="AA73" s="169">
        <f>Y73+Y73*VLOOKUP(I73,EXTRAS_ARRAY,2,FALSE)</f>
        <v>8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43.5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3.2</v>
      </c>
      <c r="N74" s="23" t="s">
        <v>467</v>
      </c>
      <c r="O74" s="23"/>
      <c r="P74" s="23" t="s">
        <v>573</v>
      </c>
      <c r="Q74" s="144">
        <v>3</v>
      </c>
      <c r="R74" s="137">
        <v>2</v>
      </c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18.5</v>
      </c>
      <c r="T74" s="170"/>
      <c r="U74" s="24">
        <v>0.2</v>
      </c>
      <c r="V74" s="24">
        <v>0.5</v>
      </c>
      <c r="W74" s="24">
        <v>0.3</v>
      </c>
      <c r="X74" s="168">
        <v>3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18.5</v>
      </c>
      <c r="Z74" s="25"/>
      <c r="AA74" s="169">
        <f>Y74+Y74*VLOOKUP(I74,EXTRAS_ARRAY,2,FALSE)</f>
        <v>18.5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72.5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3.3000000000000003</v>
      </c>
      <c r="N75" s="23" t="s">
        <v>566</v>
      </c>
      <c r="O75" s="23"/>
      <c r="P75" s="23" t="s">
        <v>573</v>
      </c>
      <c r="Q75" s="144">
        <v>2</v>
      </c>
      <c r="R75" s="137">
        <v>2</v>
      </c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10.25</v>
      </c>
      <c r="T75" s="170"/>
      <c r="U75" s="24">
        <v>0.2</v>
      </c>
      <c r="V75" s="24">
        <v>0.5</v>
      </c>
      <c r="W75" s="24">
        <v>0.3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10.25</v>
      </c>
      <c r="Z75" s="25"/>
      <c r="AA75" s="169">
        <f>Y75+Y75*VLOOKUP(I75,EXTRAS_ARRAY,2,FALSE)</f>
        <v>10.25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29" outlineLevel="2" x14ac:dyDescent="0.35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3.4000000000000004</v>
      </c>
      <c r="N76" s="23" t="s">
        <v>567</v>
      </c>
      <c r="O76" s="23"/>
      <c r="P76" s="23" t="s">
        <v>573</v>
      </c>
      <c r="Q76" s="144">
        <v>2</v>
      </c>
      <c r="R76" s="137">
        <v>1</v>
      </c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5</v>
      </c>
      <c r="T76" s="170"/>
      <c r="U76" s="24">
        <v>0</v>
      </c>
      <c r="V76" s="24">
        <v>1</v>
      </c>
      <c r="W76" s="24">
        <v>0</v>
      </c>
      <c r="X76" s="168">
        <v>2.5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5</v>
      </c>
      <c r="Z76" s="25"/>
      <c r="AA76" s="169">
        <f>Y76+Y76*VLOOKUP(I76,EXTRAS_ARRAY,2,FALSE)</f>
        <v>5</v>
      </c>
      <c r="AB76" s="23"/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ht="43.5" outlineLevel="2" x14ac:dyDescent="0.35">
      <c r="A77" s="93" t="s">
        <v>0</v>
      </c>
      <c r="B77" s="21"/>
      <c r="C77" s="85"/>
      <c r="D77" s="85"/>
      <c r="E77" s="85"/>
      <c r="F77" s="86"/>
      <c r="G77" s="22" t="s">
        <v>23</v>
      </c>
      <c r="H77" s="22" t="s">
        <v>23</v>
      </c>
      <c r="I77" s="23" t="s">
        <v>23</v>
      </c>
      <c r="J77" s="22" t="s">
        <v>23</v>
      </c>
      <c r="K77" s="38"/>
      <c r="L77" s="22"/>
      <c r="M77" s="286">
        <f ca="1">IFERROR(OFFSET(M77,-1,,1,1)+0.1,OFFSET(M77,-1,-1,1,1)&amp;".1")</f>
        <v>3.5000000000000004</v>
      </c>
      <c r="N77" s="23" t="s">
        <v>468</v>
      </c>
      <c r="O77" s="23"/>
      <c r="P77" s="23"/>
      <c r="Q77" s="144"/>
      <c r="R77" s="137"/>
      <c r="S77" s="169">
        <f>CEILING((IF(J77="Yes", 0, IF(H77="-",AA77,AA77+AA77*VLOOKUP(H77,BUFFERS_BY_TYPE,2,FALSE)))) +
   (IF(J77="Yes", 0, IF(H77="-",AA77,AA77+AA77*VLOOKUP(H77,BUFFERS_BY_TYPE,2,FALSE))))*VLOOKUP($S$5, SALES_CALL_SCALE_ARRAY, 2,FALSE),0.25)</f>
        <v>5</v>
      </c>
      <c r="T77" s="170"/>
      <c r="U77" s="24">
        <v>0</v>
      </c>
      <c r="V77" s="24">
        <v>1</v>
      </c>
      <c r="W77" s="24">
        <v>0</v>
      </c>
      <c r="X77" s="168">
        <v>5</v>
      </c>
      <c r="Y77" s="169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5</v>
      </c>
      <c r="Z77" s="25"/>
      <c r="AA77" s="169">
        <f>Y77+Y77*VLOOKUP(I77,EXTRAS_ARRAY,2,FALSE)</f>
        <v>5</v>
      </c>
      <c r="AB77" s="23"/>
      <c r="AC77" s="37"/>
      <c r="AD77" s="26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s="11" customFormat="1" ht="7.5" customHeight="1" outlineLevel="2" x14ac:dyDescent="0.35">
      <c r="A78" s="93" t="s">
        <v>132</v>
      </c>
      <c r="B78" s="18"/>
      <c r="C78" s="78"/>
      <c r="D78" s="78"/>
      <c r="E78" s="78"/>
      <c r="F78" s="78"/>
      <c r="G78" s="10"/>
      <c r="H78" s="10"/>
      <c r="I78" s="10"/>
      <c r="J78" s="10"/>
      <c r="K78" s="10"/>
      <c r="L78" s="10"/>
      <c r="M78" s="287"/>
      <c r="N78" s="10"/>
      <c r="O78" s="10"/>
      <c r="P78" s="10"/>
      <c r="Q78" s="10"/>
      <c r="R78" s="10"/>
      <c r="S78" s="10"/>
      <c r="T78" s="18"/>
      <c r="U78" s="10"/>
      <c r="V78" s="10"/>
      <c r="W78" s="10"/>
      <c r="X78" s="18"/>
      <c r="Y78" s="10"/>
      <c r="Z78" s="10"/>
      <c r="AA78" s="10"/>
      <c r="AB78" s="60"/>
      <c r="AC78" s="60"/>
      <c r="AD78" s="12"/>
    </row>
    <row r="79" spans="1:30" s="17" customFormat="1" ht="15.5" outlineLevel="1" x14ac:dyDescent="0.35">
      <c r="A79" s="93" t="s">
        <v>100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20">
        <f ca="1">LOOKUP(1000,INDIRECT("L1:"&amp;CELL("address",INDIRECT("R[-1]C",FALSE))))+1</f>
        <v>4</v>
      </c>
      <c r="M79" s="326" t="s">
        <v>462</v>
      </c>
      <c r="N79" s="326"/>
      <c r="O79" s="5"/>
      <c r="P79" s="33"/>
      <c r="Q79" s="33"/>
      <c r="R79" s="33"/>
      <c r="S79" s="33"/>
      <c r="T79" s="167">
        <f>IF($S$6="Exclude", SUMIFS(S80:S88, J80:J88, "&lt;&gt;Yes", G80:G88, "&lt;&gt;Yes"), SUMIFS(S80:S88, J80:J88, "&lt;&gt;Yes"))</f>
        <v>60.25</v>
      </c>
      <c r="U79" s="33"/>
      <c r="V79" s="33"/>
      <c r="W79" s="33"/>
      <c r="X79" s="34"/>
      <c r="Y79" s="35"/>
      <c r="Z79" s="35"/>
      <c r="AA79" s="35"/>
      <c r="AB79" s="240"/>
      <c r="AC79" s="36"/>
      <c r="AD79" s="26" t="str">
        <f>IF(M79="", "Error: Task name cannot be empty.", "")</f>
        <v/>
      </c>
    </row>
    <row r="80" spans="1:30" s="15" customFormat="1" ht="1.5" customHeight="1" outlineLevel="2" x14ac:dyDescent="0.35">
      <c r="A80" s="93" t="s">
        <v>101</v>
      </c>
      <c r="B80" s="21"/>
      <c r="C80" s="84"/>
      <c r="D80" s="84"/>
      <c r="E80" s="84"/>
      <c r="F80" s="83"/>
      <c r="G80" s="32"/>
      <c r="H80" s="32"/>
      <c r="I80" s="32"/>
      <c r="J80" s="32"/>
      <c r="K80" s="32"/>
      <c r="L80" s="175">
        <f ca="1">L79</f>
        <v>4</v>
      </c>
      <c r="M80" s="176" t="s">
        <v>105</v>
      </c>
      <c r="N80" s="173"/>
      <c r="O80" s="174"/>
      <c r="P80" s="33"/>
      <c r="Q80" s="33"/>
      <c r="R80" s="33"/>
      <c r="S80" s="33"/>
      <c r="T80" s="167"/>
      <c r="U80" s="33"/>
      <c r="V80" s="33"/>
      <c r="W80" s="33"/>
      <c r="X80" s="34"/>
      <c r="Y80" s="35"/>
      <c r="Z80" s="35"/>
      <c r="AA80" s="35"/>
      <c r="AB80" s="36"/>
      <c r="AC80" s="36"/>
      <c r="AD80" s="26"/>
    </row>
    <row r="81" spans="1:30" ht="72.5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 t="str">
        <f t="shared" ref="M81:M85" ca="1" si="5">IFERROR(OFFSET(M81,-1,,1,1)+0.1,OFFSET(M81,-1,-1,1,1)&amp;".1")</f>
        <v>4.1</v>
      </c>
      <c r="N81" s="23" t="s">
        <v>568</v>
      </c>
      <c r="O81" s="23"/>
      <c r="P81" s="23" t="s">
        <v>657</v>
      </c>
      <c r="Q81" s="144">
        <v>2</v>
      </c>
      <c r="R81" s="137"/>
      <c r="S81" s="169">
        <f t="shared" ref="S81:S85" si="6">CEILING((IF(J81="Yes", 0, IF(H81="-",AA81,AA81+AA81*VLOOKUP(H81,BUFFERS_BY_TYPE,2,FALSE)))) +
   (IF(J81="Yes", 0, IF(H81="-",AA81,AA81+AA81*VLOOKUP(H81,BUFFERS_BY_TYPE,2,FALSE))))*VLOOKUP($S$5, SALES_CALL_SCALE_ARRAY, 2,FALSE),0.25)</f>
        <v>6.75</v>
      </c>
      <c r="T81" s="170"/>
      <c r="U81" s="24">
        <v>0.3</v>
      </c>
      <c r="V81" s="24">
        <v>0.5</v>
      </c>
      <c r="W81" s="24">
        <v>0.2</v>
      </c>
      <c r="X81" s="168">
        <v>3</v>
      </c>
      <c r="Y81" s="169">
        <f t="shared" ref="Y81:Y85" si="7"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6.75</v>
      </c>
      <c r="Z81" s="25"/>
      <c r="AA81" s="169">
        <f t="shared" ref="AA81:AA85" si="8">Y81+Y81*VLOOKUP(I81,EXTRAS_ARRAY,2,FALSE)</f>
        <v>6.75</v>
      </c>
      <c r="AB81" s="23" t="s">
        <v>576</v>
      </c>
      <c r="AC81" s="37"/>
      <c r="AD81" s="26" t="str">
        <f t="shared" ref="AD81:AD85" si="9"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72.5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4.1999999999999993</v>
      </c>
      <c r="N82" s="23" t="s">
        <v>569</v>
      </c>
      <c r="O82" s="23"/>
      <c r="P82" s="23" t="s">
        <v>657</v>
      </c>
      <c r="Q82" s="144">
        <v>2</v>
      </c>
      <c r="R82" s="137">
        <v>2</v>
      </c>
      <c r="S82" s="169">
        <f t="shared" si="6"/>
        <v>8</v>
      </c>
      <c r="T82" s="170"/>
      <c r="U82" s="24">
        <v>0</v>
      </c>
      <c r="V82" s="24">
        <v>1</v>
      </c>
      <c r="W82" s="24">
        <v>0</v>
      </c>
      <c r="X82" s="168">
        <v>2</v>
      </c>
      <c r="Y82" s="169">
        <f t="shared" si="7"/>
        <v>8</v>
      </c>
      <c r="Z82" s="25"/>
      <c r="AA82" s="169">
        <f t="shared" si="8"/>
        <v>8</v>
      </c>
      <c r="AB82" s="23"/>
      <c r="AC82" s="37"/>
      <c r="AD82" s="26" t="str">
        <f t="shared" si="9"/>
        <v/>
      </c>
    </row>
    <row r="83" spans="1:30" ht="101.5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4.2999999999999989</v>
      </c>
      <c r="N83" s="23" t="s">
        <v>570</v>
      </c>
      <c r="O83" s="23"/>
      <c r="P83" s="23" t="s">
        <v>573</v>
      </c>
      <c r="Q83" s="144">
        <v>2</v>
      </c>
      <c r="R83" s="137">
        <v>1</v>
      </c>
      <c r="S83" s="169">
        <f t="shared" si="6"/>
        <v>10</v>
      </c>
      <c r="T83" s="170"/>
      <c r="U83" s="24">
        <v>0</v>
      </c>
      <c r="V83" s="24">
        <v>1</v>
      </c>
      <c r="W83" s="24">
        <v>0</v>
      </c>
      <c r="X83" s="168">
        <v>5</v>
      </c>
      <c r="Y83" s="169">
        <f t="shared" si="7"/>
        <v>10</v>
      </c>
      <c r="Z83" s="25"/>
      <c r="AA83" s="169">
        <f t="shared" si="8"/>
        <v>10</v>
      </c>
      <c r="AB83" s="23" t="s">
        <v>576</v>
      </c>
      <c r="AC83" s="37"/>
      <c r="AD83" s="26" t="str">
        <f t="shared" si="9"/>
        <v/>
      </c>
    </row>
    <row r="84" spans="1:30" ht="29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4.3999999999999986</v>
      </c>
      <c r="N84" s="23" t="s">
        <v>470</v>
      </c>
      <c r="O84" s="23"/>
      <c r="P84" s="23" t="s">
        <v>573</v>
      </c>
      <c r="Q84" s="144">
        <v>1</v>
      </c>
      <c r="R84" s="137">
        <v>1</v>
      </c>
      <c r="S84" s="169">
        <f t="shared" si="6"/>
        <v>5</v>
      </c>
      <c r="T84" s="170"/>
      <c r="U84" s="24">
        <v>0</v>
      </c>
      <c r="V84" s="24">
        <v>1</v>
      </c>
      <c r="W84" s="24">
        <v>0</v>
      </c>
      <c r="X84" s="168">
        <v>5</v>
      </c>
      <c r="Y84" s="169">
        <f t="shared" si="7"/>
        <v>5</v>
      </c>
      <c r="Z84" s="25"/>
      <c r="AA84" s="169">
        <f t="shared" si="8"/>
        <v>5</v>
      </c>
      <c r="AB84" s="23"/>
      <c r="AC84" s="37"/>
      <c r="AD84" s="26" t="str">
        <f t="shared" si="9"/>
        <v/>
      </c>
    </row>
    <row r="85" spans="1:30" ht="87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>
        <f t="shared" ca="1" si="5"/>
        <v>4.4999999999999982</v>
      </c>
      <c r="N85" s="23" t="s">
        <v>571</v>
      </c>
      <c r="O85" s="23"/>
      <c r="P85" s="23" t="s">
        <v>573</v>
      </c>
      <c r="Q85" s="144">
        <v>2</v>
      </c>
      <c r="R85" s="137">
        <v>1</v>
      </c>
      <c r="S85" s="169">
        <f t="shared" si="6"/>
        <v>12.5</v>
      </c>
      <c r="T85" s="170"/>
      <c r="U85" s="24">
        <v>0.2</v>
      </c>
      <c r="V85" s="24">
        <v>0.5</v>
      </c>
      <c r="W85" s="24">
        <v>0.3</v>
      </c>
      <c r="X85" s="168">
        <v>6</v>
      </c>
      <c r="Y85" s="169">
        <f t="shared" si="7"/>
        <v>12.5</v>
      </c>
      <c r="Z85" s="25"/>
      <c r="AA85" s="169">
        <f t="shared" si="8"/>
        <v>12.5</v>
      </c>
      <c r="AB85" s="23" t="s">
        <v>576</v>
      </c>
      <c r="AC85" s="37"/>
      <c r="AD85" s="26" t="str">
        <f t="shared" si="9"/>
        <v/>
      </c>
    </row>
    <row r="86" spans="1:30" ht="29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ca="1">IFERROR(OFFSET(M86,-1,,1,1)+0.1,OFFSET(M86,-1,-1,1,1)&amp;".1")</f>
        <v>4.5999999999999979</v>
      </c>
      <c r="N86" s="23" t="s">
        <v>649</v>
      </c>
      <c r="O86" s="23"/>
      <c r="P86" s="23"/>
      <c r="Q86" s="144">
        <v>1</v>
      </c>
      <c r="R86" s="137">
        <v>1</v>
      </c>
      <c r="S86" s="169">
        <f>CEILING((IF(J86="Yes", 0, IF(H86="-",AA86,AA86+AA86*VLOOKUP(H86,BUFFERS_BY_TYPE,2,FALSE)))) +
   (IF(J86="Yes", 0, IF(H86="-",AA86,AA86+AA86*VLOOKUP(H86,BUFFERS_BY_TYPE,2,FALSE))))*VLOOKUP($S$5, SALES_CALL_SCALE_ARRAY, 2,FALSE),0.25)</f>
        <v>4</v>
      </c>
      <c r="T86" s="170"/>
      <c r="U86" s="24">
        <v>0</v>
      </c>
      <c r="V86" s="24">
        <v>1</v>
      </c>
      <c r="W86" s="24">
        <v>0</v>
      </c>
      <c r="X86" s="168">
        <v>4</v>
      </c>
      <c r="Y86" s="169">
        <f>CEILING((IF(P86=AS_DEV_EFFORT, DEV_EFFORT*Q86%,
                           IF(P86=AS_DURATION_EFFORT, (MANUAL_DURATION*5)*Q86%,
                                    (IF(Q86&lt;=1,X86,
                                          IF(SUM(U86:W86)=0,(Q86*X86),
                                               (((Q86*U86)*(X86+(X86*EXTRA_FOR_H)))+
                                               ((Q86*V86)*X86)+
                                               ((Q86*W86)*(X86-(X86*LESS_FOR_L)))
                                    )*IF(R86=0,1,R86))))))+Z86), 0.25)</f>
        <v>4</v>
      </c>
      <c r="Z86" s="25"/>
      <c r="AA86" s="169">
        <f>Y86+Y86*VLOOKUP(I86,EXTRAS_ARRAY,2,FALSE)</f>
        <v>4</v>
      </c>
      <c r="AB86" s="23" t="s">
        <v>650</v>
      </c>
      <c r="AC86" s="37"/>
      <c r="AD86" s="26" t="str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spans="1:30" ht="58" outlineLevel="2" x14ac:dyDescent="0.35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>
        <f ca="1">IFERROR(OFFSET(M87,-1,,1,1)+0.1,OFFSET(M87,-1,-1,1,1)&amp;".1")</f>
        <v>4.6999999999999975</v>
      </c>
      <c r="N87" s="23" t="s">
        <v>658</v>
      </c>
      <c r="O87" s="23"/>
      <c r="P87" s="23"/>
      <c r="Q87" s="144">
        <v>2</v>
      </c>
      <c r="R87" s="137">
        <v>1</v>
      </c>
      <c r="S87" s="169">
        <f>CEILING((IF(J87="Yes", 0, IF(H87="-",AA87,AA87+AA87*VLOOKUP(H87,BUFFERS_BY_TYPE,2,FALSE)))) +
   (IF(J87="Yes", 0, IF(H87="-",AA87,AA87+AA87*VLOOKUP(H87,BUFFERS_BY_TYPE,2,FALSE))))*VLOOKUP($S$5, SALES_CALL_SCALE_ARRAY, 2,FALSE),0.25)</f>
        <v>14</v>
      </c>
      <c r="T87" s="170"/>
      <c r="U87" s="24">
        <v>0.1</v>
      </c>
      <c r="V87" s="24">
        <v>0.2</v>
      </c>
      <c r="W87" s="24">
        <v>0.7</v>
      </c>
      <c r="X87" s="168">
        <v>8</v>
      </c>
      <c r="Y87" s="169">
        <f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14</v>
      </c>
      <c r="Z87" s="25"/>
      <c r="AA87" s="169">
        <f>Y87+Y87*VLOOKUP(I87,EXTRAS_ARRAY,2,FALSE)</f>
        <v>14</v>
      </c>
      <c r="AB87" s="23"/>
      <c r="AC87" s="37"/>
      <c r="AD87" s="26" t="str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s="11" customFormat="1" ht="7.5" customHeight="1" outlineLevel="2" x14ac:dyDescent="0.35">
      <c r="A88" s="93" t="s">
        <v>132</v>
      </c>
      <c r="B88" s="18"/>
      <c r="C88" s="78"/>
      <c r="D88" s="78"/>
      <c r="E88" s="78"/>
      <c r="F88" s="78"/>
      <c r="G88" s="10"/>
      <c r="H88" s="10"/>
      <c r="I88" s="10"/>
      <c r="J88" s="10"/>
      <c r="K88" s="10"/>
      <c r="L88" s="10"/>
      <c r="M88" s="287"/>
      <c r="N88" s="10"/>
      <c r="O88" s="10"/>
      <c r="P88" s="10"/>
      <c r="Q88" s="10"/>
      <c r="R88" s="10"/>
      <c r="S88" s="10"/>
      <c r="T88" s="18"/>
      <c r="U88" s="10"/>
      <c r="V88" s="10"/>
      <c r="W88" s="10"/>
      <c r="X88" s="18"/>
      <c r="Y88" s="10"/>
      <c r="Z88" s="10"/>
      <c r="AA88" s="10"/>
      <c r="AB88" s="60"/>
      <c r="AC88" s="60"/>
      <c r="AD88" s="12"/>
    </row>
    <row r="89" spans="1:30" s="11" customFormat="1" ht="3" customHeight="1" outlineLevel="1" x14ac:dyDescent="0.35">
      <c r="A89" s="93" t="s">
        <v>102</v>
      </c>
      <c r="B89" s="10"/>
      <c r="C89" s="78"/>
      <c r="D89" s="78"/>
      <c r="E89" s="78"/>
      <c r="F89" s="78"/>
      <c r="G89" s="59"/>
      <c r="H89" s="59"/>
      <c r="I89" s="59"/>
      <c r="J89" s="59"/>
      <c r="K89" s="59"/>
      <c r="L89" s="61"/>
      <c r="M89" s="288"/>
      <c r="N89" s="62"/>
      <c r="O89" s="62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2"/>
      <c r="AC89" s="62"/>
      <c r="AD89" s="12"/>
    </row>
    <row r="90" spans="1:30" s="17" customFormat="1" ht="18.5" x14ac:dyDescent="0.35">
      <c r="A90" s="93" t="s">
        <v>98</v>
      </c>
      <c r="B90" s="14"/>
      <c r="C90" s="79"/>
      <c r="D90" s="79"/>
      <c r="E90" s="79"/>
      <c r="F90" s="78"/>
      <c r="G90" s="55"/>
      <c r="H90" s="55"/>
      <c r="I90" s="55"/>
      <c r="J90" s="55"/>
      <c r="K90" s="55"/>
      <c r="L90" s="55" t="s">
        <v>69</v>
      </c>
      <c r="M90" s="284" t="s">
        <v>73</v>
      </c>
      <c r="N90" s="56"/>
      <c r="O90" s="57"/>
      <c r="P90" s="58"/>
      <c r="Q90" s="58"/>
      <c r="R90" s="58"/>
      <c r="S90" s="327">
        <f>CEILING(SUMIF(J91:J219, "&lt;&gt;Yes", T91:T219),1)</f>
        <v>218</v>
      </c>
      <c r="T90" s="327"/>
      <c r="U90" s="58"/>
      <c r="V90" s="58"/>
      <c r="W90" s="58"/>
      <c r="X90" s="181"/>
      <c r="Y90" s="181"/>
      <c r="Z90" s="58"/>
      <c r="AA90" s="181"/>
      <c r="AB90" s="58"/>
      <c r="AC90" s="58"/>
      <c r="AD90" s="16"/>
    </row>
    <row r="91" spans="1:30" s="11" customFormat="1" ht="3" customHeight="1" outlineLevel="1" x14ac:dyDescent="0.35">
      <c r="A91" s="93" t="s">
        <v>99</v>
      </c>
      <c r="B91" s="18"/>
      <c r="C91" s="78"/>
      <c r="D91" s="78"/>
      <c r="E91" s="78"/>
      <c r="F91" s="78"/>
      <c r="G91" s="28"/>
      <c r="H91" s="28"/>
      <c r="I91" s="28"/>
      <c r="J91" s="28"/>
      <c r="K91" s="28"/>
      <c r="L91" s="29">
        <v>0</v>
      </c>
      <c r="M91" s="285"/>
      <c r="N91" s="28"/>
      <c r="O91" s="28"/>
      <c r="P91" s="28"/>
      <c r="Q91" s="28"/>
      <c r="R91" s="28"/>
      <c r="S91" s="28"/>
      <c r="T91" s="30"/>
      <c r="U91" s="28"/>
      <c r="V91" s="28"/>
      <c r="W91" s="28"/>
      <c r="X91" s="30"/>
      <c r="Y91" s="28"/>
      <c r="Z91" s="28"/>
      <c r="AA91" s="28"/>
      <c r="AB91" s="31"/>
      <c r="AC91" s="31"/>
      <c r="AD91" s="12"/>
    </row>
    <row r="92" spans="1:30" s="17" customFormat="1" ht="15.5" outlineLevel="1" x14ac:dyDescent="0.35">
      <c r="A92" s="93" t="s">
        <v>100</v>
      </c>
      <c r="B92" s="21"/>
      <c r="C92" s="84"/>
      <c r="D92" s="84"/>
      <c r="E92" s="84"/>
      <c r="F92" s="83"/>
      <c r="G92" s="32"/>
      <c r="H92" s="32"/>
      <c r="I92" s="32"/>
      <c r="J92" s="32"/>
      <c r="K92" s="32"/>
      <c r="L92" s="20">
        <f ca="1">LOOKUP(1000,INDIRECT("L1:"&amp;CELL("address",INDIRECT("R[-1]C",FALSE))))+1</f>
        <v>1</v>
      </c>
      <c r="M92" s="326" t="s">
        <v>447</v>
      </c>
      <c r="N92" s="326"/>
      <c r="O92" s="5"/>
      <c r="P92" s="33"/>
      <c r="Q92" s="33"/>
      <c r="R92" s="33"/>
      <c r="S92" s="33"/>
      <c r="T92" s="167">
        <f>IF($S$6="Exclude", SUMIFS(S93:S98, J93:J98, "&lt;&gt;Yes", G93:G98, "&lt;&gt;Yes"), SUMIFS(S93:S98, J93:J98, "&lt;&gt;Yes"))</f>
        <v>34.5</v>
      </c>
      <c r="U92" s="33"/>
      <c r="V92" s="33"/>
      <c r="W92" s="33"/>
      <c r="X92" s="34"/>
      <c r="Y92" s="35"/>
      <c r="Z92" s="35"/>
      <c r="AA92" s="35"/>
      <c r="AB92" s="240"/>
      <c r="AC92" s="36"/>
      <c r="AD92" s="26" t="str">
        <f>IF(M92="", "Error: Task name cannot be empty.", "")</f>
        <v/>
      </c>
    </row>
    <row r="93" spans="1:30" s="15" customFormat="1" ht="1.5" customHeight="1" outlineLevel="2" x14ac:dyDescent="0.35">
      <c r="A93" s="93" t="s">
        <v>101</v>
      </c>
      <c r="B93" s="21"/>
      <c r="C93" s="84"/>
      <c r="D93" s="84"/>
      <c r="E93" s="84"/>
      <c r="F93" s="83"/>
      <c r="G93" s="32"/>
      <c r="H93" s="32"/>
      <c r="I93" s="32"/>
      <c r="J93" s="32"/>
      <c r="K93" s="32"/>
      <c r="L93" s="175">
        <f ca="1">L92</f>
        <v>1</v>
      </c>
      <c r="M93" s="176" t="s">
        <v>105</v>
      </c>
      <c r="N93" s="173"/>
      <c r="O93" s="174"/>
      <c r="P93" s="33"/>
      <c r="Q93" s="33"/>
      <c r="R93" s="33"/>
      <c r="S93" s="33"/>
      <c r="T93" s="167"/>
      <c r="U93" s="33"/>
      <c r="V93" s="33"/>
      <c r="W93" s="33"/>
      <c r="X93" s="34"/>
      <c r="Y93" s="35"/>
      <c r="Z93" s="35"/>
      <c r="AA93" s="35"/>
      <c r="AB93" s="36"/>
      <c r="AC93" s="36"/>
      <c r="AD93" s="26"/>
    </row>
    <row r="94" spans="1:30" ht="29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 t="str">
        <f ca="1">IFERROR(OFFSET(M94,-1,,1,1)+0.1,OFFSET(M94,-1,-1,1,1)&amp;".1")</f>
        <v>1.1</v>
      </c>
      <c r="N94" s="23" t="s">
        <v>478</v>
      </c>
      <c r="O94" s="23"/>
      <c r="P94" s="23" t="s">
        <v>573</v>
      </c>
      <c r="Q94" s="144">
        <v>8</v>
      </c>
      <c r="R94" s="137">
        <v>1</v>
      </c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13.25</v>
      </c>
      <c r="T94" s="170"/>
      <c r="U94" s="24">
        <v>0.2</v>
      </c>
      <c r="V94" s="24">
        <v>0.5</v>
      </c>
      <c r="W94" s="24">
        <v>0.3</v>
      </c>
      <c r="X94" s="168">
        <v>1.6</v>
      </c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13.25</v>
      </c>
      <c r="Z94" s="25"/>
      <c r="AA94" s="169">
        <f>Y94+Y94*VLOOKUP(I94,EXTRAS_ARRAY,2,FALSE)</f>
        <v>13.25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/>
      </c>
    </row>
    <row r="95" spans="1:30" ht="29" outlineLevel="2" x14ac:dyDescent="0.35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23</v>
      </c>
      <c r="I95" s="23" t="s">
        <v>23</v>
      </c>
      <c r="J95" s="22" t="s">
        <v>23</v>
      </c>
      <c r="K95" s="38"/>
      <c r="L95" s="22"/>
      <c r="M95" s="286">
        <f ca="1">IFERROR(OFFSET(M95,-1,,1,1)+0.1,OFFSET(M95,-1,-1,1,1)&amp;".1")</f>
        <v>1.2000000000000002</v>
      </c>
      <c r="N95" s="23" t="s">
        <v>479</v>
      </c>
      <c r="O95" s="23"/>
      <c r="P95" s="23" t="s">
        <v>573</v>
      </c>
      <c r="Q95" s="144">
        <v>4</v>
      </c>
      <c r="R95" s="137">
        <v>1</v>
      </c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8.75</v>
      </c>
      <c r="T95" s="170"/>
      <c r="U95" s="24">
        <v>0.3</v>
      </c>
      <c r="V95" s="24">
        <v>0.4</v>
      </c>
      <c r="W95" s="24">
        <v>0.3</v>
      </c>
      <c r="X95" s="168">
        <v>2</v>
      </c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8.75</v>
      </c>
      <c r="Z95" s="25"/>
      <c r="AA95" s="169">
        <f>Y95+Y95*VLOOKUP(I95,EXTRAS_ARRAY,2,FALSE)</f>
        <v>8.75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/>
      </c>
    </row>
    <row r="96" spans="1:30" ht="29" outlineLevel="2" x14ac:dyDescent="0.35">
      <c r="A96" s="93" t="s">
        <v>0</v>
      </c>
      <c r="B96" s="21"/>
      <c r="C96" s="85"/>
      <c r="D96" s="85"/>
      <c r="E96" s="85"/>
      <c r="F96" s="86"/>
      <c r="G96" s="22" t="s">
        <v>23</v>
      </c>
      <c r="H96" s="22" t="s">
        <v>23</v>
      </c>
      <c r="I96" s="23" t="s">
        <v>23</v>
      </c>
      <c r="J96" s="22" t="s">
        <v>23</v>
      </c>
      <c r="K96" s="38"/>
      <c r="L96" s="22"/>
      <c r="M96" s="286">
        <f ca="1">IFERROR(OFFSET(M96,-1,,1,1)+0.1,OFFSET(M96,-1,-1,1,1)&amp;".1")</f>
        <v>1.3000000000000003</v>
      </c>
      <c r="N96" s="23" t="s">
        <v>480</v>
      </c>
      <c r="O96" s="23"/>
      <c r="P96" s="23" t="s">
        <v>573</v>
      </c>
      <c r="Q96" s="144">
        <v>4</v>
      </c>
      <c r="R96" s="137">
        <v>1</v>
      </c>
      <c r="S96" s="169">
        <f>CEILING((IF(J96="Yes", 0, IF(H96="-",AA96,AA96+AA96*VLOOKUP(H96,BUFFERS_BY_TYPE,2,FALSE)))) +
   (IF(J96="Yes", 0, IF(H96="-",AA96,AA96+AA96*VLOOKUP(H96,BUFFERS_BY_TYPE,2,FALSE))))*VLOOKUP($S$5, SALES_CALL_SCALE_ARRAY, 2,FALSE),0.25)</f>
        <v>6.5</v>
      </c>
      <c r="T96" s="170"/>
      <c r="U96" s="24">
        <v>0.3</v>
      </c>
      <c r="V96" s="24">
        <v>0.4</v>
      </c>
      <c r="W96" s="24">
        <v>0.3</v>
      </c>
      <c r="X96" s="168">
        <v>1.5</v>
      </c>
      <c r="Y96" s="169">
        <f>CEILING((IF(P96=AS_DEV_EFFORT, DEV_EFFORT*Q96%,
                           IF(P96=AS_DURATION_EFFORT, (MANUAL_DURATION*5)*Q96%,
                                    (IF(Q96&lt;=1,X96,
                                          IF(SUM(U96:W96)=0,(Q96*X96),
                                               (((Q96*U96)*(X96+(X96*EXTRA_FOR_H)))+
                                               ((Q96*V96)*X96)+
                                               ((Q96*W96)*(X96-(X96*LESS_FOR_L)))
                                    )*IF(R96=0,1,R96))))))+Z96), 0.25)</f>
        <v>6.5</v>
      </c>
      <c r="Z96" s="25"/>
      <c r="AA96" s="169">
        <f>Y96+Y96*VLOOKUP(I96,EXTRAS_ARRAY,2,FALSE)</f>
        <v>6.5</v>
      </c>
      <c r="AB96" s="23"/>
      <c r="AC96" s="37"/>
      <c r="AD96" s="26" t="str">
        <f>IF(J96&lt;&gt;"Yes",
IF(S96&lt;=0,"Error: Effort value is not defined or is invalid.",
IF(AND(SUM(U96:W96)&gt;0,SUM(U96:W96)&lt;&gt;1),"Error: Complexity % distribution should sum to 100%.",
IF(AND(P96=AS_DEV_EFFORT,X96&lt;&gt;0),"Error: PDs should not be defined when defining as dev effort %.",
IF(AND(P96=AS_DURATION_EFFORT,X96&lt;&gt;0),"Error: PDs should not be defined when defining as duration effort %.","")))))</f>
        <v/>
      </c>
    </row>
    <row r="97" spans="1:30" ht="29" outlineLevel="2" x14ac:dyDescent="0.35">
      <c r="A97" s="93" t="s">
        <v>0</v>
      </c>
      <c r="B97" s="21"/>
      <c r="C97" s="85"/>
      <c r="D97" s="85"/>
      <c r="E97" s="85"/>
      <c r="F97" s="86"/>
      <c r="G97" s="22" t="s">
        <v>23</v>
      </c>
      <c r="H97" s="22" t="s">
        <v>23</v>
      </c>
      <c r="I97" s="23" t="s">
        <v>23</v>
      </c>
      <c r="J97" s="22" t="s">
        <v>23</v>
      </c>
      <c r="K97" s="38"/>
      <c r="L97" s="22"/>
      <c r="M97" s="286">
        <f ca="1">IFERROR(OFFSET(M97,-1,,1,1)+0.1,OFFSET(M97,-1,-1,1,1)&amp;".1")</f>
        <v>1.4000000000000004</v>
      </c>
      <c r="N97" s="23" t="s">
        <v>481</v>
      </c>
      <c r="O97" s="23"/>
      <c r="P97" s="23" t="s">
        <v>573</v>
      </c>
      <c r="Q97" s="144">
        <v>5</v>
      </c>
      <c r="R97" s="137">
        <v>1</v>
      </c>
      <c r="S97" s="169">
        <f>CEILING((IF(J97="Yes", 0, IF(H97="-",AA97,AA97+AA97*VLOOKUP(H97,BUFFERS_BY_TYPE,2,FALSE)))) +
   (IF(J97="Yes", 0, IF(H97="-",AA97,AA97+AA97*VLOOKUP(H97,BUFFERS_BY_TYPE,2,FALSE))))*VLOOKUP($S$5, SALES_CALL_SCALE_ARRAY, 2,FALSE),0.25)</f>
        <v>6</v>
      </c>
      <c r="T97" s="170"/>
      <c r="U97" s="24">
        <v>0</v>
      </c>
      <c r="V97" s="24">
        <v>1</v>
      </c>
      <c r="W97" s="24">
        <v>0</v>
      </c>
      <c r="X97" s="168">
        <v>1.2</v>
      </c>
      <c r="Y97" s="169">
        <f>CEILING((IF(P97=AS_DEV_EFFORT, DEV_EFFORT*Q97%,
                           IF(P97=AS_DURATION_EFFORT, (MANUAL_DURATION*5)*Q97%,
                                    (IF(Q97&lt;=1,X97,
                                          IF(SUM(U97:W97)=0,(Q97*X97),
                                               (((Q97*U97)*(X97+(X97*EXTRA_FOR_H)))+
                                               ((Q97*V97)*X97)+
                                               ((Q97*W97)*(X97-(X97*LESS_FOR_L)))
                                    )*IF(R97=0,1,R97))))))+Z97), 0.25)</f>
        <v>6</v>
      </c>
      <c r="Z97" s="25"/>
      <c r="AA97" s="169">
        <f>Y97+Y97*VLOOKUP(I97,EXTRAS_ARRAY,2,FALSE)</f>
        <v>6</v>
      </c>
      <c r="AB97" s="23"/>
      <c r="AC97" s="37"/>
      <c r="AD97" s="26" t="str">
        <f>IF(J97&lt;&gt;"Yes",
IF(S97&lt;=0,"Error: Effort value is not defined or is invalid.",
IF(AND(SUM(U97:W97)&gt;0,SUM(U97:W97)&lt;&gt;1),"Error: Complexity % distribution should sum to 100%.",
IF(AND(P97=AS_DEV_EFFORT,X97&lt;&gt;0),"Error: PDs should not be defined when defining as dev effort %.",
IF(AND(P97=AS_DURATION_EFFORT,X97&lt;&gt;0),"Error: PDs should not be defined when defining as duration effort %.","")))))</f>
        <v/>
      </c>
    </row>
    <row r="98" spans="1:30" s="11" customFormat="1" ht="7.5" customHeight="1" outlineLevel="2" x14ac:dyDescent="0.35">
      <c r="A98" s="93" t="s">
        <v>132</v>
      </c>
      <c r="B98" s="18"/>
      <c r="C98" s="78"/>
      <c r="D98" s="78"/>
      <c r="E98" s="78"/>
      <c r="F98" s="78"/>
      <c r="G98" s="10"/>
      <c r="H98" s="10"/>
      <c r="I98" s="10"/>
      <c r="J98" s="10"/>
      <c r="K98" s="10"/>
      <c r="L98" s="10"/>
      <c r="M98" s="287"/>
      <c r="N98" s="10"/>
      <c r="O98" s="10"/>
      <c r="P98" s="10"/>
      <c r="Q98" s="10"/>
      <c r="R98" s="10"/>
      <c r="S98" s="10"/>
      <c r="T98" s="18"/>
      <c r="U98" s="10"/>
      <c r="V98" s="10"/>
      <c r="W98" s="10"/>
      <c r="X98" s="18"/>
      <c r="Y98" s="10"/>
      <c r="Z98" s="10"/>
      <c r="AA98" s="10"/>
      <c r="AB98" s="60"/>
      <c r="AC98" s="60"/>
      <c r="AD98" s="12"/>
    </row>
    <row r="99" spans="1:30" s="17" customFormat="1" ht="15.5" outlineLevel="1" x14ac:dyDescent="0.35">
      <c r="A99" s="93" t="s">
        <v>100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20">
        <f ca="1">LOOKUP(1000,INDIRECT("L1:"&amp;CELL("address",INDIRECT("R[-1]C",FALSE))))+1</f>
        <v>2</v>
      </c>
      <c r="M99" s="326" t="s">
        <v>448</v>
      </c>
      <c r="N99" s="326"/>
      <c r="O99" s="5"/>
      <c r="P99" s="33"/>
      <c r="Q99" s="33"/>
      <c r="R99" s="33"/>
      <c r="S99" s="33"/>
      <c r="T99" s="167">
        <f>IF($S$6="Exclude", SUMIFS(S100:S106, J100:J106, "&lt;&gt;Yes", G100:G106, "&lt;&gt;Yes"), SUMIFS(S100:S106, J100:J106, "&lt;&gt;Yes"))</f>
        <v>54</v>
      </c>
      <c r="U99" s="33"/>
      <c r="V99" s="33"/>
      <c r="W99" s="33"/>
      <c r="X99" s="34"/>
      <c r="Y99" s="35"/>
      <c r="Z99" s="35"/>
      <c r="AA99" s="35"/>
      <c r="AB99" s="240"/>
      <c r="AC99" s="36"/>
      <c r="AD99" s="26" t="str">
        <f>IF(M99="", "Error: Task name cannot be empty.", "")</f>
        <v/>
      </c>
    </row>
    <row r="100" spans="1:30" s="15" customFormat="1" ht="1.5" customHeight="1" outlineLevel="2" x14ac:dyDescent="0.35">
      <c r="A100" s="93" t="s">
        <v>101</v>
      </c>
      <c r="B100" s="21"/>
      <c r="C100" s="84"/>
      <c r="D100" s="84"/>
      <c r="E100" s="84"/>
      <c r="F100" s="83"/>
      <c r="G100" s="32"/>
      <c r="H100" s="32"/>
      <c r="I100" s="32"/>
      <c r="J100" s="32"/>
      <c r="K100" s="32"/>
      <c r="L100" s="175">
        <f ca="1">L99</f>
        <v>2</v>
      </c>
      <c r="M100" s="176" t="s">
        <v>105</v>
      </c>
      <c r="N100" s="173"/>
      <c r="O100" s="174"/>
      <c r="P100" s="33"/>
      <c r="Q100" s="33"/>
      <c r="R100" s="33"/>
      <c r="S100" s="33"/>
      <c r="T100" s="167"/>
      <c r="U100" s="33"/>
      <c r="V100" s="33"/>
      <c r="W100" s="33"/>
      <c r="X100" s="34"/>
      <c r="Y100" s="35"/>
      <c r="Z100" s="35"/>
      <c r="AA100" s="35"/>
      <c r="AB100" s="36"/>
      <c r="AC100" s="36"/>
      <c r="AD100" s="26"/>
    </row>
    <row r="101" spans="1:30" ht="43.5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 t="str">
        <f ca="1">IFERROR(OFFSET(M101,-1,,1,1)+0.1,OFFSET(M101,-1,-1,1,1)&amp;".1")</f>
        <v>2.1</v>
      </c>
      <c r="N101" s="23" t="s">
        <v>482</v>
      </c>
      <c r="O101" s="23"/>
      <c r="P101" s="23" t="s">
        <v>573</v>
      </c>
      <c r="Q101" s="144">
        <v>1</v>
      </c>
      <c r="R101" s="137">
        <v>1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15</v>
      </c>
      <c r="T101" s="170"/>
      <c r="U101" s="24">
        <v>0</v>
      </c>
      <c r="V101" s="24">
        <v>1</v>
      </c>
      <c r="W101" s="24">
        <v>0</v>
      </c>
      <c r="X101" s="168">
        <v>15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15</v>
      </c>
      <c r="Z101" s="25"/>
      <c r="AA101" s="169">
        <f>Y101+Y101*VLOOKUP(I101,EXTRAS_ARRAY,2,FALSE)</f>
        <v>15</v>
      </c>
      <c r="AB101" s="23" t="s">
        <v>572</v>
      </c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9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2.2000000000000002</v>
      </c>
      <c r="N102" s="23" t="s">
        <v>483</v>
      </c>
      <c r="O102" s="23"/>
      <c r="P102" s="23" t="s">
        <v>573</v>
      </c>
      <c r="Q102" s="144">
        <v>1</v>
      </c>
      <c r="R102" s="137">
        <v>1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5</v>
      </c>
      <c r="T102" s="170"/>
      <c r="U102" s="24">
        <v>0</v>
      </c>
      <c r="V102" s="24">
        <v>1</v>
      </c>
      <c r="W102" s="24">
        <v>0</v>
      </c>
      <c r="X102" s="168">
        <v>5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5</v>
      </c>
      <c r="Z102" s="25"/>
      <c r="AA102" s="169">
        <f>Y102+Y102*VLOOKUP(I102,EXTRAS_ARRAY,2,FALSE)</f>
        <v>5</v>
      </c>
      <c r="AB102" s="23" t="s">
        <v>572</v>
      </c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29" outlineLevel="2" x14ac:dyDescent="0.35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2.3000000000000003</v>
      </c>
      <c r="N103" s="23" t="s">
        <v>484</v>
      </c>
      <c r="O103" s="23"/>
      <c r="P103" s="23" t="s">
        <v>573</v>
      </c>
      <c r="Q103" s="144">
        <v>2</v>
      </c>
      <c r="R103" s="137">
        <v>2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20</v>
      </c>
      <c r="T103" s="170"/>
      <c r="U103" s="24">
        <v>0</v>
      </c>
      <c r="V103" s="24">
        <v>1</v>
      </c>
      <c r="W103" s="24">
        <v>0</v>
      </c>
      <c r="X103" s="168">
        <v>5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20</v>
      </c>
      <c r="Z103" s="25"/>
      <c r="AA103" s="169">
        <f>Y103+Y103*VLOOKUP(I103,EXTRAS_ARRAY,2,FALSE)</f>
        <v>20</v>
      </c>
      <c r="AB103" s="23" t="s">
        <v>572</v>
      </c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ht="29" outlineLevel="2" x14ac:dyDescent="0.35">
      <c r="A104" s="93" t="s">
        <v>0</v>
      </c>
      <c r="B104" s="21"/>
      <c r="C104" s="85"/>
      <c r="D104" s="85"/>
      <c r="E104" s="85"/>
      <c r="F104" s="86"/>
      <c r="G104" s="22" t="s">
        <v>23</v>
      </c>
      <c r="H104" s="22" t="s">
        <v>23</v>
      </c>
      <c r="I104" s="23" t="s">
        <v>23</v>
      </c>
      <c r="J104" s="22" t="s">
        <v>23</v>
      </c>
      <c r="K104" s="38"/>
      <c r="L104" s="22"/>
      <c r="M104" s="286">
        <f ca="1">IFERROR(OFFSET(M104,-1,,1,1)+0.1,OFFSET(M104,-1,-1,1,1)&amp;".1")</f>
        <v>2.4000000000000004</v>
      </c>
      <c r="N104" s="23" t="s">
        <v>485</v>
      </c>
      <c r="O104" s="23"/>
      <c r="P104" s="23" t="s">
        <v>573</v>
      </c>
      <c r="Q104" s="144">
        <v>1</v>
      </c>
      <c r="R104" s="137">
        <v>2</v>
      </c>
      <c r="S104" s="169">
        <f>CEILING((IF(J104="Yes", 0, IF(H104="-",AA104,AA104+AA104*VLOOKUP(H104,BUFFERS_BY_TYPE,2,FALSE)))) +
   (IF(J104="Yes", 0, IF(H104="-",AA104,AA104+AA104*VLOOKUP(H104,BUFFERS_BY_TYPE,2,FALSE))))*VLOOKUP($S$5, SALES_CALL_SCALE_ARRAY, 2,FALSE),0.25)</f>
        <v>7</v>
      </c>
      <c r="T104" s="170"/>
      <c r="U104" s="24">
        <v>0</v>
      </c>
      <c r="V104" s="24">
        <v>1</v>
      </c>
      <c r="W104" s="24">
        <v>0</v>
      </c>
      <c r="X104" s="168">
        <v>7</v>
      </c>
      <c r="Y104" s="169">
        <f>CEILING((IF(P104=AS_DEV_EFFORT, DEV_EFFORT*Q104%,
                           IF(P104=AS_DURATION_EFFORT, (MANUAL_DURATION*5)*Q104%,
                                    (IF(Q104&lt;=1,X104,
                                          IF(SUM(U104:W104)=0,(Q104*X104),
                                               (((Q104*U104)*(X104+(X104*EXTRA_FOR_H)))+
                                               ((Q104*V104)*X104)+
                                               ((Q104*W104)*(X104-(X104*LESS_FOR_L)))
                                    )*IF(R104=0,1,R104))))))+Z104), 0.25)</f>
        <v>7</v>
      </c>
      <c r="Z104" s="25"/>
      <c r="AA104" s="169">
        <f>Y104+Y104*VLOOKUP(I104,EXTRAS_ARRAY,2,FALSE)</f>
        <v>7</v>
      </c>
      <c r="AB104" s="23"/>
      <c r="AC104" s="37"/>
      <c r="AD104" s="26" t="str">
        <f>IF(J104&lt;&gt;"Yes",
IF(S104&lt;=0,"Error: Effort value is not defined or is invalid.",
IF(AND(SUM(U104:W104)&gt;0,SUM(U104:W104)&lt;&gt;1),"Error: Complexity % distribution should sum to 100%.",
IF(AND(P104=AS_DEV_EFFORT,X104&lt;&gt;0),"Error: PDs should not be defined when defining as dev effort %.",
IF(AND(P104=AS_DURATION_EFFORT,X104&lt;&gt;0),"Error: PDs should not be defined when defining as duration effort %.","")))))</f>
        <v/>
      </c>
    </row>
    <row r="105" spans="1:30" ht="29" outlineLevel="2" x14ac:dyDescent="0.35">
      <c r="A105" s="93" t="s">
        <v>0</v>
      </c>
      <c r="B105" s="21"/>
      <c r="C105" s="85"/>
      <c r="D105" s="85"/>
      <c r="E105" s="85"/>
      <c r="F105" s="86"/>
      <c r="G105" s="22" t="s">
        <v>23</v>
      </c>
      <c r="H105" s="22" t="s">
        <v>23</v>
      </c>
      <c r="I105" s="23" t="s">
        <v>23</v>
      </c>
      <c r="J105" s="22" t="s">
        <v>23</v>
      </c>
      <c r="K105" s="38"/>
      <c r="L105" s="22"/>
      <c r="M105" s="286">
        <f ca="1">IFERROR(OFFSET(M105,-1,,1,1)+0.1,OFFSET(M105,-1,-1,1,1)&amp;".1")</f>
        <v>2.5000000000000004</v>
      </c>
      <c r="N105" s="23" t="s">
        <v>486</v>
      </c>
      <c r="O105" s="23"/>
      <c r="P105" s="23" t="s">
        <v>573</v>
      </c>
      <c r="Q105" s="144">
        <v>1</v>
      </c>
      <c r="R105" s="137">
        <v>3</v>
      </c>
      <c r="S105" s="169">
        <f>CEILING((IF(J105="Yes", 0, IF(H105="-",AA105,AA105+AA105*VLOOKUP(H105,BUFFERS_BY_TYPE,2,FALSE)))) +
   (IF(J105="Yes", 0, IF(H105="-",AA105,AA105+AA105*VLOOKUP(H105,BUFFERS_BY_TYPE,2,FALSE))))*VLOOKUP($S$5, SALES_CALL_SCALE_ARRAY, 2,FALSE),0.25)</f>
        <v>7</v>
      </c>
      <c r="T105" s="170"/>
      <c r="U105" s="24">
        <v>0</v>
      </c>
      <c r="V105" s="24">
        <v>1</v>
      </c>
      <c r="W105" s="24">
        <v>0</v>
      </c>
      <c r="X105" s="168">
        <v>7</v>
      </c>
      <c r="Y105" s="169">
        <f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7</v>
      </c>
      <c r="Z105" s="25"/>
      <c r="AA105" s="169">
        <f>Y105+Y105*VLOOKUP(I105,EXTRAS_ARRAY,2,FALSE)</f>
        <v>7</v>
      </c>
      <c r="AB105" s="23" t="s">
        <v>572</v>
      </c>
      <c r="AC105" s="37"/>
      <c r="AD105" s="26" t="str">
        <f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s="11" customFormat="1" ht="7.5" customHeight="1" outlineLevel="2" x14ac:dyDescent="0.35">
      <c r="A106" s="93" t="s">
        <v>132</v>
      </c>
      <c r="B106" s="18"/>
      <c r="C106" s="78"/>
      <c r="D106" s="78"/>
      <c r="E106" s="78"/>
      <c r="F106" s="78"/>
      <c r="G106" s="10"/>
      <c r="H106" s="10"/>
      <c r="I106" s="10"/>
      <c r="J106" s="10"/>
      <c r="K106" s="10"/>
      <c r="L106" s="10"/>
      <c r="M106" s="287"/>
      <c r="N106" s="10"/>
      <c r="O106" s="10"/>
      <c r="P106" s="10"/>
      <c r="Q106" s="10"/>
      <c r="R106" s="10"/>
      <c r="S106" s="10"/>
      <c r="T106" s="18"/>
      <c r="U106" s="10"/>
      <c r="V106" s="10"/>
      <c r="W106" s="10"/>
      <c r="X106" s="18"/>
      <c r="Y106" s="10"/>
      <c r="Z106" s="10"/>
      <c r="AA106" s="10"/>
      <c r="AB106" s="60"/>
      <c r="AC106" s="60"/>
      <c r="AD106" s="12"/>
    </row>
    <row r="107" spans="1:30" s="17" customFormat="1" ht="15.5" outlineLevel="1" x14ac:dyDescent="0.35">
      <c r="A107" s="93" t="s">
        <v>107</v>
      </c>
      <c r="B107" s="21"/>
      <c r="C107" s="84"/>
      <c r="D107" s="84"/>
      <c r="E107" s="84"/>
      <c r="F107" s="83"/>
      <c r="G107" s="185"/>
      <c r="H107" s="185"/>
      <c r="I107" s="185"/>
      <c r="J107" s="185"/>
      <c r="K107" s="185"/>
      <c r="L107" s="92" t="s">
        <v>109</v>
      </c>
      <c r="M107" s="325" t="s">
        <v>124</v>
      </c>
      <c r="N107" s="325"/>
      <c r="O107" s="87"/>
      <c r="P107" s="88"/>
      <c r="Q107" s="88"/>
      <c r="R107" s="88"/>
      <c r="S107" s="328">
        <f>SUMGROUP(ROW(), "T")</f>
        <v>101</v>
      </c>
      <c r="T107" s="328"/>
      <c r="U107" s="318"/>
      <c r="V107" s="318"/>
      <c r="W107" s="318"/>
      <c r="X107" s="89"/>
      <c r="Y107" s="90"/>
      <c r="Z107" s="90"/>
      <c r="AA107" s="90"/>
      <c r="AB107" s="243"/>
      <c r="AC107" s="91"/>
      <c r="AD107" s="26" t="str">
        <f>IF(M107="", "Error: Module name cannot be empty.", "")</f>
        <v/>
      </c>
    </row>
    <row r="108" spans="1:30" s="17" customFormat="1" ht="15.5" outlineLevel="1" x14ac:dyDescent="0.35">
      <c r="A108" s="93" t="s">
        <v>100</v>
      </c>
      <c r="B108" s="21"/>
      <c r="C108" s="84"/>
      <c r="D108" s="84"/>
      <c r="E108" s="84"/>
      <c r="F108" s="83"/>
      <c r="G108" s="32"/>
      <c r="H108" s="32"/>
      <c r="I108" s="32"/>
      <c r="J108" s="32"/>
      <c r="K108" s="32"/>
      <c r="L108" s="20">
        <f ca="1">LOOKUP(1000,INDIRECT("L1:"&amp;CELL("address",INDIRECT("R[-1]C",FALSE))))+1</f>
        <v>3</v>
      </c>
      <c r="M108" s="326" t="s">
        <v>577</v>
      </c>
      <c r="N108" s="326"/>
      <c r="O108" s="5"/>
      <c r="P108" s="33"/>
      <c r="Q108" s="33"/>
      <c r="R108" s="33"/>
      <c r="S108" s="33"/>
      <c r="T108" s="167">
        <f>IF($S$6="Exclude", SUMIFS(S109:S114, J109:J114, "&lt;&gt;Yes", G109:G114, "&lt;&gt;Yes"), SUMIFS(S109:S114, J109:J114, "&lt;&gt;Yes"))</f>
        <v>3.25</v>
      </c>
      <c r="U108" s="33"/>
      <c r="V108" s="33"/>
      <c r="W108" s="33"/>
      <c r="X108" s="34"/>
      <c r="Y108" s="35"/>
      <c r="Z108" s="35"/>
      <c r="AA108" s="35"/>
      <c r="AB108" s="240"/>
      <c r="AC108" s="36"/>
      <c r="AD108" s="26" t="str">
        <f>IF(M108="", "Error: Task name cannot be empty.", "")</f>
        <v/>
      </c>
    </row>
    <row r="109" spans="1:30" s="15" customFormat="1" ht="1.5" customHeight="1" outlineLevel="2" x14ac:dyDescent="0.35">
      <c r="A109" s="93" t="s">
        <v>101</v>
      </c>
      <c r="B109" s="21"/>
      <c r="C109" s="84"/>
      <c r="D109" s="84"/>
      <c r="E109" s="84"/>
      <c r="F109" s="83"/>
      <c r="G109" s="32"/>
      <c r="H109" s="32"/>
      <c r="I109" s="32"/>
      <c r="J109" s="32"/>
      <c r="K109" s="32"/>
      <c r="L109" s="175">
        <f ca="1">L108</f>
        <v>3</v>
      </c>
      <c r="M109" s="176" t="s">
        <v>105</v>
      </c>
      <c r="N109" s="173"/>
      <c r="O109" s="174"/>
      <c r="P109" s="33"/>
      <c r="Q109" s="33"/>
      <c r="R109" s="33"/>
      <c r="S109" s="33"/>
      <c r="T109" s="167"/>
      <c r="U109" s="33"/>
      <c r="V109" s="33"/>
      <c r="W109" s="33"/>
      <c r="X109" s="34"/>
      <c r="Y109" s="35"/>
      <c r="Z109" s="35"/>
      <c r="AA109" s="35"/>
      <c r="AB109" s="36"/>
      <c r="AC109" s="36"/>
      <c r="AD109" s="26"/>
    </row>
    <row r="110" spans="1:30" ht="43.5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 t="str">
        <f ca="1">IFERROR(OFFSET(M110,-1,,1,1)+0.1,OFFSET(M110,-1,-1,1,1)&amp;".1")</f>
        <v>3.1</v>
      </c>
      <c r="N110" s="23" t="s">
        <v>578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1.25</v>
      </c>
      <c r="T110" s="170"/>
      <c r="U110" s="24">
        <v>0</v>
      </c>
      <c r="V110" s="24">
        <v>1</v>
      </c>
      <c r="W110" s="24">
        <v>0</v>
      </c>
      <c r="X110" s="168">
        <v>1.2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1.25</v>
      </c>
      <c r="Z110" s="25"/>
      <c r="AA110" s="169">
        <f>Y110+Y110*VLOOKUP(I110,EXTRAS_ARRAY,2,FALSE)</f>
        <v>1.25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ht="43.5" outlineLevel="2" x14ac:dyDescent="0.35">
      <c r="A111" s="93" t="s">
        <v>0</v>
      </c>
      <c r="B111" s="21"/>
      <c r="C111" s="85"/>
      <c r="D111" s="85"/>
      <c r="E111" s="85"/>
      <c r="F111" s="86"/>
      <c r="G111" s="22" t="s">
        <v>23</v>
      </c>
      <c r="H111" s="22" t="s">
        <v>23</v>
      </c>
      <c r="I111" s="23" t="s">
        <v>23</v>
      </c>
      <c r="J111" s="22" t="s">
        <v>23</v>
      </c>
      <c r="K111" s="38"/>
      <c r="L111" s="22"/>
      <c r="M111" s="286">
        <f ca="1">IFERROR(OFFSET(M111,-1,,1,1)+0.1,OFFSET(M111,-1,-1,1,1)&amp;".1")</f>
        <v>3.2</v>
      </c>
      <c r="N111" s="23" t="s">
        <v>579</v>
      </c>
      <c r="O111" s="23"/>
      <c r="P111" s="23"/>
      <c r="Q111" s="144"/>
      <c r="R111" s="137"/>
      <c r="S111" s="169">
        <f>CEILING((IF(J111="Yes", 0, IF(H111="-",AA111,AA111+AA111*VLOOKUP(H111,BUFFERS_BY_TYPE,2,FALSE)))) +
   (IF(J111="Yes", 0, IF(H111="-",AA111,AA111+AA111*VLOOKUP(H111,BUFFERS_BY_TYPE,2,FALSE))))*VLOOKUP($S$5, SALES_CALL_SCALE_ARRAY, 2,FALSE),0.25)</f>
        <v>0.5</v>
      </c>
      <c r="T111" s="170"/>
      <c r="U111" s="24">
        <v>0</v>
      </c>
      <c r="V111" s="24">
        <v>1</v>
      </c>
      <c r="W111" s="24">
        <v>0</v>
      </c>
      <c r="X111" s="168">
        <v>0.5</v>
      </c>
      <c r="Y111" s="169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0.5</v>
      </c>
      <c r="Z111" s="25"/>
      <c r="AA111" s="169">
        <f>Y111+Y111*VLOOKUP(I111,EXTRAS_ARRAY,2,FALSE)</f>
        <v>0.5</v>
      </c>
      <c r="AB111" s="23"/>
      <c r="AC111" s="37"/>
      <c r="AD111" s="26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29" outlineLevel="2" x14ac:dyDescent="0.35">
      <c r="A112" s="93" t="s">
        <v>0</v>
      </c>
      <c r="B112" s="21"/>
      <c r="C112" s="85"/>
      <c r="D112" s="85"/>
      <c r="E112" s="85"/>
      <c r="F112" s="86"/>
      <c r="G112" s="22" t="s">
        <v>23</v>
      </c>
      <c r="H112" s="22" t="s">
        <v>23</v>
      </c>
      <c r="I112" s="23" t="s">
        <v>23</v>
      </c>
      <c r="J112" s="22" t="s">
        <v>23</v>
      </c>
      <c r="K112" s="38"/>
      <c r="L112" s="22"/>
      <c r="M112" s="286">
        <f ca="1">IFERROR(OFFSET(M112,-1,,1,1)+0.1,OFFSET(M112,-1,-1,1,1)&amp;".1")</f>
        <v>3.3000000000000003</v>
      </c>
      <c r="N112" s="23" t="s">
        <v>580</v>
      </c>
      <c r="O112" s="23"/>
      <c r="P112" s="23"/>
      <c r="Q112" s="144"/>
      <c r="R112" s="137"/>
      <c r="S112" s="169">
        <f>CEILING((IF(J112="Yes", 0, IF(H112="-",AA112,AA112+AA112*VLOOKUP(H112,BUFFERS_BY_TYPE,2,FALSE)))) +
   (IF(J112="Yes", 0, IF(H112="-",AA112,AA112+AA112*VLOOKUP(H112,BUFFERS_BY_TYPE,2,FALSE))))*VLOOKUP($S$5, SALES_CALL_SCALE_ARRAY, 2,FALSE),0.25)</f>
        <v>0.25</v>
      </c>
      <c r="T112" s="170"/>
      <c r="U112" s="24">
        <v>0</v>
      </c>
      <c r="V112" s="24">
        <v>1</v>
      </c>
      <c r="W112" s="24">
        <v>0</v>
      </c>
      <c r="X112" s="168">
        <v>0.1</v>
      </c>
      <c r="Y112" s="169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0.25</v>
      </c>
      <c r="Z112" s="25"/>
      <c r="AA112" s="169">
        <f>Y112+Y112*VLOOKUP(I112,EXTRAS_ARRAY,2,FALSE)</f>
        <v>0.25</v>
      </c>
      <c r="AB112" s="23"/>
      <c r="AC112" s="37"/>
      <c r="AD112" s="26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ht="58" outlineLevel="2" x14ac:dyDescent="0.35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6">
        <f ca="1">IFERROR(OFFSET(M113,-1,,1,1)+0.1,OFFSET(M113,-1,-1,1,1)&amp;".1")</f>
        <v>3.4000000000000004</v>
      </c>
      <c r="N113" s="23" t="s">
        <v>581</v>
      </c>
      <c r="O113" s="23"/>
      <c r="P113" s="23"/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1.25</v>
      </c>
      <c r="T113" s="170"/>
      <c r="U113" s="24">
        <v>0</v>
      </c>
      <c r="V113" s="24">
        <v>1</v>
      </c>
      <c r="W113" s="24">
        <v>0</v>
      </c>
      <c r="X113" s="168">
        <v>1.2</v>
      </c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1.25</v>
      </c>
      <c r="Z113" s="25"/>
      <c r="AA113" s="169">
        <f>Y113+Y113*VLOOKUP(I113,EXTRAS_ARRAY,2,FALSE)</f>
        <v>1.25</v>
      </c>
      <c r="AB113" s="23"/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/>
      </c>
    </row>
    <row r="114" spans="1:30" s="11" customFormat="1" ht="7.5" customHeight="1" outlineLevel="2" x14ac:dyDescent="0.35">
      <c r="A114" s="93" t="s">
        <v>132</v>
      </c>
      <c r="B114" s="18"/>
      <c r="C114" s="78"/>
      <c r="D114" s="78"/>
      <c r="E114" s="78"/>
      <c r="F114" s="78"/>
      <c r="G114" s="10"/>
      <c r="H114" s="10"/>
      <c r="I114" s="10"/>
      <c r="J114" s="10"/>
      <c r="K114" s="10"/>
      <c r="L114" s="10"/>
      <c r="M114" s="287"/>
      <c r="N114" s="10"/>
      <c r="O114" s="10"/>
      <c r="P114" s="10"/>
      <c r="Q114" s="10"/>
      <c r="R114" s="10"/>
      <c r="S114" s="10"/>
      <c r="T114" s="18"/>
      <c r="U114" s="10"/>
      <c r="V114" s="10"/>
      <c r="W114" s="10"/>
      <c r="X114" s="18"/>
      <c r="Y114" s="10"/>
      <c r="Z114" s="10"/>
      <c r="AA114" s="10"/>
      <c r="AB114" s="60"/>
      <c r="AC114" s="60"/>
      <c r="AD114" s="12"/>
    </row>
    <row r="115" spans="1:30" s="17" customFormat="1" ht="15.5" outlineLevel="1" x14ac:dyDescent="0.35">
      <c r="A115" s="93" t="s">
        <v>100</v>
      </c>
      <c r="B115" s="21"/>
      <c r="C115" s="84"/>
      <c r="D115" s="84"/>
      <c r="E115" s="84"/>
      <c r="F115" s="83"/>
      <c r="G115" s="32"/>
      <c r="H115" s="32"/>
      <c r="I115" s="32"/>
      <c r="J115" s="32"/>
      <c r="K115" s="32"/>
      <c r="L115" s="20">
        <f ca="1">LOOKUP(1000,INDIRECT("L1:"&amp;CELL("address",INDIRECT("R[-1]C",FALSE))))+1</f>
        <v>4</v>
      </c>
      <c r="M115" s="326" t="s">
        <v>595</v>
      </c>
      <c r="N115" s="326"/>
      <c r="O115" s="5"/>
      <c r="P115" s="33"/>
      <c r="Q115" s="33"/>
      <c r="R115" s="33"/>
      <c r="S115" s="33"/>
      <c r="T115" s="167">
        <f>IF($S$6="Exclude", SUMIFS(S116:S118, J116:J118, "&lt;&gt;Yes", G116:G118, "&lt;&gt;Yes"), SUMIFS(S116:S118, J116:J118, "&lt;&gt;Yes"))</f>
        <v>1.75</v>
      </c>
      <c r="U115" s="33"/>
      <c r="V115" s="33"/>
      <c r="W115" s="33"/>
      <c r="X115" s="34"/>
      <c r="Y115" s="35"/>
      <c r="Z115" s="35"/>
      <c r="AA115" s="35"/>
      <c r="AB115" s="240"/>
      <c r="AC115" s="36"/>
      <c r="AD115" s="26" t="str">
        <f>IF(M115="", "Error: Task name cannot be empty.", "")</f>
        <v/>
      </c>
    </row>
    <row r="116" spans="1:30" s="15" customFormat="1" ht="1.5" customHeight="1" outlineLevel="2" x14ac:dyDescent="0.35">
      <c r="A116" s="93" t="s">
        <v>101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175">
        <f ca="1">L115</f>
        <v>4</v>
      </c>
      <c r="M116" s="176" t="s">
        <v>105</v>
      </c>
      <c r="N116" s="173"/>
      <c r="O116" s="174"/>
      <c r="P116" s="33"/>
      <c r="Q116" s="33"/>
      <c r="R116" s="33"/>
      <c r="S116" s="33"/>
      <c r="T116" s="167"/>
      <c r="U116" s="33"/>
      <c r="V116" s="33"/>
      <c r="W116" s="33"/>
      <c r="X116" s="34"/>
      <c r="Y116" s="35"/>
      <c r="Z116" s="35"/>
      <c r="AA116" s="35"/>
      <c r="AB116" s="36"/>
      <c r="AC116" s="36"/>
      <c r="AD116" s="26"/>
    </row>
    <row r="117" spans="1:30" ht="58" outlineLevel="2" x14ac:dyDescent="0.35">
      <c r="A117" s="93" t="s">
        <v>0</v>
      </c>
      <c r="B117" s="21"/>
      <c r="C117" s="85"/>
      <c r="D117" s="85"/>
      <c r="E117" s="85"/>
      <c r="F117" s="86"/>
      <c r="G117" s="22" t="s">
        <v>23</v>
      </c>
      <c r="H117" s="22" t="s">
        <v>23</v>
      </c>
      <c r="I117" s="23" t="s">
        <v>23</v>
      </c>
      <c r="J117" s="22" t="s">
        <v>23</v>
      </c>
      <c r="K117" s="38"/>
      <c r="L117" s="22"/>
      <c r="M117" s="286" t="str">
        <f ca="1">IFERROR(OFFSET(M117,-1,,1,1)+0.1,OFFSET(M117,-1,-1,1,1)&amp;".1")</f>
        <v>4.1</v>
      </c>
      <c r="N117" s="23" t="s">
        <v>596</v>
      </c>
      <c r="O117" s="23"/>
      <c r="P117" s="23"/>
      <c r="Q117" s="144"/>
      <c r="R117" s="137"/>
      <c r="S117" s="169">
        <f>CEILING((IF(J117="Yes", 0, IF(H117="-",AA117,AA117+AA117*VLOOKUP(H117,BUFFERS_BY_TYPE,2,FALSE)))) +
   (IF(J117="Yes", 0, IF(H117="-",AA117,AA117+AA117*VLOOKUP(H117,BUFFERS_BY_TYPE,2,FALSE))))*VLOOKUP($S$5, SALES_CALL_SCALE_ARRAY, 2,FALSE),0.25)</f>
        <v>1.75</v>
      </c>
      <c r="T117" s="170"/>
      <c r="U117" s="24">
        <v>0</v>
      </c>
      <c r="V117" s="24">
        <v>1</v>
      </c>
      <c r="W117" s="24">
        <v>0</v>
      </c>
      <c r="X117" s="168">
        <v>1.7</v>
      </c>
      <c r="Y117" s="169">
        <f>CEILING((IF(P117=AS_DEV_EFFORT, DEV_EFFORT*Q117%,
                           IF(P117=AS_DURATION_EFFORT, (MANUAL_DURATION*5)*Q117%,
                                    (IF(Q117&lt;=1,X117,
                                          IF(SUM(U117:W117)=0,(Q117*X117),
                                               (((Q117*U117)*(X117+(X117*EXTRA_FOR_H)))+
                                               ((Q117*V117)*X117)+
                                               ((Q117*W117)*(X117-(X117*LESS_FOR_L)))
                                    )*IF(R117=0,1,R117))))))+Z117), 0.25)</f>
        <v>1.75</v>
      </c>
      <c r="Z117" s="25"/>
      <c r="AA117" s="169">
        <f>Y117+Y117*VLOOKUP(I117,EXTRAS_ARRAY,2,FALSE)</f>
        <v>1.75</v>
      </c>
      <c r="AB117" s="23"/>
      <c r="AC117" s="37"/>
      <c r="AD117" s="26" t="str">
        <f>IF(J117&lt;&gt;"Yes",
IF(S117&lt;=0,"Error: Effort value is not defined or is invalid.",
IF(AND(SUM(U117:W117)&gt;0,SUM(U117:W117)&lt;&gt;1),"Error: Complexity % distribution should sum to 100%.",
IF(AND(P117=AS_DEV_EFFORT,X117&lt;&gt;0),"Error: PDs should not be defined when defining as dev effort %.",
IF(AND(P117=AS_DURATION_EFFORT,X117&lt;&gt;0),"Error: PDs should not be defined when defining as duration effort %.","")))))</f>
        <v/>
      </c>
    </row>
    <row r="118" spans="1:30" s="11" customFormat="1" ht="7.5" customHeight="1" outlineLevel="2" x14ac:dyDescent="0.35">
      <c r="A118" s="93" t="s">
        <v>132</v>
      </c>
      <c r="B118" s="18"/>
      <c r="C118" s="78"/>
      <c r="D118" s="78"/>
      <c r="E118" s="78"/>
      <c r="F118" s="78"/>
      <c r="G118" s="10"/>
      <c r="H118" s="10"/>
      <c r="I118" s="10"/>
      <c r="J118" s="10"/>
      <c r="K118" s="10"/>
      <c r="L118" s="10"/>
      <c r="M118" s="287"/>
      <c r="N118" s="10"/>
      <c r="O118" s="10"/>
      <c r="P118" s="10"/>
      <c r="Q118" s="10"/>
      <c r="R118" s="10"/>
      <c r="S118" s="10"/>
      <c r="T118" s="18"/>
      <c r="U118" s="10"/>
      <c r="V118" s="10"/>
      <c r="W118" s="10"/>
      <c r="X118" s="18"/>
      <c r="Y118" s="10"/>
      <c r="Z118" s="10"/>
      <c r="AA118" s="10"/>
      <c r="AB118" s="60"/>
      <c r="AC118" s="60"/>
      <c r="AD118" s="12"/>
    </row>
    <row r="119" spans="1:30" s="17" customFormat="1" ht="15.5" outlineLevel="1" x14ac:dyDescent="0.35">
      <c r="A119" s="93" t="s">
        <v>100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20">
        <f ca="1">LOOKUP(1000,INDIRECT("L1:"&amp;CELL("address",INDIRECT("R[-1]C",FALSE))))+1</f>
        <v>5</v>
      </c>
      <c r="M119" s="326" t="s">
        <v>597</v>
      </c>
      <c r="N119" s="326"/>
      <c r="O119" s="5"/>
      <c r="P119" s="33"/>
      <c r="Q119" s="33"/>
      <c r="R119" s="33"/>
      <c r="S119" s="33"/>
      <c r="T119" s="167">
        <f>IF($S$6="Exclude", SUMIFS(S120:S123, J120:J123, "&lt;&gt;Yes", G120:G123, "&lt;&gt;Yes"), SUMIFS(S120:S123, J120:J123, "&lt;&gt;Yes"))</f>
        <v>4.5</v>
      </c>
      <c r="U119" s="33"/>
      <c r="V119" s="33"/>
      <c r="W119" s="33"/>
      <c r="X119" s="34"/>
      <c r="Y119" s="35"/>
      <c r="Z119" s="35"/>
      <c r="AA119" s="35"/>
      <c r="AB119" s="240"/>
      <c r="AC119" s="36"/>
      <c r="AD119" s="26" t="str">
        <f>IF(M119="", "Error: Task name cannot be empty.", "")</f>
        <v/>
      </c>
    </row>
    <row r="120" spans="1:30" s="15" customFormat="1" ht="1.5" customHeight="1" outlineLevel="2" x14ac:dyDescent="0.35">
      <c r="A120" s="93" t="s">
        <v>101</v>
      </c>
      <c r="B120" s="21"/>
      <c r="C120" s="84"/>
      <c r="D120" s="84"/>
      <c r="E120" s="84"/>
      <c r="F120" s="83"/>
      <c r="G120" s="32"/>
      <c r="H120" s="32"/>
      <c r="I120" s="32"/>
      <c r="J120" s="32"/>
      <c r="K120" s="32"/>
      <c r="L120" s="175">
        <f ca="1">L119</f>
        <v>5</v>
      </c>
      <c r="M120" s="176" t="s">
        <v>105</v>
      </c>
      <c r="N120" s="173"/>
      <c r="O120" s="174"/>
      <c r="P120" s="33"/>
      <c r="Q120" s="33"/>
      <c r="R120" s="33"/>
      <c r="S120" s="33"/>
      <c r="T120" s="167"/>
      <c r="U120" s="33"/>
      <c r="V120" s="33"/>
      <c r="W120" s="33"/>
      <c r="X120" s="34"/>
      <c r="Y120" s="35"/>
      <c r="Z120" s="35"/>
      <c r="AA120" s="35"/>
      <c r="AB120" s="36"/>
      <c r="AC120" s="36"/>
      <c r="AD120" s="26"/>
    </row>
    <row r="121" spans="1:30" ht="43.5" outlineLevel="2" x14ac:dyDescent="0.35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6" t="str">
        <f ca="1">IFERROR(OFFSET(M121,-1,,1,1)+0.1,OFFSET(M121,-1,-1,1,1)&amp;".1")</f>
        <v>5.1</v>
      </c>
      <c r="N121" s="23" t="s">
        <v>598</v>
      </c>
      <c r="O121" s="23"/>
      <c r="P121" s="23"/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2.25</v>
      </c>
      <c r="T121" s="170"/>
      <c r="U121" s="24">
        <v>0</v>
      </c>
      <c r="V121" s="24">
        <v>1</v>
      </c>
      <c r="W121" s="24">
        <v>0</v>
      </c>
      <c r="X121" s="168">
        <v>2.2000000000000002</v>
      </c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2.25</v>
      </c>
      <c r="Z121" s="25"/>
      <c r="AA121" s="169">
        <f>Y121+Y121*VLOOKUP(I121,EXTRAS_ARRAY,2,FALSE)</f>
        <v>2.25</v>
      </c>
      <c r="AB121" s="23"/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spans="1:30" ht="58" outlineLevel="2" x14ac:dyDescent="0.35">
      <c r="A122" s="93" t="s">
        <v>0</v>
      </c>
      <c r="B122" s="21"/>
      <c r="C122" s="85"/>
      <c r="D122" s="85"/>
      <c r="E122" s="85"/>
      <c r="F122" s="86"/>
      <c r="G122" s="22" t="s">
        <v>23</v>
      </c>
      <c r="H122" s="22" t="s">
        <v>23</v>
      </c>
      <c r="I122" s="23" t="s">
        <v>23</v>
      </c>
      <c r="J122" s="22" t="s">
        <v>23</v>
      </c>
      <c r="K122" s="38"/>
      <c r="L122" s="22"/>
      <c r="M122" s="286">
        <f ca="1">IFERROR(OFFSET(M122,-1,,1,1)+0.1,OFFSET(M122,-1,-1,1,1)&amp;".1")</f>
        <v>5.1999999999999993</v>
      </c>
      <c r="N122" s="23" t="s">
        <v>599</v>
      </c>
      <c r="O122" s="23"/>
      <c r="P122" s="23"/>
      <c r="Q122" s="144"/>
      <c r="R122" s="137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>2.25</v>
      </c>
      <c r="T122" s="170"/>
      <c r="U122" s="24">
        <v>0</v>
      </c>
      <c r="V122" s="24">
        <v>1</v>
      </c>
      <c r="W122" s="24">
        <v>0</v>
      </c>
      <c r="X122" s="168">
        <v>2.2000000000000002</v>
      </c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2.25</v>
      </c>
      <c r="Z122" s="25"/>
      <c r="AA122" s="169">
        <f>Y122+Y122*VLOOKUP(I122,EXTRAS_ARRAY,2,FALSE)</f>
        <v>2.25</v>
      </c>
      <c r="AB122" s="23"/>
      <c r="AC122" s="37"/>
      <c r="AD122" s="26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s="11" customFormat="1" ht="7.5" customHeight="1" outlineLevel="2" x14ac:dyDescent="0.35">
      <c r="A123" s="93" t="s">
        <v>132</v>
      </c>
      <c r="B123" s="18"/>
      <c r="C123" s="78"/>
      <c r="D123" s="78"/>
      <c r="E123" s="78"/>
      <c r="F123" s="78"/>
      <c r="G123" s="10"/>
      <c r="H123" s="10"/>
      <c r="I123" s="10"/>
      <c r="J123" s="10"/>
      <c r="K123" s="10"/>
      <c r="L123" s="10"/>
      <c r="M123" s="287"/>
      <c r="N123" s="10"/>
      <c r="O123" s="10"/>
      <c r="P123" s="10"/>
      <c r="Q123" s="10"/>
      <c r="R123" s="10"/>
      <c r="S123" s="10"/>
      <c r="T123" s="18"/>
      <c r="U123" s="10"/>
      <c r="V123" s="10"/>
      <c r="W123" s="10"/>
      <c r="X123" s="18"/>
      <c r="Y123" s="10"/>
      <c r="Z123" s="10"/>
      <c r="AA123" s="10"/>
      <c r="AB123" s="60"/>
      <c r="AC123" s="60"/>
      <c r="AD123" s="12"/>
    </row>
    <row r="124" spans="1:30" s="17" customFormat="1" ht="15.5" outlineLevel="1" x14ac:dyDescent="0.35">
      <c r="A124" s="93" t="s">
        <v>100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20">
        <f ca="1">LOOKUP(1000,INDIRECT("L1:"&amp;CELL("address",INDIRECT("R[-1]C",FALSE))))+1</f>
        <v>6</v>
      </c>
      <c r="M124" s="326" t="s">
        <v>600</v>
      </c>
      <c r="N124" s="326"/>
      <c r="O124" s="5"/>
      <c r="P124" s="33"/>
      <c r="Q124" s="33"/>
      <c r="R124" s="33"/>
      <c r="S124" s="33"/>
      <c r="T124" s="167">
        <f>IF($S$6="Exclude", SUMIFS(S125:S128, J125:J128, "&lt;&gt;Yes", G125:G128, "&lt;&gt;Yes"), SUMIFS(S125:S128, J125:J128, "&lt;&gt;Yes"))</f>
        <v>3</v>
      </c>
      <c r="U124" s="33"/>
      <c r="V124" s="33"/>
      <c r="W124" s="33"/>
      <c r="X124" s="34"/>
      <c r="Y124" s="35"/>
      <c r="Z124" s="35"/>
      <c r="AA124" s="35"/>
      <c r="AB124" s="240"/>
      <c r="AC124" s="36"/>
      <c r="AD124" s="26" t="str">
        <f>IF(M124="", "Error: Task name cannot be empty.", "")</f>
        <v/>
      </c>
    </row>
    <row r="125" spans="1:30" s="15" customFormat="1" ht="1.5" customHeight="1" outlineLevel="2" x14ac:dyDescent="0.35">
      <c r="A125" s="93" t="s">
        <v>101</v>
      </c>
      <c r="B125" s="21"/>
      <c r="C125" s="84"/>
      <c r="D125" s="84"/>
      <c r="E125" s="84"/>
      <c r="F125" s="83"/>
      <c r="G125" s="32"/>
      <c r="H125" s="32"/>
      <c r="I125" s="32"/>
      <c r="J125" s="32"/>
      <c r="K125" s="32"/>
      <c r="L125" s="175">
        <f ca="1">L124</f>
        <v>6</v>
      </c>
      <c r="M125" s="176" t="s">
        <v>105</v>
      </c>
      <c r="N125" s="173"/>
      <c r="O125" s="174"/>
      <c r="P125" s="33"/>
      <c r="Q125" s="33"/>
      <c r="R125" s="33"/>
      <c r="S125" s="33"/>
      <c r="T125" s="167"/>
      <c r="U125" s="33"/>
      <c r="V125" s="33"/>
      <c r="W125" s="33"/>
      <c r="X125" s="34"/>
      <c r="Y125" s="35"/>
      <c r="Z125" s="35"/>
      <c r="AA125" s="35"/>
      <c r="AB125" s="36"/>
      <c r="AC125" s="36"/>
      <c r="AD125" s="26"/>
    </row>
    <row r="126" spans="1:30" ht="43.5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6" t="str">
        <f ca="1">IFERROR(OFFSET(M126,-1,,1,1)+0.1,OFFSET(M126,-1,-1,1,1)&amp;".1")</f>
        <v>6.1</v>
      </c>
      <c r="N126" s="23" t="s">
        <v>601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0.75</v>
      </c>
      <c r="T126" s="170"/>
      <c r="U126" s="24">
        <v>0</v>
      </c>
      <c r="V126" s="24">
        <v>1</v>
      </c>
      <c r="W126" s="24">
        <v>0</v>
      </c>
      <c r="X126" s="168">
        <v>0.7</v>
      </c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0.75</v>
      </c>
      <c r="Z126" s="25"/>
      <c r="AA126" s="169">
        <f>Y126+Y126*VLOOKUP(I126,EXTRAS_ARRAY,2,FALSE)</f>
        <v>0.75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58" outlineLevel="2" x14ac:dyDescent="0.35">
      <c r="A127" s="93" t="s">
        <v>0</v>
      </c>
      <c r="B127" s="21"/>
      <c r="C127" s="85"/>
      <c r="D127" s="85"/>
      <c r="E127" s="85"/>
      <c r="F127" s="86"/>
      <c r="G127" s="22" t="s">
        <v>23</v>
      </c>
      <c r="H127" s="22" t="s">
        <v>23</v>
      </c>
      <c r="I127" s="23" t="s">
        <v>23</v>
      </c>
      <c r="J127" s="22" t="s">
        <v>23</v>
      </c>
      <c r="K127" s="38"/>
      <c r="L127" s="22"/>
      <c r="M127" s="286">
        <f ca="1">IFERROR(OFFSET(M127,-1,,1,1)+0.1,OFFSET(M127,-1,-1,1,1)&amp;".1")</f>
        <v>6.1999999999999993</v>
      </c>
      <c r="N127" s="23" t="s">
        <v>602</v>
      </c>
      <c r="O127" s="23"/>
      <c r="P127" s="23"/>
      <c r="Q127" s="144"/>
      <c r="R127" s="137"/>
      <c r="S127" s="169">
        <f>CEILING((IF(J127="Yes", 0, IF(H127="-",AA127,AA127+AA127*VLOOKUP(H127,BUFFERS_BY_TYPE,2,FALSE)))) +
   (IF(J127="Yes", 0, IF(H127="-",AA127,AA127+AA127*VLOOKUP(H127,BUFFERS_BY_TYPE,2,FALSE))))*VLOOKUP($S$5, SALES_CALL_SCALE_ARRAY, 2,FALSE),0.25)</f>
        <v>2.25</v>
      </c>
      <c r="T127" s="170"/>
      <c r="U127" s="24">
        <v>0</v>
      </c>
      <c r="V127" s="24">
        <v>1</v>
      </c>
      <c r="W127" s="24">
        <v>0</v>
      </c>
      <c r="X127" s="168">
        <v>2.2000000000000002</v>
      </c>
      <c r="Y127" s="169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2.25</v>
      </c>
      <c r="Z127" s="25"/>
      <c r="AA127" s="169">
        <f>Y127+Y127*VLOOKUP(I127,EXTRAS_ARRAY,2,FALSE)</f>
        <v>2.25</v>
      </c>
      <c r="AB127" s="23"/>
      <c r="AC127" s="37"/>
      <c r="AD127" s="26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s="11" customFormat="1" ht="7.5" customHeight="1" outlineLevel="2" x14ac:dyDescent="0.35">
      <c r="A128" s="93" t="s">
        <v>132</v>
      </c>
      <c r="B128" s="18"/>
      <c r="C128" s="78"/>
      <c r="D128" s="78"/>
      <c r="E128" s="78"/>
      <c r="F128" s="78"/>
      <c r="G128" s="10"/>
      <c r="H128" s="10"/>
      <c r="I128" s="10"/>
      <c r="J128" s="10"/>
      <c r="K128" s="10"/>
      <c r="L128" s="10"/>
      <c r="M128" s="287"/>
      <c r="N128" s="10"/>
      <c r="O128" s="10"/>
      <c r="P128" s="10"/>
      <c r="Q128" s="10"/>
      <c r="R128" s="10"/>
      <c r="S128" s="10"/>
      <c r="T128" s="18"/>
      <c r="U128" s="10"/>
      <c r="V128" s="10"/>
      <c r="W128" s="10"/>
      <c r="X128" s="18"/>
      <c r="Y128" s="10"/>
      <c r="Z128" s="10"/>
      <c r="AA128" s="10"/>
      <c r="AB128" s="60"/>
      <c r="AC128" s="60"/>
      <c r="AD128" s="12"/>
    </row>
    <row r="129" spans="1:30" s="17" customFormat="1" ht="15.5" outlineLevel="1" x14ac:dyDescent="0.35">
      <c r="A129" s="93" t="s">
        <v>100</v>
      </c>
      <c r="B129" s="21"/>
      <c r="C129" s="84"/>
      <c r="D129" s="84"/>
      <c r="E129" s="84"/>
      <c r="F129" s="83"/>
      <c r="G129" s="32"/>
      <c r="H129" s="32"/>
      <c r="I129" s="32"/>
      <c r="J129" s="32"/>
      <c r="K129" s="32"/>
      <c r="L129" s="20">
        <f ca="1">LOOKUP(1000,INDIRECT("L1:"&amp;CELL("address",INDIRECT("R[-1]C",FALSE))))+1</f>
        <v>7</v>
      </c>
      <c r="M129" s="326" t="s">
        <v>603</v>
      </c>
      <c r="N129" s="326"/>
      <c r="O129" s="5"/>
      <c r="P129" s="33"/>
      <c r="Q129" s="33"/>
      <c r="R129" s="33"/>
      <c r="S129" s="33"/>
      <c r="T129" s="167">
        <f>IF($S$6="Exclude", SUMIFS(S130:S132, J130:J132, "&lt;&gt;Yes", G130:G132, "&lt;&gt;Yes"), SUMIFS(S130:S132, J130:J132, "&lt;&gt;Yes"))</f>
        <v>1.75</v>
      </c>
      <c r="U129" s="33"/>
      <c r="V129" s="33"/>
      <c r="W129" s="33"/>
      <c r="X129" s="34"/>
      <c r="Y129" s="35"/>
      <c r="Z129" s="35"/>
      <c r="AA129" s="35"/>
      <c r="AB129" s="240"/>
      <c r="AC129" s="36"/>
      <c r="AD129" s="26" t="str">
        <f>IF(M129="", "Error: Task name cannot be empty.", "")</f>
        <v/>
      </c>
    </row>
    <row r="130" spans="1:30" s="15" customFormat="1" ht="1.5" customHeight="1" outlineLevel="2" x14ac:dyDescent="0.35">
      <c r="A130" s="93" t="s">
        <v>101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175">
        <f ca="1">L129</f>
        <v>7</v>
      </c>
      <c r="M130" s="176" t="s">
        <v>105</v>
      </c>
      <c r="N130" s="173"/>
      <c r="O130" s="174"/>
      <c r="P130" s="33"/>
      <c r="Q130" s="33"/>
      <c r="R130" s="33"/>
      <c r="S130" s="33"/>
      <c r="T130" s="167"/>
      <c r="U130" s="33"/>
      <c r="V130" s="33"/>
      <c r="W130" s="33"/>
      <c r="X130" s="34"/>
      <c r="Y130" s="35"/>
      <c r="Z130" s="35"/>
      <c r="AA130" s="35"/>
      <c r="AB130" s="36"/>
      <c r="AC130" s="36"/>
      <c r="AD130" s="26"/>
    </row>
    <row r="131" spans="1:30" ht="29" outlineLevel="2" x14ac:dyDescent="0.35">
      <c r="A131" s="93" t="s">
        <v>0</v>
      </c>
      <c r="B131" s="21"/>
      <c r="C131" s="85"/>
      <c r="D131" s="85"/>
      <c r="E131" s="85"/>
      <c r="F131" s="86"/>
      <c r="G131" s="22" t="s">
        <v>23</v>
      </c>
      <c r="H131" s="22" t="s">
        <v>23</v>
      </c>
      <c r="I131" s="23" t="s">
        <v>23</v>
      </c>
      <c r="J131" s="22" t="s">
        <v>23</v>
      </c>
      <c r="K131" s="38"/>
      <c r="L131" s="22"/>
      <c r="M131" s="286" t="str">
        <f ca="1">IFERROR(OFFSET(M131,-1,,1,1)+0.1,OFFSET(M131,-1,-1,1,1)&amp;".1")</f>
        <v>7.1</v>
      </c>
      <c r="N131" s="23" t="s">
        <v>604</v>
      </c>
      <c r="O131" s="23"/>
      <c r="P131" s="23"/>
      <c r="Q131" s="144"/>
      <c r="R131" s="137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>1.75</v>
      </c>
      <c r="T131" s="170"/>
      <c r="U131" s="24">
        <v>0</v>
      </c>
      <c r="V131" s="24">
        <v>1</v>
      </c>
      <c r="W131" s="24">
        <v>0</v>
      </c>
      <c r="X131" s="168">
        <v>1.7</v>
      </c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1.75</v>
      </c>
      <c r="Z131" s="25"/>
      <c r="AA131" s="169">
        <f>Y131+Y131*VLOOKUP(I131,EXTRAS_ARRAY,2,FALSE)</f>
        <v>1.75</v>
      </c>
      <c r="AB131" s="23"/>
      <c r="AC131" s="37"/>
      <c r="AD131" s="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s="11" customFormat="1" ht="7.5" customHeight="1" outlineLevel="2" x14ac:dyDescent="0.35">
      <c r="A132" s="93" t="s">
        <v>132</v>
      </c>
      <c r="B132" s="18"/>
      <c r="C132" s="78"/>
      <c r="D132" s="78"/>
      <c r="E132" s="78"/>
      <c r="F132" s="78"/>
      <c r="G132" s="10"/>
      <c r="H132" s="10"/>
      <c r="I132" s="10"/>
      <c r="J132" s="10"/>
      <c r="K132" s="10"/>
      <c r="L132" s="10"/>
      <c r="M132" s="287"/>
      <c r="N132" s="10"/>
      <c r="O132" s="10"/>
      <c r="P132" s="10"/>
      <c r="Q132" s="10"/>
      <c r="R132" s="10"/>
      <c r="S132" s="10"/>
      <c r="T132" s="18"/>
      <c r="U132" s="10"/>
      <c r="V132" s="10"/>
      <c r="W132" s="10"/>
      <c r="X132" s="18"/>
      <c r="Y132" s="10"/>
      <c r="Z132" s="10"/>
      <c r="AA132" s="10"/>
      <c r="AB132" s="60"/>
      <c r="AC132" s="60"/>
      <c r="AD132" s="12"/>
    </row>
    <row r="133" spans="1:30" s="17" customFormat="1" ht="15.5" outlineLevel="1" x14ac:dyDescent="0.35">
      <c r="A133" s="93" t="s">
        <v>100</v>
      </c>
      <c r="B133" s="21"/>
      <c r="C133" s="84"/>
      <c r="D133" s="84"/>
      <c r="E133" s="84"/>
      <c r="F133" s="83"/>
      <c r="G133" s="32"/>
      <c r="H133" s="32"/>
      <c r="I133" s="32"/>
      <c r="J133" s="32"/>
      <c r="K133" s="32"/>
      <c r="L133" s="20">
        <f ca="1">LOOKUP(1000,INDIRECT("L1:"&amp;CELL("address",INDIRECT("R[-1]C",FALSE))))+1</f>
        <v>8</v>
      </c>
      <c r="M133" s="326" t="s">
        <v>605</v>
      </c>
      <c r="N133" s="326"/>
      <c r="O133" s="5"/>
      <c r="P133" s="33"/>
      <c r="Q133" s="33"/>
      <c r="R133" s="33"/>
      <c r="S133" s="33"/>
      <c r="T133" s="167">
        <f>IF($S$6="Exclude", SUMIFS(S134:S136, J134:J136, "&lt;&gt;Yes", G134:G136, "&lt;&gt;Yes"), SUMIFS(S134:S136, J134:J136, "&lt;&gt;Yes"))</f>
        <v>1.75</v>
      </c>
      <c r="U133" s="33"/>
      <c r="V133" s="33"/>
      <c r="W133" s="33"/>
      <c r="X133" s="34"/>
      <c r="Y133" s="35"/>
      <c r="Z133" s="35"/>
      <c r="AA133" s="35"/>
      <c r="AB133" s="240"/>
      <c r="AC133" s="36"/>
      <c r="AD133" s="26" t="str">
        <f>IF(M133="", "Error: Task name cannot be empty.", "")</f>
        <v/>
      </c>
    </row>
    <row r="134" spans="1:30" s="15" customFormat="1" ht="1.5" customHeight="1" outlineLevel="2" x14ac:dyDescent="0.35">
      <c r="A134" s="93" t="s">
        <v>101</v>
      </c>
      <c r="B134" s="21"/>
      <c r="C134" s="84"/>
      <c r="D134" s="84"/>
      <c r="E134" s="84"/>
      <c r="F134" s="83"/>
      <c r="G134" s="32"/>
      <c r="H134" s="32"/>
      <c r="I134" s="32"/>
      <c r="J134" s="32"/>
      <c r="K134" s="32"/>
      <c r="L134" s="175">
        <f ca="1">L133</f>
        <v>8</v>
      </c>
      <c r="M134" s="176" t="s">
        <v>105</v>
      </c>
      <c r="N134" s="173"/>
      <c r="O134" s="174"/>
      <c r="P134" s="33"/>
      <c r="Q134" s="33"/>
      <c r="R134" s="33"/>
      <c r="S134" s="33"/>
      <c r="T134" s="167"/>
      <c r="U134" s="33"/>
      <c r="V134" s="33"/>
      <c r="W134" s="33"/>
      <c r="X134" s="34"/>
      <c r="Y134" s="35"/>
      <c r="Z134" s="35"/>
      <c r="AA134" s="35"/>
      <c r="AB134" s="36"/>
      <c r="AC134" s="36"/>
      <c r="AD134" s="26"/>
    </row>
    <row r="135" spans="1:30" ht="43.5" outlineLevel="2" x14ac:dyDescent="0.35">
      <c r="A135" s="93" t="s">
        <v>0</v>
      </c>
      <c r="B135" s="21"/>
      <c r="C135" s="85"/>
      <c r="D135" s="85"/>
      <c r="E135" s="85"/>
      <c r="F135" s="86"/>
      <c r="G135" s="22" t="s">
        <v>23</v>
      </c>
      <c r="H135" s="22" t="s">
        <v>23</v>
      </c>
      <c r="I135" s="23" t="s">
        <v>23</v>
      </c>
      <c r="J135" s="22" t="s">
        <v>23</v>
      </c>
      <c r="K135" s="38"/>
      <c r="L135" s="22"/>
      <c r="M135" s="286" t="str">
        <f ca="1">IFERROR(OFFSET(M135,-1,,1,1)+0.1,OFFSET(M135,-1,-1,1,1)&amp;".1")</f>
        <v>8.1</v>
      </c>
      <c r="N135" s="23" t="s">
        <v>606</v>
      </c>
      <c r="O135" s="23"/>
      <c r="P135" s="23"/>
      <c r="Q135" s="144"/>
      <c r="R135" s="137"/>
      <c r="S135" s="169">
        <f>CEILING((IF(J135="Yes", 0, IF(H135="-",AA135,AA135+AA135*VLOOKUP(H135,BUFFERS_BY_TYPE,2,FALSE)))) +
   (IF(J135="Yes", 0, IF(H135="-",AA135,AA135+AA135*VLOOKUP(H135,BUFFERS_BY_TYPE,2,FALSE))))*VLOOKUP($S$5, SALES_CALL_SCALE_ARRAY, 2,FALSE),0.25)</f>
        <v>1.75</v>
      </c>
      <c r="T135" s="170"/>
      <c r="U135" s="24">
        <v>0</v>
      </c>
      <c r="V135" s="24">
        <v>1</v>
      </c>
      <c r="W135" s="24">
        <v>0</v>
      </c>
      <c r="X135" s="168">
        <v>1.6</v>
      </c>
      <c r="Y135" s="169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1.75</v>
      </c>
      <c r="Z135" s="25"/>
      <c r="AA135" s="169">
        <f>Y135+Y135*VLOOKUP(I135,EXTRAS_ARRAY,2,FALSE)</f>
        <v>1.75</v>
      </c>
      <c r="AB135" s="23"/>
      <c r="AC135" s="37"/>
      <c r="AD135" s="26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s="11" customFormat="1" ht="7.5" customHeight="1" outlineLevel="2" x14ac:dyDescent="0.35">
      <c r="A136" s="93" t="s">
        <v>132</v>
      </c>
      <c r="B136" s="18"/>
      <c r="C136" s="78"/>
      <c r="D136" s="78"/>
      <c r="E136" s="78"/>
      <c r="F136" s="78"/>
      <c r="G136" s="10"/>
      <c r="H136" s="10"/>
      <c r="I136" s="10"/>
      <c r="J136" s="10"/>
      <c r="K136" s="10"/>
      <c r="L136" s="10"/>
      <c r="M136" s="287"/>
      <c r="N136" s="10"/>
      <c r="O136" s="10"/>
      <c r="P136" s="10"/>
      <c r="Q136" s="10"/>
      <c r="R136" s="10"/>
      <c r="S136" s="10"/>
      <c r="T136" s="18"/>
      <c r="U136" s="10"/>
      <c r="V136" s="10"/>
      <c r="W136" s="10"/>
      <c r="X136" s="18"/>
      <c r="Y136" s="10"/>
      <c r="Z136" s="10"/>
      <c r="AA136" s="10"/>
      <c r="AB136" s="60"/>
      <c r="AC136" s="60"/>
      <c r="AD136" s="12"/>
    </row>
    <row r="137" spans="1:30" s="17" customFormat="1" ht="15.5" outlineLevel="1" x14ac:dyDescent="0.35">
      <c r="A137" s="93" t="s">
        <v>100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20">
        <f ca="1">LOOKUP(1000,INDIRECT("L1:"&amp;CELL("address",INDIRECT("R[-1]C",FALSE))))+1</f>
        <v>9</v>
      </c>
      <c r="M137" s="326" t="s">
        <v>607</v>
      </c>
      <c r="N137" s="326"/>
      <c r="O137" s="5"/>
      <c r="P137" s="33"/>
      <c r="Q137" s="33"/>
      <c r="R137" s="33"/>
      <c r="S137" s="33"/>
      <c r="T137" s="167">
        <f>IF($S$6="Exclude", SUMIFS(S138:S141, J138:J141, "&lt;&gt;Yes", G138:G141, "&lt;&gt;Yes"), SUMIFS(S138:S141, J138:J141, "&lt;&gt;Yes"))</f>
        <v>2.75</v>
      </c>
      <c r="U137" s="33"/>
      <c r="V137" s="33"/>
      <c r="W137" s="33"/>
      <c r="X137" s="34"/>
      <c r="Y137" s="35"/>
      <c r="Z137" s="35"/>
      <c r="AA137" s="35"/>
      <c r="AB137" s="240"/>
      <c r="AC137" s="36"/>
      <c r="AD137" s="26" t="str">
        <f>IF(M137="", "Error: Task name cannot be empty.", "")</f>
        <v/>
      </c>
    </row>
    <row r="138" spans="1:30" s="15" customFormat="1" ht="1.5" customHeight="1" outlineLevel="2" x14ac:dyDescent="0.35">
      <c r="A138" s="93" t="s">
        <v>101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175">
        <f ca="1">L137</f>
        <v>9</v>
      </c>
      <c r="M138" s="176" t="s">
        <v>105</v>
      </c>
      <c r="N138" s="173"/>
      <c r="O138" s="174"/>
      <c r="P138" s="33"/>
      <c r="Q138" s="33"/>
      <c r="R138" s="33"/>
      <c r="S138" s="33"/>
      <c r="T138" s="167"/>
      <c r="U138" s="33"/>
      <c r="V138" s="33"/>
      <c r="W138" s="33"/>
      <c r="X138" s="34"/>
      <c r="Y138" s="35"/>
      <c r="Z138" s="35"/>
      <c r="AA138" s="35"/>
      <c r="AB138" s="36"/>
      <c r="AC138" s="36"/>
      <c r="AD138" s="26"/>
    </row>
    <row r="139" spans="1:30" ht="58" outlineLevel="2" x14ac:dyDescent="0.35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 t="str">
        <f ca="1">IFERROR(OFFSET(M139,-1,,1,1)+0.1,OFFSET(M139,-1,-1,1,1)&amp;".1")</f>
        <v>9.1</v>
      </c>
      <c r="N139" s="23" t="s">
        <v>608</v>
      </c>
      <c r="O139" s="23"/>
      <c r="P139" s="23"/>
      <c r="Q139" s="144"/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2.25</v>
      </c>
      <c r="T139" s="170"/>
      <c r="U139" s="24">
        <v>0</v>
      </c>
      <c r="V139" s="24">
        <v>1</v>
      </c>
      <c r="W139" s="24">
        <v>0</v>
      </c>
      <c r="X139" s="168">
        <v>2.2000000000000002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2.25</v>
      </c>
      <c r="Z139" s="25"/>
      <c r="AA139" s="169">
        <f>Y139+Y139*VLOOKUP(I139,EXTRAS_ARRAY,2,FALSE)</f>
        <v>2.25</v>
      </c>
      <c r="AB139" s="23"/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29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>
        <f ca="1">IFERROR(OFFSET(M140,-1,,1,1)+0.1,OFFSET(M140,-1,-1,1,1)&amp;".1")</f>
        <v>9.1999999999999993</v>
      </c>
      <c r="N140" s="23" t="s">
        <v>609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0.5</v>
      </c>
      <c r="T140" s="170"/>
      <c r="U140" s="24">
        <v>0</v>
      </c>
      <c r="V140" s="24">
        <v>1</v>
      </c>
      <c r="W140" s="24">
        <v>0</v>
      </c>
      <c r="X140" s="168">
        <v>0.5</v>
      </c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0.5</v>
      </c>
      <c r="Z140" s="25"/>
      <c r="AA140" s="169">
        <f>Y140+Y140*VLOOKUP(I140,EXTRAS_ARRAY,2,FALSE)</f>
        <v>0.5</v>
      </c>
      <c r="AB140" s="23"/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11" customFormat="1" ht="7.5" customHeight="1" outlineLevel="2" x14ac:dyDescent="0.35">
      <c r="A141" s="93" t="s">
        <v>132</v>
      </c>
      <c r="B141" s="18"/>
      <c r="C141" s="78"/>
      <c r="D141" s="78"/>
      <c r="E141" s="78"/>
      <c r="F141" s="78"/>
      <c r="G141" s="10"/>
      <c r="H141" s="10"/>
      <c r="I141" s="10"/>
      <c r="J141" s="10"/>
      <c r="K141" s="10"/>
      <c r="L141" s="10"/>
      <c r="M141" s="287"/>
      <c r="N141" s="10"/>
      <c r="O141" s="10"/>
      <c r="P141" s="10"/>
      <c r="Q141" s="10"/>
      <c r="R141" s="10"/>
      <c r="S141" s="10"/>
      <c r="T141" s="18"/>
      <c r="U141" s="10"/>
      <c r="V141" s="10"/>
      <c r="W141" s="10"/>
      <c r="X141" s="18"/>
      <c r="Y141" s="10"/>
      <c r="Z141" s="10"/>
      <c r="AA141" s="10"/>
      <c r="AB141" s="60"/>
      <c r="AC141" s="60"/>
      <c r="AD141" s="12"/>
    </row>
    <row r="142" spans="1:30" s="17" customFormat="1" ht="15.5" outlineLevel="1" x14ac:dyDescent="0.35">
      <c r="A142" s="93" t="s">
        <v>100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20">
        <f ca="1">LOOKUP(1000,INDIRECT("L1:"&amp;CELL("address",INDIRECT("R[-1]C",FALSE))))+1</f>
        <v>10</v>
      </c>
      <c r="M142" s="326" t="s">
        <v>611</v>
      </c>
      <c r="N142" s="326"/>
      <c r="O142" s="5"/>
      <c r="P142" s="33"/>
      <c r="Q142" s="33"/>
      <c r="R142" s="33"/>
      <c r="S142" s="33"/>
      <c r="T142" s="167">
        <f>IF($S$6="Exclude", SUMIFS(S143:S145, J143:J145, "&lt;&gt;Yes", G143:G145, "&lt;&gt;Yes"), SUMIFS(S143:S145, J143:J145, "&lt;&gt;Yes"))</f>
        <v>2.25</v>
      </c>
      <c r="U142" s="33"/>
      <c r="V142" s="33"/>
      <c r="W142" s="33"/>
      <c r="X142" s="34"/>
      <c r="Y142" s="35"/>
      <c r="Z142" s="35"/>
      <c r="AA142" s="35"/>
      <c r="AB142" s="240"/>
      <c r="AC142" s="36"/>
      <c r="AD142" s="26" t="str">
        <f>IF(M142="", "Error: Task name cannot be empty.", "")</f>
        <v/>
      </c>
    </row>
    <row r="143" spans="1:30" s="15" customFormat="1" ht="1.5" customHeight="1" outlineLevel="2" x14ac:dyDescent="0.35">
      <c r="A143" s="93" t="s">
        <v>101</v>
      </c>
      <c r="B143" s="21"/>
      <c r="C143" s="84"/>
      <c r="D143" s="84"/>
      <c r="E143" s="84"/>
      <c r="F143" s="83"/>
      <c r="G143" s="32"/>
      <c r="H143" s="32"/>
      <c r="I143" s="32"/>
      <c r="J143" s="32"/>
      <c r="K143" s="32"/>
      <c r="L143" s="175">
        <f ca="1">L142</f>
        <v>10</v>
      </c>
      <c r="M143" s="176" t="s">
        <v>105</v>
      </c>
      <c r="N143" s="173"/>
      <c r="O143" s="174"/>
      <c r="P143" s="33"/>
      <c r="Q143" s="33"/>
      <c r="R143" s="33"/>
      <c r="S143" s="33"/>
      <c r="T143" s="167"/>
      <c r="U143" s="33"/>
      <c r="V143" s="33"/>
      <c r="W143" s="33"/>
      <c r="X143" s="34"/>
      <c r="Y143" s="35"/>
      <c r="Z143" s="35"/>
      <c r="AA143" s="35"/>
      <c r="AB143" s="36"/>
      <c r="AC143" s="36"/>
      <c r="AD143" s="26"/>
    </row>
    <row r="144" spans="1:30" ht="58" outlineLevel="2" x14ac:dyDescent="0.35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 t="str">
        <f ca="1">IFERROR(OFFSET(M144,-1,,1,1)+0.1,OFFSET(M144,-1,-1,1,1)&amp;".1")</f>
        <v>10.1</v>
      </c>
      <c r="N144" s="23" t="s">
        <v>612</v>
      </c>
      <c r="O144" s="23"/>
      <c r="P144" s="23"/>
      <c r="Q144" s="144"/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2.25</v>
      </c>
      <c r="T144" s="170"/>
      <c r="U144" s="24">
        <v>0</v>
      </c>
      <c r="V144" s="24">
        <v>1</v>
      </c>
      <c r="W144" s="24">
        <v>0</v>
      </c>
      <c r="X144" s="168">
        <v>2.2000000000000002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2.25</v>
      </c>
      <c r="Z144" s="25"/>
      <c r="AA144" s="169">
        <f>Y144+Y144*VLOOKUP(I144,EXTRAS_ARRAY,2,FALSE)</f>
        <v>2.25</v>
      </c>
      <c r="AB144" s="23"/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customHeight="1" outlineLevel="2" x14ac:dyDescent="0.35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5" outlineLevel="1" x14ac:dyDescent="0.35">
      <c r="A146" s="93" t="s">
        <v>100</v>
      </c>
      <c r="B146" s="21"/>
      <c r="C146" s="84"/>
      <c r="D146" s="84"/>
      <c r="E146" s="84"/>
      <c r="F146" s="83"/>
      <c r="G146" s="32"/>
      <c r="H146" s="32"/>
      <c r="I146" s="32"/>
      <c r="J146" s="32"/>
      <c r="K146" s="32"/>
      <c r="L146" s="20">
        <f ca="1">LOOKUP(1000,INDIRECT("L1:"&amp;CELL("address",INDIRECT("R[-1]C",FALSE))))+1</f>
        <v>11</v>
      </c>
      <c r="M146" s="326" t="s">
        <v>613</v>
      </c>
      <c r="N146" s="326"/>
      <c r="O146" s="5"/>
      <c r="P146" s="33"/>
      <c r="Q146" s="33"/>
      <c r="R146" s="33"/>
      <c r="S146" s="33"/>
      <c r="T146" s="167">
        <f>IF($S$6="Exclude", SUMIFS(S147:S149, J147:J149, "&lt;&gt;Yes", G147:G149, "&lt;&gt;Yes"), SUMIFS(S147:S149, J147:J149, "&lt;&gt;Yes"))</f>
        <v>3.5</v>
      </c>
      <c r="U146" s="33"/>
      <c r="V146" s="33"/>
      <c r="W146" s="33"/>
      <c r="X146" s="34"/>
      <c r="Y146" s="35"/>
      <c r="Z146" s="35"/>
      <c r="AA146" s="35"/>
      <c r="AB146" s="240"/>
      <c r="AC146" s="36"/>
      <c r="AD146" s="26" t="str">
        <f>IF(M146="", "Error: Task name cannot be empty.", "")</f>
        <v/>
      </c>
    </row>
    <row r="147" spans="1:30" s="15" customFormat="1" ht="1.5" customHeight="1" outlineLevel="2" x14ac:dyDescent="0.35">
      <c r="A147" s="93" t="s">
        <v>101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175">
        <f ca="1">L146</f>
        <v>11</v>
      </c>
      <c r="M147" s="176" t="s">
        <v>105</v>
      </c>
      <c r="N147" s="173"/>
      <c r="O147" s="174"/>
      <c r="P147" s="33"/>
      <c r="Q147" s="33"/>
      <c r="R147" s="33"/>
      <c r="S147" s="33"/>
      <c r="T147" s="167"/>
      <c r="U147" s="33"/>
      <c r="V147" s="33"/>
      <c r="W147" s="33"/>
      <c r="X147" s="34"/>
      <c r="Y147" s="35"/>
      <c r="Z147" s="35"/>
      <c r="AA147" s="35"/>
      <c r="AB147" s="36"/>
      <c r="AC147" s="36"/>
      <c r="AD147" s="26"/>
    </row>
    <row r="148" spans="1:30" ht="58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/>
      <c r="L148" s="22"/>
      <c r="M148" s="286" t="str">
        <f ca="1">IFERROR(OFFSET(M148,-1,,1,1)+0.1,OFFSET(M148,-1,-1,1,1)&amp;".1")</f>
        <v>11.1</v>
      </c>
      <c r="N148" s="23" t="s">
        <v>614</v>
      </c>
      <c r="O148" s="23"/>
      <c r="P148" s="23"/>
      <c r="Q148" s="144"/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3.5</v>
      </c>
      <c r="T148" s="170"/>
      <c r="U148" s="24">
        <v>0</v>
      </c>
      <c r="V148" s="24">
        <v>1</v>
      </c>
      <c r="W148" s="24">
        <v>0</v>
      </c>
      <c r="X148" s="168">
        <v>3.3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3.5</v>
      </c>
      <c r="Z148" s="25"/>
      <c r="AA148" s="169">
        <f>Y148+Y148*VLOOKUP(I148,EXTRAS_ARRAY,2,FALSE)</f>
        <v>3.5</v>
      </c>
      <c r="AB148" s="23"/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s="11" customFormat="1" ht="7.5" customHeight="1" outlineLevel="2" x14ac:dyDescent="0.35">
      <c r="A149" s="93" t="s">
        <v>132</v>
      </c>
      <c r="B149" s="18"/>
      <c r="C149" s="78"/>
      <c r="D149" s="78"/>
      <c r="E149" s="78"/>
      <c r="F149" s="78"/>
      <c r="G149" s="10"/>
      <c r="H149" s="10"/>
      <c r="I149" s="10"/>
      <c r="J149" s="10"/>
      <c r="K149" s="10"/>
      <c r="L149" s="10"/>
      <c r="M149" s="287"/>
      <c r="N149" s="10"/>
      <c r="O149" s="10"/>
      <c r="P149" s="10"/>
      <c r="Q149" s="10"/>
      <c r="R149" s="10"/>
      <c r="S149" s="10"/>
      <c r="T149" s="18"/>
      <c r="U149" s="10"/>
      <c r="V149" s="10"/>
      <c r="W149" s="10"/>
      <c r="X149" s="18"/>
      <c r="Y149" s="10"/>
      <c r="Z149" s="10"/>
      <c r="AA149" s="10"/>
      <c r="AB149" s="60"/>
      <c r="AC149" s="60"/>
      <c r="AD149" s="12"/>
    </row>
    <row r="150" spans="1:30" s="17" customFormat="1" ht="15.5" outlineLevel="1" x14ac:dyDescent="0.35">
      <c r="A150" s="93" t="s">
        <v>100</v>
      </c>
      <c r="B150" s="21"/>
      <c r="C150" s="84"/>
      <c r="D150" s="84"/>
      <c r="E150" s="84"/>
      <c r="F150" s="83"/>
      <c r="G150" s="32"/>
      <c r="H150" s="32"/>
      <c r="I150" s="32"/>
      <c r="J150" s="32"/>
      <c r="K150" s="32"/>
      <c r="L150" s="20">
        <f ca="1">LOOKUP(1000,INDIRECT("L1:"&amp;CELL("address",INDIRECT("R[-1]C",FALSE))))+1</f>
        <v>12</v>
      </c>
      <c r="M150" s="326" t="s">
        <v>615</v>
      </c>
      <c r="N150" s="326"/>
      <c r="O150" s="5"/>
      <c r="P150" s="33"/>
      <c r="Q150" s="33"/>
      <c r="R150" s="33"/>
      <c r="S150" s="33"/>
      <c r="T150" s="167">
        <f>IF($S$6="Exclude", SUMIFS(S151:S155, J151:J155, "&lt;&gt;Yes", G151:G155, "&lt;&gt;Yes"), SUMIFS(S151:S155, J151:J155, "&lt;&gt;Yes"))</f>
        <v>5.75</v>
      </c>
      <c r="U150" s="33"/>
      <c r="V150" s="33"/>
      <c r="W150" s="33"/>
      <c r="X150" s="34"/>
      <c r="Y150" s="35"/>
      <c r="Z150" s="35"/>
      <c r="AA150" s="35"/>
      <c r="AB150" s="240"/>
      <c r="AC150" s="36"/>
      <c r="AD150" s="26" t="str">
        <f>IF(M150="", "Error: Task name cannot be empty.", "")</f>
        <v/>
      </c>
    </row>
    <row r="151" spans="1:30" s="15" customFormat="1" ht="1.5" customHeight="1" outlineLevel="2" x14ac:dyDescent="0.35">
      <c r="A151" s="93" t="s">
        <v>101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175">
        <f ca="1">L150</f>
        <v>12</v>
      </c>
      <c r="M151" s="176" t="s">
        <v>105</v>
      </c>
      <c r="N151" s="173"/>
      <c r="O151" s="174"/>
      <c r="P151" s="33"/>
      <c r="Q151" s="33"/>
      <c r="R151" s="33"/>
      <c r="S151" s="33"/>
      <c r="T151" s="167"/>
      <c r="U151" s="33"/>
      <c r="V151" s="33"/>
      <c r="W151" s="33"/>
      <c r="X151" s="34"/>
      <c r="Y151" s="35"/>
      <c r="Z151" s="35"/>
      <c r="AA151" s="35"/>
      <c r="AB151" s="36"/>
      <c r="AC151" s="36"/>
      <c r="AD151" s="26"/>
    </row>
    <row r="152" spans="1:30" ht="58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 t="str">
        <f ca="1">IFERROR(OFFSET(M152,-1,,1,1)+0.1,OFFSET(M152,-1,-1,1,1)&amp;".1")</f>
        <v>12.1</v>
      </c>
      <c r="N152" s="23" t="s">
        <v>616</v>
      </c>
      <c r="O152" s="23"/>
      <c r="P152" s="23"/>
      <c r="Q152" s="144"/>
      <c r="R152" s="137"/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1.25</v>
      </c>
      <c r="T152" s="170"/>
      <c r="U152" s="24">
        <v>0</v>
      </c>
      <c r="V152" s="24">
        <v>1</v>
      </c>
      <c r="W152" s="24">
        <v>0</v>
      </c>
      <c r="X152" s="168">
        <v>1.1000000000000001</v>
      </c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1.25</v>
      </c>
      <c r="Z152" s="25"/>
      <c r="AA152" s="169">
        <f>Y152+Y152*VLOOKUP(I152,EXTRAS_ARRAY,2,FALSE)</f>
        <v>1.25</v>
      </c>
      <c r="AB152" s="23"/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43.5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12.2</v>
      </c>
      <c r="N153" s="23" t="s">
        <v>617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1.75</v>
      </c>
      <c r="T153" s="170"/>
      <c r="U153" s="24">
        <v>0</v>
      </c>
      <c r="V153" s="24">
        <v>1</v>
      </c>
      <c r="W153" s="24">
        <v>0</v>
      </c>
      <c r="X153" s="168">
        <v>1.6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1.75</v>
      </c>
      <c r="Z153" s="25"/>
      <c r="AA153" s="169">
        <f>Y153+Y153*VLOOKUP(I153,EXTRAS_ARRAY,2,FALSE)</f>
        <v>1.75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/>
      <c r="L154" s="22"/>
      <c r="M154" s="286">
        <f ca="1">IFERROR(OFFSET(M154,-1,,1,1)+0.1,OFFSET(M154,-1,-1,1,1)&amp;".1")</f>
        <v>12.299999999999999</v>
      </c>
      <c r="N154" s="23" t="s">
        <v>618</v>
      </c>
      <c r="O154" s="23"/>
      <c r="P154" s="23"/>
      <c r="Q154" s="144"/>
      <c r="R154" s="137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2.75</v>
      </c>
      <c r="T154" s="170"/>
      <c r="U154" s="24">
        <v>0</v>
      </c>
      <c r="V154" s="24">
        <v>1</v>
      </c>
      <c r="W154" s="24">
        <v>0</v>
      </c>
      <c r="X154" s="168">
        <v>2.6</v>
      </c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2.75</v>
      </c>
      <c r="Z154" s="25"/>
      <c r="AA154" s="169">
        <f>Y154+Y154*VLOOKUP(I154,EXTRAS_ARRAY,2,FALSE)</f>
        <v>2.75</v>
      </c>
      <c r="AB154" s="23"/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11" customFormat="1" ht="7.5" customHeight="1" outlineLevel="2" x14ac:dyDescent="0.35">
      <c r="A155" s="93" t="s">
        <v>132</v>
      </c>
      <c r="B155" s="18"/>
      <c r="C155" s="78"/>
      <c r="D155" s="78"/>
      <c r="E155" s="78"/>
      <c r="F155" s="78"/>
      <c r="G155" s="10"/>
      <c r="H155" s="10"/>
      <c r="I155" s="10"/>
      <c r="J155" s="10"/>
      <c r="K155" s="10"/>
      <c r="L155" s="10"/>
      <c r="M155" s="287"/>
      <c r="N155" s="10"/>
      <c r="O155" s="10"/>
      <c r="P155" s="10"/>
      <c r="Q155" s="10"/>
      <c r="R155" s="10"/>
      <c r="S155" s="10"/>
      <c r="T155" s="18"/>
      <c r="U155" s="10"/>
      <c r="V155" s="10"/>
      <c r="W155" s="10"/>
      <c r="X155" s="18"/>
      <c r="Y155" s="10"/>
      <c r="Z155" s="10"/>
      <c r="AA155" s="10"/>
      <c r="AB155" s="60"/>
      <c r="AC155" s="60"/>
      <c r="AD155" s="12"/>
    </row>
    <row r="156" spans="1:30" s="17" customFormat="1" ht="15.5" outlineLevel="1" x14ac:dyDescent="0.35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13</v>
      </c>
      <c r="M156" s="326" t="s">
        <v>619</v>
      </c>
      <c r="N156" s="326"/>
      <c r="O156" s="5"/>
      <c r="P156" s="33"/>
      <c r="Q156" s="33"/>
      <c r="R156" s="33"/>
      <c r="S156" s="33"/>
      <c r="T156" s="167">
        <f>IF($S$6="Exclude", SUMIFS(S157:S160, J157:J160, "&lt;&gt;Yes", G157:G160, "&lt;&gt;Yes"), SUMIFS(S157:S160, J157:J160, "&lt;&gt;Yes"))</f>
        <v>4.75</v>
      </c>
      <c r="U156" s="33"/>
      <c r="V156" s="33"/>
      <c r="W156" s="33"/>
      <c r="X156" s="34"/>
      <c r="Y156" s="35"/>
      <c r="Z156" s="35"/>
      <c r="AA156" s="35"/>
      <c r="AB156" s="240"/>
      <c r="AC156" s="36"/>
      <c r="AD156" s="26" t="str">
        <f>IF(M156="", "Error: Task name cannot be empty.", "")</f>
        <v/>
      </c>
    </row>
    <row r="157" spans="1:30" s="15" customFormat="1" ht="1.5" customHeight="1" outlineLevel="2" x14ac:dyDescent="0.35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13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58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13.1</v>
      </c>
      <c r="N158" s="23" t="s">
        <v>620</v>
      </c>
      <c r="O158" s="23"/>
      <c r="P158" s="23"/>
      <c r="Q158" s="144"/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3.5</v>
      </c>
      <c r="T158" s="170"/>
      <c r="U158" s="24">
        <v>0</v>
      </c>
      <c r="V158" s="24">
        <v>1</v>
      </c>
      <c r="W158" s="24">
        <v>0</v>
      </c>
      <c r="X158" s="168">
        <v>3.3</v>
      </c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3.5</v>
      </c>
      <c r="Z158" s="25"/>
      <c r="AA158" s="169">
        <f>Y158+Y158*VLOOKUP(I158,EXTRAS_ARRAY,2,FALSE)</f>
        <v>3.5</v>
      </c>
      <c r="AB158" s="23"/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43.5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13.2</v>
      </c>
      <c r="N159" s="23" t="s">
        <v>621</v>
      </c>
      <c r="O159" s="23"/>
      <c r="P159" s="23"/>
      <c r="Q159" s="144"/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1.25</v>
      </c>
      <c r="T159" s="170"/>
      <c r="U159" s="24">
        <v>0</v>
      </c>
      <c r="V159" s="24">
        <v>1</v>
      </c>
      <c r="W159" s="24">
        <v>0</v>
      </c>
      <c r="X159" s="168">
        <v>1.1000000000000001</v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1.25</v>
      </c>
      <c r="Z159" s="25"/>
      <c r="AA159" s="169">
        <f>Y159+Y159*VLOOKUP(I159,EXTRAS_ARRAY,2,FALSE)</f>
        <v>1.25</v>
      </c>
      <c r="AB159" s="23"/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s="11" customFormat="1" ht="7.5" customHeight="1" outlineLevel="2" x14ac:dyDescent="0.35">
      <c r="A160" s="93" t="s">
        <v>132</v>
      </c>
      <c r="B160" s="18"/>
      <c r="C160" s="78"/>
      <c r="D160" s="78"/>
      <c r="E160" s="78"/>
      <c r="F160" s="78"/>
      <c r="G160" s="10"/>
      <c r="H160" s="10"/>
      <c r="I160" s="10"/>
      <c r="J160" s="10"/>
      <c r="K160" s="10"/>
      <c r="L160" s="10"/>
      <c r="M160" s="287"/>
      <c r="N160" s="10"/>
      <c r="O160" s="10"/>
      <c r="P160" s="10"/>
      <c r="Q160" s="10"/>
      <c r="R160" s="10"/>
      <c r="S160" s="10"/>
      <c r="T160" s="18"/>
      <c r="U160" s="10"/>
      <c r="V160" s="10"/>
      <c r="W160" s="10"/>
      <c r="X160" s="18"/>
      <c r="Y160" s="10"/>
      <c r="Z160" s="10"/>
      <c r="AA160" s="10"/>
      <c r="AB160" s="60"/>
      <c r="AC160" s="60"/>
      <c r="AD160" s="12"/>
    </row>
    <row r="161" spans="1:30" s="17" customFormat="1" ht="15.5" outlineLevel="1" x14ac:dyDescent="0.35">
      <c r="A161" s="93" t="s">
        <v>100</v>
      </c>
      <c r="B161" s="21"/>
      <c r="C161" s="84"/>
      <c r="D161" s="84"/>
      <c r="E161" s="84"/>
      <c r="F161" s="83"/>
      <c r="G161" s="32"/>
      <c r="H161" s="32"/>
      <c r="I161" s="32"/>
      <c r="J161" s="32"/>
      <c r="K161" s="32"/>
      <c r="L161" s="20">
        <f ca="1">LOOKUP(1000,INDIRECT("L1:"&amp;CELL("address",INDIRECT("R[-1]C",FALSE))))+1</f>
        <v>14</v>
      </c>
      <c r="M161" s="326" t="s">
        <v>610</v>
      </c>
      <c r="N161" s="326"/>
      <c r="O161" s="5"/>
      <c r="P161" s="33"/>
      <c r="Q161" s="33"/>
      <c r="R161" s="33"/>
      <c r="S161" s="33"/>
      <c r="T161" s="167">
        <f>IF($S$6="Exclude", SUMIFS(S162:S164, J162:J164, "&lt;&gt;Yes", G162:G164, "&lt;&gt;Yes"), SUMIFS(S162:S164, J162:J164, "&lt;&gt;Yes"))</f>
        <v>3.5</v>
      </c>
      <c r="U161" s="33"/>
      <c r="V161" s="33"/>
      <c r="W161" s="33"/>
      <c r="X161" s="34"/>
      <c r="Y161" s="35"/>
      <c r="Z161" s="35"/>
      <c r="AA161" s="35"/>
      <c r="AB161" s="240"/>
      <c r="AC161" s="36"/>
      <c r="AD161" s="26" t="str">
        <f>IF(M161="", "Error: Task name cannot be empty.", "")</f>
        <v/>
      </c>
    </row>
    <row r="162" spans="1:30" s="15" customFormat="1" ht="1.5" customHeight="1" outlineLevel="2" x14ac:dyDescent="0.35">
      <c r="A162" s="93" t="s">
        <v>101</v>
      </c>
      <c r="B162" s="21"/>
      <c r="C162" s="84"/>
      <c r="D162" s="84"/>
      <c r="E162" s="84"/>
      <c r="F162" s="83"/>
      <c r="G162" s="32"/>
      <c r="H162" s="32"/>
      <c r="I162" s="32"/>
      <c r="J162" s="32"/>
      <c r="K162" s="32"/>
      <c r="L162" s="175">
        <f ca="1">L161</f>
        <v>14</v>
      </c>
      <c r="M162" s="176" t="s">
        <v>105</v>
      </c>
      <c r="N162" s="173"/>
      <c r="O162" s="174"/>
      <c r="P162" s="33"/>
      <c r="Q162" s="33"/>
      <c r="R162" s="33"/>
      <c r="S162" s="33"/>
      <c r="T162" s="167"/>
      <c r="U162" s="33"/>
      <c r="V162" s="33"/>
      <c r="W162" s="33"/>
      <c r="X162" s="34"/>
      <c r="Y162" s="35"/>
      <c r="Z162" s="35"/>
      <c r="AA162" s="35"/>
      <c r="AB162" s="36"/>
      <c r="AC162" s="36"/>
      <c r="AD162" s="26"/>
    </row>
    <row r="163" spans="1:30" ht="58" outlineLevel="2" x14ac:dyDescent="0.35">
      <c r="A163" s="93" t="s">
        <v>0</v>
      </c>
      <c r="B163" s="21"/>
      <c r="C163" s="85"/>
      <c r="D163" s="85"/>
      <c r="E163" s="85"/>
      <c r="F163" s="86"/>
      <c r="G163" s="22" t="s">
        <v>23</v>
      </c>
      <c r="H163" s="22" t="s">
        <v>23</v>
      </c>
      <c r="I163" s="23" t="s">
        <v>23</v>
      </c>
      <c r="J163" s="22" t="s">
        <v>23</v>
      </c>
      <c r="K163" s="38"/>
      <c r="L163" s="22"/>
      <c r="M163" s="286" t="str">
        <f ca="1">IFERROR(OFFSET(M163,-1,,1,1)+0.1,OFFSET(M163,-1,-1,1,1)&amp;".1")</f>
        <v>14.1</v>
      </c>
      <c r="N163" s="23" t="s">
        <v>622</v>
      </c>
      <c r="O163" s="23"/>
      <c r="P163" s="23"/>
      <c r="Q163" s="144"/>
      <c r="R163" s="137"/>
      <c r="S163" s="169">
        <f>CEILING((IF(J163="Yes", 0, IF(H163="-",AA163,AA163+AA163*VLOOKUP(H163,BUFFERS_BY_TYPE,2,FALSE)))) +
   (IF(J163="Yes", 0, IF(H163="-",AA163,AA163+AA163*VLOOKUP(H163,BUFFERS_BY_TYPE,2,FALSE))))*VLOOKUP($S$5, SALES_CALL_SCALE_ARRAY, 2,FALSE),0.25)</f>
        <v>3.5</v>
      </c>
      <c r="T163" s="170"/>
      <c r="U163" s="24">
        <v>0</v>
      </c>
      <c r="V163" s="24">
        <v>1</v>
      </c>
      <c r="W163" s="24">
        <v>0</v>
      </c>
      <c r="X163" s="168">
        <v>3.3</v>
      </c>
      <c r="Y163" s="169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3.5</v>
      </c>
      <c r="Z163" s="25"/>
      <c r="AA163" s="169">
        <f>Y163+Y163*VLOOKUP(I163,EXTRAS_ARRAY,2,FALSE)</f>
        <v>3.5</v>
      </c>
      <c r="AB163" s="23"/>
      <c r="AC163" s="37"/>
      <c r="AD163" s="26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11" customFormat="1" ht="7.5" customHeight="1" outlineLevel="2" x14ac:dyDescent="0.35">
      <c r="A164" s="93" t="s">
        <v>132</v>
      </c>
      <c r="B164" s="18"/>
      <c r="C164" s="78"/>
      <c r="D164" s="78"/>
      <c r="E164" s="78"/>
      <c r="F164" s="78"/>
      <c r="G164" s="10"/>
      <c r="H164" s="10"/>
      <c r="I164" s="10"/>
      <c r="J164" s="10"/>
      <c r="K164" s="10"/>
      <c r="L164" s="10"/>
      <c r="M164" s="287"/>
      <c r="N164" s="10"/>
      <c r="O164" s="10"/>
      <c r="P164" s="10"/>
      <c r="Q164" s="10"/>
      <c r="R164" s="10"/>
      <c r="S164" s="10"/>
      <c r="T164" s="18"/>
      <c r="U164" s="10"/>
      <c r="V164" s="10"/>
      <c r="W164" s="10"/>
      <c r="X164" s="18"/>
      <c r="Y164" s="10"/>
      <c r="Z164" s="10"/>
      <c r="AA164" s="10"/>
      <c r="AB164" s="60"/>
      <c r="AC164" s="60"/>
      <c r="AD164" s="12"/>
    </row>
    <row r="165" spans="1:30" s="17" customFormat="1" ht="15.5" outlineLevel="1" x14ac:dyDescent="0.35">
      <c r="A165" s="93" t="s">
        <v>100</v>
      </c>
      <c r="B165" s="21"/>
      <c r="C165" s="84"/>
      <c r="D165" s="84"/>
      <c r="E165" s="84"/>
      <c r="F165" s="83"/>
      <c r="G165" s="32"/>
      <c r="H165" s="32"/>
      <c r="I165" s="32"/>
      <c r="J165" s="32"/>
      <c r="K165" s="32"/>
      <c r="L165" s="20">
        <f ca="1">LOOKUP(1000,INDIRECT("L1:"&amp;CELL("address",INDIRECT("R[-1]C",FALSE))))+1</f>
        <v>15</v>
      </c>
      <c r="M165" s="326" t="s">
        <v>623</v>
      </c>
      <c r="N165" s="326"/>
      <c r="O165" s="5"/>
      <c r="P165" s="33"/>
      <c r="Q165" s="33"/>
      <c r="R165" s="33"/>
      <c r="S165" s="33"/>
      <c r="T165" s="167">
        <f>IF($S$6="Exclude", SUMIFS(S166:S168, J166:J168, "&lt;&gt;Yes", G166:G168, "&lt;&gt;Yes"), SUMIFS(S166:S168, J166:J168, "&lt;&gt;Yes"))</f>
        <v>1.75</v>
      </c>
      <c r="U165" s="33"/>
      <c r="V165" s="33"/>
      <c r="W165" s="33"/>
      <c r="X165" s="34"/>
      <c r="Y165" s="35"/>
      <c r="Z165" s="35"/>
      <c r="AA165" s="35"/>
      <c r="AB165" s="240"/>
      <c r="AC165" s="36"/>
      <c r="AD165" s="26" t="str">
        <f>IF(M165="", "Error: Task name cannot be empty.", "")</f>
        <v/>
      </c>
    </row>
    <row r="166" spans="1:30" s="15" customFormat="1" ht="1.5" customHeight="1" outlineLevel="2" x14ac:dyDescent="0.35">
      <c r="A166" s="93" t="s">
        <v>101</v>
      </c>
      <c r="B166" s="21"/>
      <c r="C166" s="84"/>
      <c r="D166" s="84"/>
      <c r="E166" s="84"/>
      <c r="F166" s="83"/>
      <c r="G166" s="32"/>
      <c r="H166" s="32"/>
      <c r="I166" s="32"/>
      <c r="J166" s="32"/>
      <c r="K166" s="32"/>
      <c r="L166" s="175">
        <f ca="1">L165</f>
        <v>15</v>
      </c>
      <c r="M166" s="176" t="s">
        <v>105</v>
      </c>
      <c r="N166" s="173"/>
      <c r="O166" s="174"/>
      <c r="P166" s="33"/>
      <c r="Q166" s="33"/>
      <c r="R166" s="33"/>
      <c r="S166" s="33"/>
      <c r="T166" s="167"/>
      <c r="U166" s="33"/>
      <c r="V166" s="33"/>
      <c r="W166" s="33"/>
      <c r="X166" s="34"/>
      <c r="Y166" s="35"/>
      <c r="Z166" s="35"/>
      <c r="AA166" s="35"/>
      <c r="AB166" s="36"/>
      <c r="AC166" s="36"/>
      <c r="AD166" s="26"/>
    </row>
    <row r="167" spans="1:30" ht="43.5" outlineLevel="2" x14ac:dyDescent="0.35">
      <c r="A167" s="93" t="s">
        <v>0</v>
      </c>
      <c r="B167" s="21"/>
      <c r="C167" s="85"/>
      <c r="D167" s="85"/>
      <c r="E167" s="85"/>
      <c r="F167" s="86"/>
      <c r="G167" s="22" t="s">
        <v>23</v>
      </c>
      <c r="H167" s="22" t="s">
        <v>23</v>
      </c>
      <c r="I167" s="23" t="s">
        <v>23</v>
      </c>
      <c r="J167" s="22" t="s">
        <v>23</v>
      </c>
      <c r="K167" s="38"/>
      <c r="L167" s="22"/>
      <c r="M167" s="286" t="str">
        <f ca="1">IFERROR(OFFSET(M167,-1,,1,1)+0.1,OFFSET(M167,-1,-1,1,1)&amp;".1")</f>
        <v>15.1</v>
      </c>
      <c r="N167" s="23" t="s">
        <v>624</v>
      </c>
      <c r="O167" s="23"/>
      <c r="P167" s="23"/>
      <c r="Q167" s="144"/>
      <c r="R167" s="137"/>
      <c r="S167" s="169">
        <f>CEILING((IF(J167="Yes", 0, IF(H167="-",AA167,AA167+AA167*VLOOKUP(H167,BUFFERS_BY_TYPE,2,FALSE)))) +
   (IF(J167="Yes", 0, IF(H167="-",AA167,AA167+AA167*VLOOKUP(H167,BUFFERS_BY_TYPE,2,FALSE))))*VLOOKUP($S$5, SALES_CALL_SCALE_ARRAY, 2,FALSE),0.25)</f>
        <v>1.75</v>
      </c>
      <c r="T167" s="170"/>
      <c r="U167" s="24">
        <v>0</v>
      </c>
      <c r="V167" s="24">
        <v>1</v>
      </c>
      <c r="W167" s="24">
        <v>0</v>
      </c>
      <c r="X167" s="168">
        <v>1.6</v>
      </c>
      <c r="Y167" s="169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1.75</v>
      </c>
      <c r="Z167" s="25"/>
      <c r="AA167" s="169">
        <f>Y167+Y167*VLOOKUP(I167,EXTRAS_ARRAY,2,FALSE)</f>
        <v>1.75</v>
      </c>
      <c r="AB167" s="23"/>
      <c r="AC167" s="37"/>
      <c r="AD167" s="26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s="11" customFormat="1" ht="7.5" customHeight="1" outlineLevel="2" x14ac:dyDescent="0.35">
      <c r="A168" s="93" t="s">
        <v>132</v>
      </c>
      <c r="B168" s="18"/>
      <c r="C168" s="78"/>
      <c r="D168" s="78"/>
      <c r="E168" s="78"/>
      <c r="F168" s="78"/>
      <c r="G168" s="10"/>
      <c r="H168" s="10"/>
      <c r="I168" s="10"/>
      <c r="J168" s="10"/>
      <c r="K168" s="10"/>
      <c r="L168" s="10"/>
      <c r="M168" s="287"/>
      <c r="N168" s="10"/>
      <c r="O168" s="10"/>
      <c r="P168" s="10"/>
      <c r="Q168" s="10"/>
      <c r="R168" s="10"/>
      <c r="S168" s="10"/>
      <c r="T168" s="18"/>
      <c r="U168" s="10"/>
      <c r="V168" s="10"/>
      <c r="W168" s="10"/>
      <c r="X168" s="18"/>
      <c r="Y168" s="10"/>
      <c r="Z168" s="10"/>
      <c r="AA168" s="10"/>
      <c r="AB168" s="60"/>
      <c r="AC168" s="60"/>
      <c r="AD168" s="12"/>
    </row>
    <row r="169" spans="1:30" s="17" customFormat="1" ht="15.5" outlineLevel="1" x14ac:dyDescent="0.35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16</v>
      </c>
      <c r="M169" s="326" t="s">
        <v>625</v>
      </c>
      <c r="N169" s="326"/>
      <c r="O169" s="5"/>
      <c r="P169" s="33"/>
      <c r="Q169" s="33"/>
      <c r="R169" s="33"/>
      <c r="S169" s="33"/>
      <c r="T169" s="167">
        <f>IF($S$6="Exclude", SUMIFS(S170:S174, J170:J174, "&lt;&gt;Yes", G170:G174, "&lt;&gt;Yes"), SUMIFS(S170:S174, J170:J174, "&lt;&gt;Yes"))</f>
        <v>6.5</v>
      </c>
      <c r="U169" s="33"/>
      <c r="V169" s="33"/>
      <c r="W169" s="33"/>
      <c r="X169" s="34"/>
      <c r="Y169" s="35"/>
      <c r="Z169" s="35"/>
      <c r="AA169" s="35"/>
      <c r="AB169" s="240"/>
      <c r="AC169" s="36"/>
      <c r="AD169" s="26" t="str">
        <f>IF(M169="", "Error: Task name cannot be empty.", "")</f>
        <v/>
      </c>
    </row>
    <row r="170" spans="1:30" s="15" customFormat="1" ht="1.5" customHeight="1" outlineLevel="2" x14ac:dyDescent="0.35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16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58" outlineLevel="2" x14ac:dyDescent="0.35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16.1</v>
      </c>
      <c r="N171" s="23" t="s">
        <v>626</v>
      </c>
      <c r="O171" s="23"/>
      <c r="P171" s="23"/>
      <c r="Q171" s="144"/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3.5</v>
      </c>
      <c r="T171" s="170"/>
      <c r="U171" s="24">
        <v>0</v>
      </c>
      <c r="V171" s="24">
        <v>1</v>
      </c>
      <c r="W171" s="24">
        <v>0</v>
      </c>
      <c r="X171" s="168">
        <v>3.3</v>
      </c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3.5</v>
      </c>
      <c r="Z171" s="25"/>
      <c r="AA171" s="169">
        <f>Y171+Y171*VLOOKUP(I171,EXTRAS_ARRAY,2,FALSE)</f>
        <v>3.5</v>
      </c>
      <c r="AB171" s="23" t="s">
        <v>646</v>
      </c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43.5" outlineLevel="2" x14ac:dyDescent="0.35">
      <c r="A172" s="93" t="s">
        <v>0</v>
      </c>
      <c r="B172" s="21"/>
      <c r="C172" s="85"/>
      <c r="D172" s="85"/>
      <c r="E172" s="85"/>
      <c r="F172" s="86"/>
      <c r="G172" s="22" t="s">
        <v>23</v>
      </c>
      <c r="H172" s="22" t="s">
        <v>23</v>
      </c>
      <c r="I172" s="23" t="s">
        <v>23</v>
      </c>
      <c r="J172" s="22" t="s">
        <v>23</v>
      </c>
      <c r="K172" s="38"/>
      <c r="L172" s="22"/>
      <c r="M172" s="286">
        <f ca="1">IFERROR(OFFSET(M172,-1,,1,1)+0.1,OFFSET(M172,-1,-1,1,1)&amp;".1")</f>
        <v>16.200000000000003</v>
      </c>
      <c r="N172" s="23" t="s">
        <v>628</v>
      </c>
      <c r="O172" s="23"/>
      <c r="P172" s="23"/>
      <c r="Q172" s="144"/>
      <c r="R172" s="137"/>
      <c r="S172" s="169">
        <f>CEILING((IF(J172="Yes", 0, IF(H172="-",AA172,AA172+AA172*VLOOKUP(H172,BUFFERS_BY_TYPE,2,FALSE)))) +
   (IF(J172="Yes", 0, IF(H172="-",AA172,AA172+AA172*VLOOKUP(H172,BUFFERS_BY_TYPE,2,FALSE))))*VLOOKUP($S$5, SALES_CALL_SCALE_ARRAY, 2,FALSE),0.25)</f>
        <v>1.75</v>
      </c>
      <c r="T172" s="170"/>
      <c r="U172" s="24">
        <v>0</v>
      </c>
      <c r="V172" s="24">
        <v>1</v>
      </c>
      <c r="W172" s="24">
        <v>0</v>
      </c>
      <c r="X172" s="168">
        <v>1.6</v>
      </c>
      <c r="Y172" s="169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1.75</v>
      </c>
      <c r="Z172" s="25"/>
      <c r="AA172" s="169">
        <f>Y172+Y172*VLOOKUP(I172,EXTRAS_ARRAY,2,FALSE)</f>
        <v>1.75</v>
      </c>
      <c r="AB172" s="23"/>
      <c r="AC172" s="37"/>
      <c r="AD172" s="26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43.5" outlineLevel="2" x14ac:dyDescent="0.35">
      <c r="A173" s="93" t="s">
        <v>0</v>
      </c>
      <c r="B173" s="21"/>
      <c r="C173" s="85"/>
      <c r="D173" s="85"/>
      <c r="E173" s="85"/>
      <c r="F173" s="86"/>
      <c r="G173" s="22" t="s">
        <v>23</v>
      </c>
      <c r="H173" s="22" t="s">
        <v>23</v>
      </c>
      <c r="I173" s="23" t="s">
        <v>23</v>
      </c>
      <c r="J173" s="22" t="s">
        <v>23</v>
      </c>
      <c r="K173" s="38"/>
      <c r="L173" s="22"/>
      <c r="M173" s="286">
        <f ca="1">IFERROR(OFFSET(M173,-1,,1,1)+0.1,OFFSET(M173,-1,-1,1,1)&amp;".1")</f>
        <v>16.300000000000004</v>
      </c>
      <c r="N173" s="23" t="s">
        <v>627</v>
      </c>
      <c r="O173" s="23"/>
      <c r="P173" s="23"/>
      <c r="Q173" s="144"/>
      <c r="R173" s="137"/>
      <c r="S173" s="169">
        <f>CEILING((IF(J173="Yes", 0, IF(H173="-",AA173,AA173+AA173*VLOOKUP(H173,BUFFERS_BY_TYPE,2,FALSE)))) +
   (IF(J173="Yes", 0, IF(H173="-",AA173,AA173+AA173*VLOOKUP(H173,BUFFERS_BY_TYPE,2,FALSE))))*VLOOKUP($S$5, SALES_CALL_SCALE_ARRAY, 2,FALSE),0.25)</f>
        <v>1.25</v>
      </c>
      <c r="T173" s="170"/>
      <c r="U173" s="24">
        <v>0</v>
      </c>
      <c r="V173" s="24">
        <v>1</v>
      </c>
      <c r="W173" s="24">
        <v>0</v>
      </c>
      <c r="X173" s="168">
        <v>1.1000000000000001</v>
      </c>
      <c r="Y173" s="169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1.25</v>
      </c>
      <c r="Z173" s="25"/>
      <c r="AA173" s="169">
        <f>Y173+Y173*VLOOKUP(I173,EXTRAS_ARRAY,2,FALSE)</f>
        <v>1.25</v>
      </c>
      <c r="AB173" s="23"/>
      <c r="AC173" s="37"/>
      <c r="AD173" s="26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s="11" customFormat="1" ht="7.5" customHeight="1" outlineLevel="2" x14ac:dyDescent="0.35">
      <c r="A174" s="93" t="s">
        <v>132</v>
      </c>
      <c r="B174" s="18"/>
      <c r="C174" s="78"/>
      <c r="D174" s="78"/>
      <c r="E174" s="78"/>
      <c r="F174" s="78"/>
      <c r="G174" s="10"/>
      <c r="H174" s="10"/>
      <c r="I174" s="10"/>
      <c r="J174" s="10"/>
      <c r="K174" s="10"/>
      <c r="L174" s="10"/>
      <c r="M174" s="287"/>
      <c r="N174" s="10"/>
      <c r="O174" s="10"/>
      <c r="P174" s="10"/>
      <c r="Q174" s="10"/>
      <c r="R174" s="10"/>
      <c r="S174" s="10"/>
      <c r="T174" s="18"/>
      <c r="U174" s="10"/>
      <c r="V174" s="10"/>
      <c r="W174" s="10"/>
      <c r="X174" s="18"/>
      <c r="Y174" s="10"/>
      <c r="Z174" s="10"/>
      <c r="AA174" s="10"/>
      <c r="AB174" s="60"/>
      <c r="AC174" s="60"/>
      <c r="AD174" s="12"/>
    </row>
    <row r="175" spans="1:30" s="17" customFormat="1" ht="15.5" outlineLevel="1" x14ac:dyDescent="0.35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17</v>
      </c>
      <c r="M175" s="326" t="s">
        <v>631</v>
      </c>
      <c r="N175" s="326"/>
      <c r="O175" s="5"/>
      <c r="P175" s="33"/>
      <c r="Q175" s="33"/>
      <c r="R175" s="33"/>
      <c r="S175" s="33"/>
      <c r="T175" s="167">
        <f>IF($S$6="Exclude", SUMIFS(S176:S178, J176:J178, "&lt;&gt;Yes", G176:G178, "&lt;&gt;Yes"), SUMIFS(S176:S178, J176:J178, "&lt;&gt;Yes"))</f>
        <v>1.75</v>
      </c>
      <c r="U175" s="33"/>
      <c r="V175" s="33"/>
      <c r="W175" s="33"/>
      <c r="X175" s="34"/>
      <c r="Y175" s="35"/>
      <c r="Z175" s="35"/>
      <c r="AA175" s="35"/>
      <c r="AB175" s="240"/>
      <c r="AC175" s="36"/>
      <c r="AD175" s="26" t="str">
        <f>IF(M175="", "Error: Task name cannot be empty.", "")</f>
        <v/>
      </c>
    </row>
    <row r="176" spans="1:30" s="15" customFormat="1" ht="1.5" customHeight="1" outlineLevel="2" x14ac:dyDescent="0.35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17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5" outlineLevel="2" x14ac:dyDescent="0.35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17.1</v>
      </c>
      <c r="N177" s="23" t="s">
        <v>629</v>
      </c>
      <c r="O177" s="23"/>
      <c r="P177" s="23"/>
      <c r="Q177" s="144"/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1.75</v>
      </c>
      <c r="T177" s="170"/>
      <c r="U177" s="24">
        <v>0</v>
      </c>
      <c r="V177" s="24">
        <v>1</v>
      </c>
      <c r="W177" s="24">
        <v>0</v>
      </c>
      <c r="X177" s="168">
        <v>1.6</v>
      </c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1.75</v>
      </c>
      <c r="Z177" s="25"/>
      <c r="AA177" s="169">
        <f>Y177+Y177*VLOOKUP(I177,EXTRAS_ARRAY,2,FALSE)</f>
        <v>1.75</v>
      </c>
      <c r="AB177" s="23"/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11" customFormat="1" ht="7.5" customHeight="1" outlineLevel="2" x14ac:dyDescent="0.35">
      <c r="A178" s="93" t="s">
        <v>132</v>
      </c>
      <c r="B178" s="18"/>
      <c r="C178" s="78"/>
      <c r="D178" s="78"/>
      <c r="E178" s="78"/>
      <c r="F178" s="78"/>
      <c r="G178" s="10"/>
      <c r="H178" s="10"/>
      <c r="I178" s="10"/>
      <c r="J178" s="10"/>
      <c r="K178" s="10"/>
      <c r="L178" s="10"/>
      <c r="M178" s="287"/>
      <c r="N178" s="10"/>
      <c r="O178" s="10"/>
      <c r="P178" s="10"/>
      <c r="Q178" s="10"/>
      <c r="R178" s="10"/>
      <c r="S178" s="10"/>
      <c r="T178" s="18"/>
      <c r="U178" s="10"/>
      <c r="V178" s="10"/>
      <c r="W178" s="10"/>
      <c r="X178" s="18"/>
      <c r="Y178" s="10"/>
      <c r="Z178" s="10"/>
      <c r="AA178" s="10"/>
      <c r="AB178" s="60"/>
      <c r="AC178" s="60"/>
      <c r="AD178" s="12"/>
    </row>
    <row r="179" spans="1:30" s="17" customFormat="1" ht="15.5" outlineLevel="1" x14ac:dyDescent="0.35">
      <c r="A179" s="93" t="s">
        <v>100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20">
        <f ca="1">LOOKUP(1000,INDIRECT("L1:"&amp;CELL("address",INDIRECT("R[-1]C",FALSE))))+1</f>
        <v>18</v>
      </c>
      <c r="M179" s="326" t="s">
        <v>630</v>
      </c>
      <c r="N179" s="326"/>
      <c r="O179" s="5"/>
      <c r="P179" s="33"/>
      <c r="Q179" s="33"/>
      <c r="R179" s="33"/>
      <c r="S179" s="33"/>
      <c r="T179" s="167">
        <f>IF($S$6="Exclude", SUMIFS(S180:S182, J180:J182, "&lt;&gt;Yes", G180:G182, "&lt;&gt;Yes"), SUMIFS(S180:S182, J180:J182, "&lt;&gt;Yes"))</f>
        <v>2.25</v>
      </c>
      <c r="U179" s="33"/>
      <c r="V179" s="33"/>
      <c r="W179" s="33"/>
      <c r="X179" s="34"/>
      <c r="Y179" s="35"/>
      <c r="Z179" s="35"/>
      <c r="AA179" s="35"/>
      <c r="AB179" s="240"/>
      <c r="AC179" s="36"/>
      <c r="AD179" s="26" t="str">
        <f>IF(M179="", "Error: Task name cannot be empty.", "")</f>
        <v/>
      </c>
    </row>
    <row r="180" spans="1:30" s="15" customFormat="1" ht="1.5" customHeight="1" outlineLevel="2" x14ac:dyDescent="0.35">
      <c r="A180" s="93" t="s">
        <v>101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175">
        <f ca="1">L179</f>
        <v>18</v>
      </c>
      <c r="M180" s="176" t="s">
        <v>105</v>
      </c>
      <c r="N180" s="173"/>
      <c r="O180" s="174"/>
      <c r="P180" s="33"/>
      <c r="Q180" s="33"/>
      <c r="R180" s="33"/>
      <c r="S180" s="33"/>
      <c r="T180" s="167"/>
      <c r="U180" s="33"/>
      <c r="V180" s="33"/>
      <c r="W180" s="33"/>
      <c r="X180" s="34"/>
      <c r="Y180" s="35"/>
      <c r="Z180" s="35"/>
      <c r="AA180" s="35"/>
      <c r="AB180" s="36"/>
      <c r="AC180" s="36"/>
      <c r="AD180" s="26"/>
    </row>
    <row r="181" spans="1:30" ht="43.5" outlineLevel="2" x14ac:dyDescent="0.35">
      <c r="A181" s="93" t="s">
        <v>0</v>
      </c>
      <c r="B181" s="21"/>
      <c r="C181" s="85"/>
      <c r="D181" s="85"/>
      <c r="E181" s="85"/>
      <c r="F181" s="86"/>
      <c r="G181" s="22" t="s">
        <v>23</v>
      </c>
      <c r="H181" s="22" t="s">
        <v>23</v>
      </c>
      <c r="I181" s="23" t="s">
        <v>23</v>
      </c>
      <c r="J181" s="22" t="s">
        <v>23</v>
      </c>
      <c r="K181" s="38"/>
      <c r="L181" s="22"/>
      <c r="M181" s="286" t="str">
        <f ca="1">IFERROR(OFFSET(M181,-1,,1,1)+0.1,OFFSET(M181,-1,-1,1,1)&amp;".1")</f>
        <v>18.1</v>
      </c>
      <c r="N181" s="23" t="s">
        <v>632</v>
      </c>
      <c r="O181" s="23"/>
      <c r="P181" s="23"/>
      <c r="Q181" s="144"/>
      <c r="R181" s="137"/>
      <c r="S181" s="169">
        <f>CEILING((IF(J181="Yes", 0, IF(H181="-",AA181,AA181+AA181*VLOOKUP(H181,BUFFERS_BY_TYPE,2,FALSE)))) +
   (IF(J181="Yes", 0, IF(H181="-",AA181,AA181+AA181*VLOOKUP(H181,BUFFERS_BY_TYPE,2,FALSE))))*VLOOKUP($S$5, SALES_CALL_SCALE_ARRAY, 2,FALSE),0.25)</f>
        <v>2.25</v>
      </c>
      <c r="T181" s="170"/>
      <c r="U181" s="24">
        <v>0</v>
      </c>
      <c r="V181" s="24">
        <v>1</v>
      </c>
      <c r="W181" s="24">
        <v>0</v>
      </c>
      <c r="X181" s="168">
        <v>2.2000000000000002</v>
      </c>
      <c r="Y181" s="169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2.25</v>
      </c>
      <c r="Z181" s="25"/>
      <c r="AA181" s="169">
        <f>Y181+Y181*VLOOKUP(I181,EXTRAS_ARRAY,2,FALSE)</f>
        <v>2.25</v>
      </c>
      <c r="AB181" s="23"/>
      <c r="AC181" s="37"/>
      <c r="AD181" s="26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11" customFormat="1" ht="7.5" customHeight="1" outlineLevel="2" x14ac:dyDescent="0.35">
      <c r="A182" s="93" t="s">
        <v>132</v>
      </c>
      <c r="B182" s="18"/>
      <c r="C182" s="78"/>
      <c r="D182" s="78"/>
      <c r="E182" s="78"/>
      <c r="F182" s="78"/>
      <c r="G182" s="10"/>
      <c r="H182" s="10"/>
      <c r="I182" s="10"/>
      <c r="J182" s="10"/>
      <c r="K182" s="10"/>
      <c r="L182" s="10"/>
      <c r="M182" s="287"/>
      <c r="N182" s="10"/>
      <c r="O182" s="10"/>
      <c r="P182" s="10"/>
      <c r="Q182" s="10"/>
      <c r="R182" s="10"/>
      <c r="S182" s="10"/>
      <c r="T182" s="18"/>
      <c r="U182" s="10"/>
      <c r="V182" s="10"/>
      <c r="W182" s="10"/>
      <c r="X182" s="18"/>
      <c r="Y182" s="10"/>
      <c r="Z182" s="10"/>
      <c r="AA182" s="10"/>
      <c r="AB182" s="60"/>
      <c r="AC182" s="60"/>
      <c r="AD182" s="12"/>
    </row>
    <row r="183" spans="1:30" s="17" customFormat="1" ht="15.5" outlineLevel="1" x14ac:dyDescent="0.35">
      <c r="A183" s="93" t="s">
        <v>100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20">
        <f ca="1">LOOKUP(1000,INDIRECT("L1:"&amp;CELL("address",INDIRECT("R[-1]C",FALSE))))+1</f>
        <v>19</v>
      </c>
      <c r="M183" s="326" t="s">
        <v>633</v>
      </c>
      <c r="N183" s="326"/>
      <c r="O183" s="5"/>
      <c r="P183" s="33"/>
      <c r="Q183" s="33"/>
      <c r="R183" s="33"/>
      <c r="S183" s="33"/>
      <c r="T183" s="167">
        <f>IF($S$6="Exclude", SUMIFS(S184:S186, J184:J186, "&lt;&gt;Yes", G184:G186, "&lt;&gt;Yes"), SUMIFS(S184:S186, J184:J186, "&lt;&gt;Yes"))</f>
        <v>2.25</v>
      </c>
      <c r="U183" s="33"/>
      <c r="V183" s="33"/>
      <c r="W183" s="33"/>
      <c r="X183" s="34"/>
      <c r="Y183" s="35"/>
      <c r="Z183" s="35"/>
      <c r="AA183" s="35"/>
      <c r="AB183" s="240"/>
      <c r="AC183" s="36"/>
      <c r="AD183" s="26" t="str">
        <f>IF(M183="", "Error: Task name cannot be empty.", "")</f>
        <v/>
      </c>
    </row>
    <row r="184" spans="1:30" s="15" customFormat="1" ht="1.5" customHeight="1" outlineLevel="2" x14ac:dyDescent="0.35">
      <c r="A184" s="93" t="s">
        <v>101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175">
        <f ca="1">L183</f>
        <v>19</v>
      </c>
      <c r="M184" s="176" t="s">
        <v>105</v>
      </c>
      <c r="N184" s="173"/>
      <c r="O184" s="174"/>
      <c r="P184" s="33"/>
      <c r="Q184" s="33"/>
      <c r="R184" s="33"/>
      <c r="S184" s="33"/>
      <c r="T184" s="167"/>
      <c r="U184" s="33"/>
      <c r="V184" s="33"/>
      <c r="W184" s="33"/>
      <c r="X184" s="34"/>
      <c r="Y184" s="35"/>
      <c r="Z184" s="35"/>
      <c r="AA184" s="35"/>
      <c r="AB184" s="36"/>
      <c r="AC184" s="36"/>
      <c r="AD184" s="26"/>
    </row>
    <row r="185" spans="1:30" ht="43.5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 t="str">
        <f ca="1">IFERROR(OFFSET(M185,-1,,1,1)+0.1,OFFSET(M185,-1,-1,1,1)&amp;".1")</f>
        <v>19.1</v>
      </c>
      <c r="N185" s="23" t="s">
        <v>634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2.25</v>
      </c>
      <c r="T185" s="170"/>
      <c r="U185" s="24">
        <v>0</v>
      </c>
      <c r="V185" s="24">
        <v>1</v>
      </c>
      <c r="W185" s="24">
        <v>0</v>
      </c>
      <c r="X185" s="168">
        <v>2.2000000000000002</v>
      </c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2.25</v>
      </c>
      <c r="Z185" s="25"/>
      <c r="AA185" s="169">
        <f>Y185+Y185*VLOOKUP(I185,EXTRAS_ARRAY,2,FALSE)</f>
        <v>2.25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11" customFormat="1" ht="7.5" customHeight="1" outlineLevel="2" x14ac:dyDescent="0.35">
      <c r="A186" s="93" t="s">
        <v>132</v>
      </c>
      <c r="B186" s="18"/>
      <c r="C186" s="78"/>
      <c r="D186" s="78"/>
      <c r="E186" s="78"/>
      <c r="F186" s="78"/>
      <c r="G186" s="10"/>
      <c r="H186" s="10"/>
      <c r="I186" s="10"/>
      <c r="J186" s="10"/>
      <c r="K186" s="10"/>
      <c r="L186" s="10"/>
      <c r="M186" s="287"/>
      <c r="N186" s="10"/>
      <c r="O186" s="10"/>
      <c r="P186" s="10"/>
      <c r="Q186" s="10"/>
      <c r="R186" s="10"/>
      <c r="S186" s="10"/>
      <c r="T186" s="18"/>
      <c r="U186" s="10"/>
      <c r="V186" s="10"/>
      <c r="W186" s="10"/>
      <c r="X186" s="18"/>
      <c r="Y186" s="10"/>
      <c r="Z186" s="10"/>
      <c r="AA186" s="10"/>
      <c r="AB186" s="60"/>
      <c r="AC186" s="60"/>
      <c r="AD186" s="12"/>
    </row>
    <row r="187" spans="1:30" s="17" customFormat="1" ht="15.5" outlineLevel="1" x14ac:dyDescent="0.35">
      <c r="A187" s="93" t="s">
        <v>100</v>
      </c>
      <c r="B187" s="21"/>
      <c r="C187" s="84"/>
      <c r="D187" s="84"/>
      <c r="E187" s="84"/>
      <c r="F187" s="83"/>
      <c r="G187" s="32"/>
      <c r="H187" s="32"/>
      <c r="I187" s="32"/>
      <c r="J187" s="32"/>
      <c r="K187" s="32"/>
      <c r="L187" s="20">
        <f ca="1">LOOKUP(1000,INDIRECT("L1:"&amp;CELL("address",INDIRECT("R[-1]C",FALSE))))+1</f>
        <v>20</v>
      </c>
      <c r="M187" s="326" t="s">
        <v>635</v>
      </c>
      <c r="N187" s="326"/>
      <c r="O187" s="5"/>
      <c r="P187" s="33"/>
      <c r="Q187" s="33"/>
      <c r="R187" s="33"/>
      <c r="S187" s="33"/>
      <c r="T187" s="167">
        <f>IF($S$6="Exclude", SUMIFS(S188:S191, J188:J191, "&lt;&gt;Yes", G188:G191, "&lt;&gt;Yes"), SUMIFS(S188:S191, J188:J191, "&lt;&gt;Yes"))</f>
        <v>7.5</v>
      </c>
      <c r="U187" s="33"/>
      <c r="V187" s="33"/>
      <c r="W187" s="33"/>
      <c r="X187" s="34"/>
      <c r="Y187" s="35"/>
      <c r="Z187" s="35"/>
      <c r="AA187" s="35"/>
      <c r="AB187" s="240"/>
      <c r="AC187" s="36"/>
      <c r="AD187" s="26" t="str">
        <f>IF(M187="", "Error: Task name cannot be empty.", "")</f>
        <v/>
      </c>
    </row>
    <row r="188" spans="1:30" s="15" customFormat="1" ht="1.5" customHeight="1" outlineLevel="2" x14ac:dyDescent="0.35">
      <c r="A188" s="93" t="s">
        <v>101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175">
        <f ca="1">L187</f>
        <v>20</v>
      </c>
      <c r="M188" s="176" t="s">
        <v>105</v>
      </c>
      <c r="N188" s="173"/>
      <c r="O188" s="174"/>
      <c r="P188" s="33"/>
      <c r="Q188" s="33"/>
      <c r="R188" s="33"/>
      <c r="S188" s="33"/>
      <c r="T188" s="167"/>
      <c r="U188" s="33"/>
      <c r="V188" s="33"/>
      <c r="W188" s="33"/>
      <c r="X188" s="34"/>
      <c r="Y188" s="35"/>
      <c r="Z188" s="35"/>
      <c r="AA188" s="35"/>
      <c r="AB188" s="36"/>
      <c r="AC188" s="36"/>
      <c r="AD188" s="26"/>
    </row>
    <row r="189" spans="1:30" ht="58" outlineLevel="2" x14ac:dyDescent="0.35">
      <c r="A189" s="93" t="s">
        <v>0</v>
      </c>
      <c r="B189" s="21"/>
      <c r="C189" s="85"/>
      <c r="D189" s="85"/>
      <c r="E189" s="85"/>
      <c r="F189" s="86"/>
      <c r="G189" s="22" t="s">
        <v>23</v>
      </c>
      <c r="H189" s="22" t="s">
        <v>23</v>
      </c>
      <c r="I189" s="23" t="s">
        <v>23</v>
      </c>
      <c r="J189" s="22" t="s">
        <v>23</v>
      </c>
      <c r="K189" s="38"/>
      <c r="L189" s="22"/>
      <c r="M189" s="286" t="str">
        <f ca="1">IFERROR(OFFSET(M189,-1,,1,1)+0.1,OFFSET(M189,-1,-1,1,1)&amp;".1")</f>
        <v>20.1</v>
      </c>
      <c r="N189" s="23" t="s">
        <v>636</v>
      </c>
      <c r="O189" s="23"/>
      <c r="P189" s="23"/>
      <c r="Q189" s="144"/>
      <c r="R189" s="137"/>
      <c r="S189" s="169">
        <f>CEILING((IF(J189="Yes", 0, IF(H189="-",AA189,AA189+AA189*VLOOKUP(H189,BUFFERS_BY_TYPE,2,FALSE)))) +
   (IF(J189="Yes", 0, IF(H189="-",AA189,AA189+AA189*VLOOKUP(H189,BUFFERS_BY_TYPE,2,FALSE))))*VLOOKUP($S$5, SALES_CALL_SCALE_ARRAY, 2,FALSE),0.25)</f>
        <v>4.5</v>
      </c>
      <c r="T189" s="170"/>
      <c r="U189" s="24">
        <v>0</v>
      </c>
      <c r="V189" s="24">
        <v>1</v>
      </c>
      <c r="W189" s="24">
        <v>0</v>
      </c>
      <c r="X189" s="168">
        <v>4.4000000000000004</v>
      </c>
      <c r="Y189" s="169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4.5</v>
      </c>
      <c r="Z189" s="25"/>
      <c r="AA189" s="169">
        <f>Y189+Y189*VLOOKUP(I189,EXTRAS_ARRAY,2,FALSE)</f>
        <v>4.5</v>
      </c>
      <c r="AB189" s="23"/>
      <c r="AC189" s="37"/>
      <c r="AD189" s="26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outlineLevel="2" x14ac:dyDescent="0.35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>
        <f ca="1">IFERROR(OFFSET(M190,-1,,1,1)+0.1,OFFSET(M190,-1,-1,1,1)&amp;".1")</f>
        <v>20.200000000000003</v>
      </c>
      <c r="N190" s="23" t="s">
        <v>643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3</v>
      </c>
      <c r="T190" s="170"/>
      <c r="U190" s="24">
        <v>0</v>
      </c>
      <c r="V190" s="24">
        <v>1</v>
      </c>
      <c r="W190" s="24">
        <v>0</v>
      </c>
      <c r="X190" s="168">
        <v>2.8</v>
      </c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3</v>
      </c>
      <c r="Z190" s="25"/>
      <c r="AA190" s="169">
        <f>Y190+Y190*VLOOKUP(I190,EXTRAS_ARRAY,2,FALSE)</f>
        <v>3</v>
      </c>
      <c r="AB190" s="23"/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s="11" customFormat="1" ht="7.5" customHeight="1" outlineLevel="2" x14ac:dyDescent="0.35">
      <c r="A191" s="93" t="s">
        <v>132</v>
      </c>
      <c r="B191" s="18"/>
      <c r="C191" s="78"/>
      <c r="D191" s="78"/>
      <c r="E191" s="78"/>
      <c r="F191" s="78"/>
      <c r="G191" s="10"/>
      <c r="H191" s="10"/>
      <c r="I191" s="10"/>
      <c r="J191" s="10"/>
      <c r="K191" s="10"/>
      <c r="L191" s="10"/>
      <c r="M191" s="287"/>
      <c r="N191" s="10"/>
      <c r="O191" s="10"/>
      <c r="P191" s="10"/>
      <c r="Q191" s="10"/>
      <c r="R191" s="10"/>
      <c r="S191" s="10"/>
      <c r="T191" s="18"/>
      <c r="U191" s="10"/>
      <c r="V191" s="10"/>
      <c r="W191" s="10"/>
      <c r="X191" s="18"/>
      <c r="Y191" s="10"/>
      <c r="Z191" s="10"/>
      <c r="AA191" s="10"/>
      <c r="AB191" s="60"/>
      <c r="AC191" s="60"/>
      <c r="AD191" s="12"/>
    </row>
    <row r="192" spans="1:30" s="17" customFormat="1" ht="15.5" outlineLevel="1" x14ac:dyDescent="0.35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21</v>
      </c>
      <c r="M192" s="326" t="s">
        <v>637</v>
      </c>
      <c r="N192" s="326"/>
      <c r="O192" s="5"/>
      <c r="P192" s="33"/>
      <c r="Q192" s="33"/>
      <c r="R192" s="33"/>
      <c r="S192" s="33"/>
      <c r="T192" s="167">
        <f>IF($S$6="Exclude", SUMIFS(S193:S197, J193:J197, "&lt;&gt;Yes", G193:G197, "&lt;&gt;Yes"), SUMIFS(S193:S197, J193:J197, "&lt;&gt;Yes"))</f>
        <v>4.75</v>
      </c>
      <c r="U192" s="33"/>
      <c r="V192" s="33"/>
      <c r="W192" s="33"/>
      <c r="X192" s="34"/>
      <c r="Y192" s="35"/>
      <c r="Z192" s="35"/>
      <c r="AA192" s="35"/>
      <c r="AB192" s="240"/>
      <c r="AC192" s="36"/>
      <c r="AD192" s="26" t="str">
        <f>IF(M192="", "Error: Task name cannot be empty.", "")</f>
        <v/>
      </c>
    </row>
    <row r="193" spans="1:30" s="15" customFormat="1" ht="1.5" customHeight="1" outlineLevel="2" x14ac:dyDescent="0.35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21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43.5" outlineLevel="2" x14ac:dyDescent="0.35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21.1</v>
      </c>
      <c r="N194" s="23" t="s">
        <v>638</v>
      </c>
      <c r="O194" s="23"/>
      <c r="P194" s="23"/>
      <c r="Q194" s="144"/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1.25</v>
      </c>
      <c r="T194" s="170"/>
      <c r="U194" s="24">
        <v>0</v>
      </c>
      <c r="V194" s="24">
        <v>1</v>
      </c>
      <c r="W194" s="24">
        <v>0</v>
      </c>
      <c r="X194" s="168">
        <v>1.1000000000000001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1.25</v>
      </c>
      <c r="Z194" s="25"/>
      <c r="AA194" s="169">
        <f>Y194+Y194*VLOOKUP(I194,EXTRAS_ARRAY,2,FALSE)</f>
        <v>1.25</v>
      </c>
      <c r="AB194" s="23"/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43.5" outlineLevel="2" x14ac:dyDescent="0.35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>
        <f ca="1">IFERROR(OFFSET(M195,-1,,1,1)+0.1,OFFSET(M195,-1,-1,1,1)&amp;".1")</f>
        <v>21.200000000000003</v>
      </c>
      <c r="N195" s="23" t="s">
        <v>639</v>
      </c>
      <c r="O195" s="23"/>
      <c r="P195" s="23"/>
      <c r="Q195" s="144"/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1.25</v>
      </c>
      <c r="T195" s="170"/>
      <c r="U195" s="24">
        <v>0</v>
      </c>
      <c r="V195" s="24">
        <v>1</v>
      </c>
      <c r="W195" s="24">
        <v>0</v>
      </c>
      <c r="X195" s="168">
        <v>1.1000000000000001</v>
      </c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1.25</v>
      </c>
      <c r="Z195" s="25"/>
      <c r="AA195" s="169">
        <f>Y195+Y195*VLOOKUP(I195,EXTRAS_ARRAY,2,FALSE)</f>
        <v>1.25</v>
      </c>
      <c r="AB195" s="23"/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29" outlineLevel="2" x14ac:dyDescent="0.35">
      <c r="A196" s="93" t="s">
        <v>0</v>
      </c>
      <c r="B196" s="21"/>
      <c r="C196" s="85"/>
      <c r="D196" s="85"/>
      <c r="E196" s="85"/>
      <c r="F196" s="86"/>
      <c r="G196" s="22" t="s">
        <v>23</v>
      </c>
      <c r="H196" s="22" t="s">
        <v>23</v>
      </c>
      <c r="I196" s="23" t="s">
        <v>23</v>
      </c>
      <c r="J196" s="22" t="s">
        <v>23</v>
      </c>
      <c r="K196" s="38"/>
      <c r="L196" s="22"/>
      <c r="M196" s="286">
        <f ca="1">IFERROR(OFFSET(M196,-1,,1,1)+0.1,OFFSET(M196,-1,-1,1,1)&amp;".1")</f>
        <v>21.300000000000004</v>
      </c>
      <c r="N196" s="23" t="s">
        <v>640</v>
      </c>
      <c r="O196" s="23"/>
      <c r="P196" s="23"/>
      <c r="Q196" s="144"/>
      <c r="R196" s="137"/>
      <c r="S196" s="169">
        <f>CEILING((IF(J196="Yes", 0, IF(H196="-",AA196,AA196+AA196*VLOOKUP(H196,BUFFERS_BY_TYPE,2,FALSE)))) +
   (IF(J196="Yes", 0, IF(H196="-",AA196,AA196+AA196*VLOOKUP(H196,BUFFERS_BY_TYPE,2,FALSE))))*VLOOKUP($S$5, SALES_CALL_SCALE_ARRAY, 2,FALSE),0.25)</f>
        <v>2.25</v>
      </c>
      <c r="T196" s="170"/>
      <c r="U196" s="24">
        <v>0</v>
      </c>
      <c r="V196" s="24">
        <v>1</v>
      </c>
      <c r="W196" s="24">
        <v>0</v>
      </c>
      <c r="X196" s="168">
        <v>2.2000000000000002</v>
      </c>
      <c r="Y196" s="169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2.25</v>
      </c>
      <c r="Z196" s="25"/>
      <c r="AA196" s="169">
        <f>Y196+Y196*VLOOKUP(I196,EXTRAS_ARRAY,2,FALSE)</f>
        <v>2.25</v>
      </c>
      <c r="AB196" s="23"/>
      <c r="AC196" s="37"/>
      <c r="AD196" s="26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s="11" customFormat="1" ht="7.5" customHeight="1" outlineLevel="2" x14ac:dyDescent="0.35">
      <c r="A197" s="93" t="s">
        <v>132</v>
      </c>
      <c r="B197" s="18"/>
      <c r="C197" s="78"/>
      <c r="D197" s="78"/>
      <c r="E197" s="78"/>
      <c r="F197" s="78"/>
      <c r="G197" s="10"/>
      <c r="H197" s="10"/>
      <c r="I197" s="10"/>
      <c r="J197" s="10"/>
      <c r="K197" s="10"/>
      <c r="L197" s="10"/>
      <c r="M197" s="287"/>
      <c r="N197" s="10"/>
      <c r="O197" s="10"/>
      <c r="P197" s="10"/>
      <c r="Q197" s="10"/>
      <c r="R197" s="10"/>
      <c r="S197" s="10"/>
      <c r="T197" s="18"/>
      <c r="U197" s="10"/>
      <c r="V197" s="10"/>
      <c r="W197" s="10"/>
      <c r="X197" s="18"/>
      <c r="Y197" s="10"/>
      <c r="Z197" s="10"/>
      <c r="AA197" s="10"/>
      <c r="AB197" s="60"/>
      <c r="AC197" s="60"/>
      <c r="AD197" s="12"/>
    </row>
    <row r="198" spans="1:30" s="17" customFormat="1" ht="15.5" outlineLevel="1" x14ac:dyDescent="0.35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22</v>
      </c>
      <c r="M198" s="326" t="s">
        <v>641</v>
      </c>
      <c r="N198" s="326"/>
      <c r="O198" s="5"/>
      <c r="P198" s="33"/>
      <c r="Q198" s="33"/>
      <c r="R198" s="33"/>
      <c r="S198" s="33"/>
      <c r="T198" s="167">
        <f>IF($S$6="Exclude", SUMIFS(S199:S201, J199:J201, "&lt;&gt;Yes", G199:G201, "&lt;&gt;Yes"), SUMIFS(S199:S201, J199:J201, "&lt;&gt;Yes"))</f>
        <v>3.5</v>
      </c>
      <c r="U198" s="33"/>
      <c r="V198" s="33"/>
      <c r="W198" s="33"/>
      <c r="X198" s="34"/>
      <c r="Y198" s="35"/>
      <c r="Z198" s="35"/>
      <c r="AA198" s="35"/>
      <c r="AB198" s="240"/>
      <c r="AC198" s="36"/>
      <c r="AD198" s="26" t="str">
        <f>IF(M198="", "Error: Task name cannot be empty.", "")</f>
        <v/>
      </c>
    </row>
    <row r="199" spans="1:30" s="15" customFormat="1" ht="1.5" customHeight="1" outlineLevel="2" x14ac:dyDescent="0.35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22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58" outlineLevel="2" x14ac:dyDescent="0.35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22.1</v>
      </c>
      <c r="N200" s="23" t="s">
        <v>642</v>
      </c>
      <c r="O200" s="23"/>
      <c r="P200" s="23"/>
      <c r="Q200" s="144"/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3.5</v>
      </c>
      <c r="T200" s="170"/>
      <c r="U200" s="24">
        <v>0</v>
      </c>
      <c r="V200" s="24">
        <v>1</v>
      </c>
      <c r="W200" s="24">
        <v>0</v>
      </c>
      <c r="X200" s="168">
        <v>3.3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3.5</v>
      </c>
      <c r="Z200" s="25"/>
      <c r="AA200" s="169">
        <f>Y200+Y200*VLOOKUP(I200,EXTRAS_ARRAY,2,FALSE)</f>
        <v>3.5</v>
      </c>
      <c r="AB200" s="23" t="s">
        <v>647</v>
      </c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11" customFormat="1" ht="7.5" customHeight="1" outlineLevel="2" x14ac:dyDescent="0.35">
      <c r="A201" s="93" t="s">
        <v>132</v>
      </c>
      <c r="B201" s="18"/>
      <c r="C201" s="78"/>
      <c r="D201" s="78"/>
      <c r="E201" s="78"/>
      <c r="F201" s="78"/>
      <c r="G201" s="10"/>
      <c r="H201" s="10"/>
      <c r="I201" s="10"/>
      <c r="J201" s="10"/>
      <c r="K201" s="10"/>
      <c r="L201" s="10"/>
      <c r="M201" s="287"/>
      <c r="N201" s="10"/>
      <c r="O201" s="10"/>
      <c r="P201" s="10"/>
      <c r="Q201" s="10"/>
      <c r="R201" s="10"/>
      <c r="S201" s="10"/>
      <c r="T201" s="18"/>
      <c r="U201" s="10"/>
      <c r="V201" s="10"/>
      <c r="W201" s="10"/>
      <c r="X201" s="18"/>
      <c r="Y201" s="10"/>
      <c r="Z201" s="10"/>
      <c r="AA201" s="10"/>
      <c r="AB201" s="60"/>
      <c r="AC201" s="60"/>
      <c r="AD201" s="12"/>
    </row>
    <row r="202" spans="1:30" s="17" customFormat="1" ht="15.5" outlineLevel="1" x14ac:dyDescent="0.35">
      <c r="A202" s="93" t="s">
        <v>100</v>
      </c>
      <c r="B202" s="21"/>
      <c r="C202" s="84"/>
      <c r="D202" s="84"/>
      <c r="E202" s="84"/>
      <c r="F202" s="83"/>
      <c r="G202" s="32"/>
      <c r="H202" s="32"/>
      <c r="I202" s="32"/>
      <c r="J202" s="32"/>
      <c r="K202" s="32"/>
      <c r="L202" s="20">
        <f ca="1">LOOKUP(1000,INDIRECT("L1:"&amp;CELL("address",INDIRECT("R[-1]C",FALSE))))+1</f>
        <v>23</v>
      </c>
      <c r="M202" s="326" t="s">
        <v>644</v>
      </c>
      <c r="N202" s="326"/>
      <c r="O202" s="5"/>
      <c r="P202" s="33"/>
      <c r="Q202" s="33"/>
      <c r="R202" s="33"/>
      <c r="S202" s="33"/>
      <c r="T202" s="167">
        <f>IF($S$6="Exclude", SUMIFS(S203:S205, J203:J205, "&lt;&gt;Yes", G203:G205, "&lt;&gt;Yes"), SUMIFS(S203:S205, J203:J205, "&lt;&gt;Yes"))</f>
        <v>2.25</v>
      </c>
      <c r="U202" s="33"/>
      <c r="V202" s="33"/>
      <c r="W202" s="33"/>
      <c r="X202" s="34"/>
      <c r="Y202" s="35"/>
      <c r="Z202" s="35"/>
      <c r="AA202" s="35"/>
      <c r="AB202" s="240"/>
      <c r="AC202" s="36"/>
      <c r="AD202" s="26" t="str">
        <f>IF(M202="", "Error: Task name cannot be empty.", "")</f>
        <v/>
      </c>
    </row>
    <row r="203" spans="1:30" s="15" customFormat="1" ht="1.5" customHeight="1" outlineLevel="2" x14ac:dyDescent="0.35">
      <c r="A203" s="93" t="s">
        <v>101</v>
      </c>
      <c r="B203" s="21"/>
      <c r="C203" s="84"/>
      <c r="D203" s="84"/>
      <c r="E203" s="84"/>
      <c r="F203" s="83"/>
      <c r="G203" s="32"/>
      <c r="H203" s="32"/>
      <c r="I203" s="32"/>
      <c r="J203" s="32"/>
      <c r="K203" s="32"/>
      <c r="L203" s="175">
        <f ca="1">L202</f>
        <v>23</v>
      </c>
      <c r="M203" s="176" t="s">
        <v>105</v>
      </c>
      <c r="N203" s="173"/>
      <c r="O203" s="174"/>
      <c r="P203" s="33"/>
      <c r="Q203" s="33"/>
      <c r="R203" s="33"/>
      <c r="S203" s="33"/>
      <c r="T203" s="167"/>
      <c r="U203" s="33"/>
      <c r="V203" s="33"/>
      <c r="W203" s="33"/>
      <c r="X203" s="34"/>
      <c r="Y203" s="35"/>
      <c r="Z203" s="35"/>
      <c r="AA203" s="35"/>
      <c r="AB203" s="36"/>
      <c r="AC203" s="36"/>
      <c r="AD203" s="26"/>
    </row>
    <row r="204" spans="1:30" ht="43.5" outlineLevel="2" x14ac:dyDescent="0.35">
      <c r="A204" s="93" t="s">
        <v>0</v>
      </c>
      <c r="B204" s="21"/>
      <c r="C204" s="85"/>
      <c r="D204" s="85"/>
      <c r="E204" s="85"/>
      <c r="F204" s="86"/>
      <c r="G204" s="22" t="s">
        <v>23</v>
      </c>
      <c r="H204" s="22" t="s">
        <v>23</v>
      </c>
      <c r="I204" s="23" t="s">
        <v>23</v>
      </c>
      <c r="J204" s="22" t="s">
        <v>23</v>
      </c>
      <c r="K204" s="38"/>
      <c r="L204" s="22"/>
      <c r="M204" s="286" t="str">
        <f ca="1">IFERROR(OFFSET(M204,-1,,1,1)+0.1,OFFSET(M204,-1,-1,1,1)&amp;".1")</f>
        <v>23.1</v>
      </c>
      <c r="N204" s="23" t="s">
        <v>645</v>
      </c>
      <c r="O204" s="23"/>
      <c r="P204" s="23"/>
      <c r="Q204" s="144"/>
      <c r="R204" s="137"/>
      <c r="S204" s="169">
        <f>CEILING((IF(J204="Yes", 0, IF(H204="-",AA204,AA204+AA204*VLOOKUP(H204,BUFFERS_BY_TYPE,2,FALSE)))) +
   (IF(J204="Yes", 0, IF(H204="-",AA204,AA204+AA204*VLOOKUP(H204,BUFFERS_BY_TYPE,2,FALSE))))*VLOOKUP($S$5, SALES_CALL_SCALE_ARRAY, 2,FALSE),0.25)</f>
        <v>2.25</v>
      </c>
      <c r="T204" s="170"/>
      <c r="U204" s="24">
        <v>0</v>
      </c>
      <c r="V204" s="24">
        <v>1</v>
      </c>
      <c r="W204" s="24">
        <v>0</v>
      </c>
      <c r="X204" s="168">
        <v>2.2000000000000002</v>
      </c>
      <c r="Y204" s="169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2.25</v>
      </c>
      <c r="Z204" s="25"/>
      <c r="AA204" s="169">
        <f>Y204+Y204*VLOOKUP(I204,EXTRAS_ARRAY,2,FALSE)</f>
        <v>2.25</v>
      </c>
      <c r="AB204" s="23"/>
      <c r="AC204" s="37"/>
      <c r="AD204" s="26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s="11" customFormat="1" ht="7.5" customHeight="1" outlineLevel="2" x14ac:dyDescent="0.35">
      <c r="A205" s="93" t="s">
        <v>132</v>
      </c>
      <c r="B205" s="18"/>
      <c r="C205" s="78"/>
      <c r="D205" s="78"/>
      <c r="E205" s="78"/>
      <c r="F205" s="78"/>
      <c r="G205" s="10"/>
      <c r="H205" s="10"/>
      <c r="I205" s="10"/>
      <c r="J205" s="10"/>
      <c r="K205" s="10"/>
      <c r="L205" s="10"/>
      <c r="M205" s="287"/>
      <c r="N205" s="10"/>
      <c r="O205" s="10"/>
      <c r="P205" s="10"/>
      <c r="Q205" s="10"/>
      <c r="R205" s="10"/>
      <c r="S205" s="10"/>
      <c r="T205" s="18"/>
      <c r="U205" s="10"/>
      <c r="V205" s="10"/>
      <c r="W205" s="10"/>
      <c r="X205" s="18"/>
      <c r="Y205" s="10"/>
      <c r="Z205" s="10"/>
      <c r="AA205" s="10"/>
      <c r="AB205" s="60"/>
      <c r="AC205" s="60"/>
      <c r="AD205" s="12"/>
    </row>
    <row r="206" spans="1:30" s="17" customFormat="1" ht="15.5" outlineLevel="1" x14ac:dyDescent="0.35">
      <c r="A206" s="93" t="s">
        <v>100</v>
      </c>
      <c r="B206" s="21"/>
      <c r="C206" s="84"/>
      <c r="D206" s="84"/>
      <c r="E206" s="84"/>
      <c r="F206" s="83"/>
      <c r="G206" s="32"/>
      <c r="H206" s="32"/>
      <c r="I206" s="32"/>
      <c r="J206" s="32"/>
      <c r="K206" s="32"/>
      <c r="L206" s="20">
        <f ca="1">LOOKUP(1000,INDIRECT("L1:"&amp;CELL("address",INDIRECT("R[-1]C",FALSE))))+1</f>
        <v>24</v>
      </c>
      <c r="M206" s="326" t="s">
        <v>40</v>
      </c>
      <c r="N206" s="326"/>
      <c r="O206" s="5"/>
      <c r="P206" s="33"/>
      <c r="Q206" s="33"/>
      <c r="R206" s="33"/>
      <c r="S206" s="33"/>
      <c r="T206" s="167">
        <f>IF($S$6="Exclude", SUMIFS(S207:S209, J207:J209, "&lt;&gt;Yes", G207:G209, "&lt;&gt;Yes"), SUMIFS(S207:S209, J207:J209, "&lt;&gt;Yes"))</f>
        <v>30</v>
      </c>
      <c r="U206" s="33"/>
      <c r="V206" s="33"/>
      <c r="W206" s="33"/>
      <c r="X206" s="34"/>
      <c r="Y206" s="35"/>
      <c r="Z206" s="35"/>
      <c r="AA206" s="35"/>
      <c r="AB206" s="240"/>
      <c r="AC206" s="36"/>
      <c r="AD206" s="26" t="str">
        <f>IF(M206="", "Error: Task name cannot be empty.", "")</f>
        <v/>
      </c>
    </row>
    <row r="207" spans="1:30" s="15" customFormat="1" ht="1.5" customHeight="1" outlineLevel="2" x14ac:dyDescent="0.35">
      <c r="A207" s="93" t="s">
        <v>101</v>
      </c>
      <c r="B207" s="21"/>
      <c r="C207" s="84"/>
      <c r="D207" s="84"/>
      <c r="E207" s="84"/>
      <c r="F207" s="83"/>
      <c r="G207" s="32"/>
      <c r="H207" s="32"/>
      <c r="I207" s="32"/>
      <c r="J207" s="32"/>
      <c r="K207" s="32"/>
      <c r="L207" s="175">
        <f ca="1">L206</f>
        <v>24</v>
      </c>
      <c r="M207" s="176" t="s">
        <v>105</v>
      </c>
      <c r="N207" s="173"/>
      <c r="O207" s="174"/>
      <c r="P207" s="33"/>
      <c r="Q207" s="33"/>
      <c r="R207" s="33"/>
      <c r="S207" s="33"/>
      <c r="T207" s="167"/>
      <c r="U207" s="33"/>
      <c r="V207" s="33"/>
      <c r="W207" s="33"/>
      <c r="X207" s="34"/>
      <c r="Y207" s="35"/>
      <c r="Z207" s="35"/>
      <c r="AA207" s="35"/>
      <c r="AB207" s="36"/>
      <c r="AC207" s="36"/>
      <c r="AD207" s="26"/>
    </row>
    <row r="208" spans="1:30" ht="58" outlineLevel="2" x14ac:dyDescent="0.35">
      <c r="A208" s="93" t="s">
        <v>0</v>
      </c>
      <c r="B208" s="21"/>
      <c r="C208" s="85"/>
      <c r="D208" s="85"/>
      <c r="E208" s="85"/>
      <c r="F208" s="86"/>
      <c r="G208" s="22" t="s">
        <v>23</v>
      </c>
      <c r="H208" s="22" t="s">
        <v>23</v>
      </c>
      <c r="I208" s="23" t="s">
        <v>23</v>
      </c>
      <c r="J208" s="22" t="s">
        <v>23</v>
      </c>
      <c r="K208" s="38"/>
      <c r="L208" s="22"/>
      <c r="M208" s="286" t="str">
        <f ca="1">IFERROR(OFFSET(M208,-1,,1,1)+0.1,OFFSET(M208,-1,-1,1,1)&amp;".1")</f>
        <v>24.1</v>
      </c>
      <c r="N208" s="23" t="s">
        <v>651</v>
      </c>
      <c r="O208" s="23"/>
      <c r="P208" s="23"/>
      <c r="Q208" s="144"/>
      <c r="R208" s="137"/>
      <c r="S208" s="169">
        <f>CEILING((IF(J208="Yes", 0, IF(H208="-",AA208,AA208+AA208*VLOOKUP(H208,BUFFERS_BY_TYPE,2,FALSE)))) +
   (IF(J208="Yes", 0, IF(H208="-",AA208,AA208+AA208*VLOOKUP(H208,BUFFERS_BY_TYPE,2,FALSE))))*VLOOKUP($S$5, SALES_CALL_SCALE_ARRAY, 2,FALSE),0.25)</f>
        <v>30</v>
      </c>
      <c r="T208" s="170"/>
      <c r="U208" s="24">
        <v>0</v>
      </c>
      <c r="V208" s="24">
        <v>1</v>
      </c>
      <c r="W208" s="24">
        <v>0</v>
      </c>
      <c r="X208" s="168">
        <v>30</v>
      </c>
      <c r="Y208" s="169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30</v>
      </c>
      <c r="Z208" s="25"/>
      <c r="AA208" s="169">
        <f>Y208+Y208*VLOOKUP(I208,EXTRAS_ARRAY,2,FALSE)</f>
        <v>30</v>
      </c>
      <c r="AB208" s="23"/>
      <c r="AC208" s="37"/>
      <c r="AD208" s="26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s="11" customFormat="1" ht="7.5" customHeight="1" outlineLevel="2" x14ac:dyDescent="0.35">
      <c r="A209" s="93" t="s">
        <v>132</v>
      </c>
      <c r="B209" s="18"/>
      <c r="C209" s="78"/>
      <c r="D209" s="78"/>
      <c r="E209" s="78"/>
      <c r="F209" s="78"/>
      <c r="G209" s="10"/>
      <c r="H209" s="10"/>
      <c r="I209" s="10"/>
      <c r="J209" s="10"/>
      <c r="K209" s="10"/>
      <c r="L209" s="10"/>
      <c r="M209" s="287"/>
      <c r="N209" s="10"/>
      <c r="O209" s="10"/>
      <c r="P209" s="10"/>
      <c r="Q209" s="10"/>
      <c r="R209" s="10"/>
      <c r="S209" s="10"/>
      <c r="T209" s="18"/>
      <c r="U209" s="10"/>
      <c r="V209" s="10"/>
      <c r="W209" s="10"/>
      <c r="X209" s="18"/>
      <c r="Y209" s="10"/>
      <c r="Z209" s="10"/>
      <c r="AA209" s="10"/>
      <c r="AB209" s="60"/>
      <c r="AC209" s="60"/>
      <c r="AD209" s="12"/>
    </row>
    <row r="210" spans="1:30" s="17" customFormat="1" ht="15.5" outlineLevel="1" x14ac:dyDescent="0.35">
      <c r="A210" s="93" t="s">
        <v>107</v>
      </c>
      <c r="B210" s="21"/>
      <c r="C210" s="84"/>
      <c r="D210" s="84"/>
      <c r="E210" s="84"/>
      <c r="F210" s="83"/>
      <c r="G210" s="185"/>
      <c r="H210" s="185"/>
      <c r="I210" s="185"/>
      <c r="J210" s="185"/>
      <c r="K210" s="185"/>
      <c r="L210" s="92" t="s">
        <v>109</v>
      </c>
      <c r="M210" s="325" t="s">
        <v>498</v>
      </c>
      <c r="N210" s="325"/>
      <c r="O210" s="87"/>
      <c r="P210" s="88"/>
      <c r="Q210" s="88"/>
      <c r="R210" s="88"/>
      <c r="S210" s="328">
        <f>SUMGROUP(ROW(), "T")</f>
        <v>28</v>
      </c>
      <c r="T210" s="328"/>
      <c r="U210" s="318"/>
      <c r="V210" s="318"/>
      <c r="W210" s="318"/>
      <c r="X210" s="89"/>
      <c r="Y210" s="90"/>
      <c r="Z210" s="90"/>
      <c r="AA210" s="90"/>
      <c r="AB210" s="243"/>
      <c r="AC210" s="91"/>
      <c r="AD210" s="26" t="str">
        <f>IF(M210="", "Error: Module name cannot be empty.", "")</f>
        <v/>
      </c>
    </row>
    <row r="211" spans="1:30" s="17" customFormat="1" ht="15.5" outlineLevel="1" x14ac:dyDescent="0.35">
      <c r="A211" s="93" t="s">
        <v>100</v>
      </c>
      <c r="B211" s="21"/>
      <c r="C211" s="84"/>
      <c r="D211" s="84"/>
      <c r="E211" s="84"/>
      <c r="F211" s="83"/>
      <c r="G211" s="32"/>
      <c r="H211" s="32"/>
      <c r="I211" s="32"/>
      <c r="J211" s="32"/>
      <c r="K211" s="32"/>
      <c r="L211" s="20">
        <f ca="1">LOOKUP(1000,INDIRECT("L1:"&amp;CELL("address",INDIRECT("R[-1]C",FALSE))))+1</f>
        <v>25</v>
      </c>
      <c r="M211" s="326" t="s">
        <v>498</v>
      </c>
      <c r="N211" s="326"/>
      <c r="O211" s="5"/>
      <c r="P211" s="33"/>
      <c r="Q211" s="33"/>
      <c r="R211" s="33"/>
      <c r="S211" s="33"/>
      <c r="T211" s="167">
        <f>IF($S$6="Exclude", SUMIFS(S212:S218, J212:J218, "&lt;&gt;Yes", G212:G218, "&lt;&gt;Yes"), SUMIFS(S212:S218, J212:J218, "&lt;&gt;Yes"))</f>
        <v>28</v>
      </c>
      <c r="U211" s="33"/>
      <c r="V211" s="33"/>
      <c r="W211" s="33"/>
      <c r="X211" s="34"/>
      <c r="Y211" s="35"/>
      <c r="Z211" s="35"/>
      <c r="AA211" s="35"/>
      <c r="AB211" s="240"/>
      <c r="AC211" s="36"/>
      <c r="AD211" s="26" t="str">
        <f>IF(M211="", "Error: Task name cannot be empty.", "")</f>
        <v/>
      </c>
    </row>
    <row r="212" spans="1:30" s="15" customFormat="1" ht="1.5" customHeight="1" outlineLevel="2" x14ac:dyDescent="0.35">
      <c r="A212" s="93" t="s">
        <v>101</v>
      </c>
      <c r="B212" s="21"/>
      <c r="C212" s="84"/>
      <c r="D212" s="84"/>
      <c r="E212" s="84"/>
      <c r="F212" s="83"/>
      <c r="G212" s="32"/>
      <c r="H212" s="32"/>
      <c r="I212" s="32"/>
      <c r="J212" s="32"/>
      <c r="K212" s="32"/>
      <c r="L212" s="175">
        <f ca="1">L211</f>
        <v>25</v>
      </c>
      <c r="M212" s="176" t="s">
        <v>105</v>
      </c>
      <c r="N212" s="173"/>
      <c r="O212" s="174"/>
      <c r="P212" s="33"/>
      <c r="Q212" s="33"/>
      <c r="R212" s="33"/>
      <c r="S212" s="33"/>
      <c r="T212" s="167"/>
      <c r="U212" s="33"/>
      <c r="V212" s="33"/>
      <c r="W212" s="33"/>
      <c r="X212" s="34"/>
      <c r="Y212" s="35"/>
      <c r="Z212" s="35"/>
      <c r="AA212" s="35"/>
      <c r="AB212" s="36"/>
      <c r="AC212" s="36"/>
      <c r="AD212" s="26"/>
    </row>
    <row r="213" spans="1:30" ht="15.5" outlineLevel="2" x14ac:dyDescent="0.35">
      <c r="A213" s="93" t="s">
        <v>0</v>
      </c>
      <c r="B213" s="21"/>
      <c r="C213" s="85"/>
      <c r="D213" s="85"/>
      <c r="E213" s="85"/>
      <c r="F213" s="86"/>
      <c r="G213" s="22" t="s">
        <v>23</v>
      </c>
      <c r="H213" s="22" t="s">
        <v>23</v>
      </c>
      <c r="I213" s="23" t="s">
        <v>23</v>
      </c>
      <c r="J213" s="22" t="s">
        <v>23</v>
      </c>
      <c r="K213" s="38"/>
      <c r="L213" s="22"/>
      <c r="M213" s="286" t="str">
        <f ca="1">IFERROR(OFFSET(M213,-1,,1,1)+0.1,OFFSET(M213,-1,-1,1,1)&amp;".1")</f>
        <v>25.1</v>
      </c>
      <c r="N213" s="23" t="s">
        <v>582</v>
      </c>
      <c r="O213" s="23"/>
      <c r="P213" s="23" t="s">
        <v>586</v>
      </c>
      <c r="Q213" s="144"/>
      <c r="R213" s="137">
        <v>2</v>
      </c>
      <c r="S213" s="169">
        <f>CEILING((IF(J213="Yes", 0, IF(H213="-",AA213,AA213+AA213*VLOOKUP(H213,BUFFERS_BY_TYPE,2,FALSE)))) +
   (IF(J213="Yes", 0, IF(H213="-",AA213,AA213+AA213*VLOOKUP(H213,BUFFERS_BY_TYPE,2,FALSE))))*VLOOKUP($S$5, SALES_CALL_SCALE_ARRAY, 2,FALSE),0.25)</f>
        <v>2</v>
      </c>
      <c r="T213" s="170"/>
      <c r="U213" s="24">
        <v>0</v>
      </c>
      <c r="V213" s="24">
        <v>1</v>
      </c>
      <c r="W213" s="24">
        <v>0</v>
      </c>
      <c r="X213" s="168">
        <v>2</v>
      </c>
      <c r="Y213" s="169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</v>
      </c>
      <c r="Z213" s="25"/>
      <c r="AA213" s="169">
        <f>Y213+Y213*VLOOKUP(I213,EXTRAS_ARRAY,2,FALSE)</f>
        <v>2</v>
      </c>
      <c r="AB213" s="23" t="s">
        <v>659</v>
      </c>
      <c r="AC213" s="37"/>
      <c r="AD213" s="26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43.5" outlineLevel="2" x14ac:dyDescent="0.35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 t="s">
        <v>542</v>
      </c>
      <c r="L214" s="22"/>
      <c r="M214" s="286">
        <f ca="1">IFERROR(OFFSET(M214,-1,,1,1)+0.1,OFFSET(M214,-1,-1,1,1)&amp;".1")</f>
        <v>25.200000000000003</v>
      </c>
      <c r="N214" s="23" t="s">
        <v>583</v>
      </c>
      <c r="O214" s="23"/>
      <c r="P214" s="23" t="s">
        <v>587</v>
      </c>
      <c r="Q214" s="144"/>
      <c r="R214" s="137">
        <v>15</v>
      </c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8</v>
      </c>
      <c r="T214" s="170"/>
      <c r="U214" s="24">
        <v>0</v>
      </c>
      <c r="V214" s="24">
        <v>1</v>
      </c>
      <c r="W214" s="24">
        <v>0</v>
      </c>
      <c r="X214" s="168">
        <v>8</v>
      </c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8</v>
      </c>
      <c r="Z214" s="25"/>
      <c r="AA214" s="169">
        <f>Y214+Y214*VLOOKUP(I214,EXTRAS_ARRAY,2,FALSE)</f>
        <v>8</v>
      </c>
      <c r="AB214" s="23" t="s">
        <v>591</v>
      </c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outlineLevel="2" x14ac:dyDescent="0.35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25.300000000000004</v>
      </c>
      <c r="N215" s="23" t="s">
        <v>584</v>
      </c>
      <c r="O215" s="23"/>
      <c r="P215" s="23" t="s">
        <v>587</v>
      </c>
      <c r="Q215" s="144"/>
      <c r="R215" s="137">
        <v>15</v>
      </c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5</v>
      </c>
      <c r="T215" s="170"/>
      <c r="U215" s="24">
        <v>0</v>
      </c>
      <c r="V215" s="24">
        <v>1</v>
      </c>
      <c r="W215" s="24">
        <v>0</v>
      </c>
      <c r="X215" s="168">
        <v>5</v>
      </c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5</v>
      </c>
      <c r="Z215" s="25"/>
      <c r="AA215" s="169">
        <f>Y215+Y215*VLOOKUP(I215,EXTRAS_ARRAY,2,FALSE)</f>
        <v>5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ht="15.5" outlineLevel="2" x14ac:dyDescent="0.35">
      <c r="A216" s="93" t="s">
        <v>0</v>
      </c>
      <c r="B216" s="21"/>
      <c r="C216" s="85"/>
      <c r="D216" s="85"/>
      <c r="E216" s="85"/>
      <c r="F216" s="86"/>
      <c r="G216" s="22" t="s">
        <v>23</v>
      </c>
      <c r="H216" s="22" t="s">
        <v>23</v>
      </c>
      <c r="I216" s="23" t="s">
        <v>23</v>
      </c>
      <c r="J216" s="22" t="s">
        <v>23</v>
      </c>
      <c r="K216" s="38"/>
      <c r="L216" s="22"/>
      <c r="M216" s="286">
        <f ca="1">IFERROR(OFFSET(M216,-1,,1,1)+0.1,OFFSET(M216,-1,-1,1,1)&amp;".1")</f>
        <v>25.400000000000006</v>
      </c>
      <c r="N216" s="23" t="s">
        <v>588</v>
      </c>
      <c r="O216" s="23"/>
      <c r="P216" s="23"/>
      <c r="Q216" s="144"/>
      <c r="R216" s="137"/>
      <c r="S216" s="169">
        <f>CEILING((IF(J216="Yes", 0, IF(H216="-",AA216,AA216+AA216*VLOOKUP(H216,BUFFERS_BY_TYPE,2,FALSE)))) +
   (IF(J216="Yes", 0, IF(H216="-",AA216,AA216+AA216*VLOOKUP(H216,BUFFERS_BY_TYPE,2,FALSE))))*VLOOKUP($S$5, SALES_CALL_SCALE_ARRAY, 2,FALSE),0.25)</f>
        <v>10</v>
      </c>
      <c r="T216" s="170"/>
      <c r="U216" s="24">
        <v>0</v>
      </c>
      <c r="V216" s="24">
        <v>1</v>
      </c>
      <c r="W216" s="24">
        <v>0</v>
      </c>
      <c r="X216" s="168">
        <v>10</v>
      </c>
      <c r="Y216" s="169">
        <f>CEILING((IF(P216=AS_DEV_EFFORT, DEV_EFFORT*Q216%,
                           IF(P216=AS_DURATION_EFFORT, (MANUAL_DURATION*5)*Q216%,
                                    (IF(Q216&lt;=1,X216,
                                          IF(SUM(U216:W216)=0,(Q216*X216),
                                               (((Q216*U216)*(X216+(X216*EXTRA_FOR_H)))+
                                               ((Q216*V216)*X216)+
                                               ((Q216*W216)*(X216-(X216*LESS_FOR_L)))
                                    )*IF(R216=0,1,R216))))))+Z216), 0.25)</f>
        <v>10</v>
      </c>
      <c r="Z216" s="25"/>
      <c r="AA216" s="169">
        <f>Y216+Y216*VLOOKUP(I216,EXTRAS_ARRAY,2,FALSE)</f>
        <v>10</v>
      </c>
      <c r="AB216" s="23"/>
      <c r="AC216" s="37"/>
      <c r="AD216" s="26" t="str">
        <f>IF(J216&lt;&gt;"Yes",
IF(S216&lt;=0,"Error: Effort value is not defined or is invalid.",
IF(AND(SUM(U216:W216)&gt;0,SUM(U216:W216)&lt;&gt;1),"Error: Complexity % distribution should sum to 100%.",
IF(AND(P216=AS_DEV_EFFORT,X216&lt;&gt;0),"Error: PDs should not be defined when defining as dev effort %.",
IF(AND(P216=AS_DURATION_EFFORT,X216&lt;&gt;0),"Error: PDs should not be defined when defining as duration effort %.","")))))</f>
        <v/>
      </c>
    </row>
    <row r="217" spans="1:30" ht="58" outlineLevel="2" x14ac:dyDescent="0.35">
      <c r="A217" s="93" t="s">
        <v>0</v>
      </c>
      <c r="B217" s="21"/>
      <c r="C217" s="85"/>
      <c r="D217" s="85"/>
      <c r="E217" s="85"/>
      <c r="F217" s="86"/>
      <c r="G217" s="22" t="s">
        <v>23</v>
      </c>
      <c r="H217" s="22" t="s">
        <v>23</v>
      </c>
      <c r="I217" s="23" t="s">
        <v>23</v>
      </c>
      <c r="J217" s="22" t="s">
        <v>23</v>
      </c>
      <c r="K217" s="38"/>
      <c r="L217" s="22"/>
      <c r="M217" s="286">
        <f ca="1">IFERROR(OFFSET(M217,-1,,1,1)+0.1,OFFSET(M217,-1,-1,1,1)&amp;".1")</f>
        <v>25.500000000000007</v>
      </c>
      <c r="N217" s="23" t="s">
        <v>585</v>
      </c>
      <c r="O217" s="23"/>
      <c r="P217" s="23" t="s">
        <v>589</v>
      </c>
      <c r="Q217" s="144"/>
      <c r="R217" s="137">
        <v>5</v>
      </c>
      <c r="S217" s="169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70"/>
      <c r="U217" s="24">
        <v>0</v>
      </c>
      <c r="V217" s="24">
        <v>1</v>
      </c>
      <c r="W217" s="24">
        <v>0</v>
      </c>
      <c r="X217" s="168">
        <v>3</v>
      </c>
      <c r="Y217" s="169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5"/>
      <c r="AA217" s="169">
        <f>Y217+Y217*VLOOKUP(I217,EXTRAS_ARRAY,2,FALSE)</f>
        <v>3</v>
      </c>
      <c r="AB217" s="23" t="s">
        <v>590</v>
      </c>
      <c r="AC217" s="37"/>
      <c r="AD217" s="26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s="11" customFormat="1" ht="7.5" customHeight="1" outlineLevel="2" x14ac:dyDescent="0.35">
      <c r="A218" s="93" t="s">
        <v>132</v>
      </c>
      <c r="B218" s="18"/>
      <c r="C218" s="78"/>
      <c r="D218" s="78"/>
      <c r="E218" s="78"/>
      <c r="F218" s="78"/>
      <c r="G218" s="10"/>
      <c r="H218" s="10"/>
      <c r="I218" s="10"/>
      <c r="J218" s="10"/>
      <c r="K218" s="10"/>
      <c r="L218" s="10"/>
      <c r="M218" s="287"/>
      <c r="N218" s="10"/>
      <c r="O218" s="10"/>
      <c r="P218" s="10"/>
      <c r="Q218" s="10"/>
      <c r="R218" s="10"/>
      <c r="S218" s="10"/>
      <c r="T218" s="18"/>
      <c r="U218" s="10"/>
      <c r="V218" s="10"/>
      <c r="W218" s="10"/>
      <c r="X218" s="18"/>
      <c r="Y218" s="10"/>
      <c r="Z218" s="10"/>
      <c r="AA218" s="10"/>
      <c r="AB218" s="60"/>
      <c r="AC218" s="60"/>
      <c r="AD218" s="12"/>
    </row>
    <row r="219" spans="1:30" s="11" customFormat="1" ht="3" customHeight="1" outlineLevel="1" x14ac:dyDescent="0.35">
      <c r="A219" s="93" t="s">
        <v>102</v>
      </c>
      <c r="B219" s="10"/>
      <c r="C219" s="78"/>
      <c r="D219" s="78"/>
      <c r="E219" s="78"/>
      <c r="F219" s="78"/>
      <c r="G219" s="59"/>
      <c r="H219" s="59"/>
      <c r="I219" s="59"/>
      <c r="J219" s="59"/>
      <c r="K219" s="59"/>
      <c r="L219" s="61"/>
      <c r="M219" s="288"/>
      <c r="N219" s="62"/>
      <c r="O219" s="62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2"/>
      <c r="AC219" s="62"/>
      <c r="AD219" s="12"/>
    </row>
    <row r="220" spans="1:30" s="17" customFormat="1" ht="18.5" x14ac:dyDescent="0.35">
      <c r="A220" s="93" t="s">
        <v>98</v>
      </c>
      <c r="B220" s="14"/>
      <c r="C220" s="79"/>
      <c r="D220" s="79"/>
      <c r="E220" s="79"/>
      <c r="F220" s="78"/>
      <c r="G220" s="55"/>
      <c r="H220" s="55"/>
      <c r="I220" s="55"/>
      <c r="J220" s="55"/>
      <c r="K220" s="55"/>
      <c r="L220" s="55" t="s">
        <v>70</v>
      </c>
      <c r="M220" s="284" t="s">
        <v>74</v>
      </c>
      <c r="N220" s="56"/>
      <c r="O220" s="57"/>
      <c r="P220" s="58"/>
      <c r="Q220" s="58"/>
      <c r="R220" s="58"/>
      <c r="S220" s="327">
        <f>CEILING(SUMIF(J221:J255, "&lt;&gt;Yes", T221:T255),1)</f>
        <v>266</v>
      </c>
      <c r="T220" s="327"/>
      <c r="U220" s="58"/>
      <c r="V220" s="58"/>
      <c r="W220" s="58"/>
      <c r="X220" s="58"/>
      <c r="Y220" s="58"/>
      <c r="Z220" s="58"/>
      <c r="AA220" s="58"/>
      <c r="AB220" s="58"/>
      <c r="AC220" s="58"/>
      <c r="AD220" s="16"/>
    </row>
    <row r="221" spans="1:30" s="11" customFormat="1" ht="3" customHeight="1" outlineLevel="1" x14ac:dyDescent="0.35">
      <c r="A221" s="93" t="s">
        <v>99</v>
      </c>
      <c r="B221" s="18"/>
      <c r="C221" s="78"/>
      <c r="D221" s="78"/>
      <c r="E221" s="78"/>
      <c r="F221" s="78"/>
      <c r="G221" s="28"/>
      <c r="H221" s="28"/>
      <c r="I221" s="28"/>
      <c r="J221" s="28"/>
      <c r="K221" s="28"/>
      <c r="L221" s="29">
        <v>0</v>
      </c>
      <c r="M221" s="285"/>
      <c r="N221" s="28"/>
      <c r="O221" s="28"/>
      <c r="P221" s="28"/>
      <c r="Q221" s="28"/>
      <c r="R221" s="28"/>
      <c r="S221" s="28"/>
      <c r="T221" s="30"/>
      <c r="U221" s="28"/>
      <c r="V221" s="28"/>
      <c r="W221" s="28"/>
      <c r="X221" s="30"/>
      <c r="Y221" s="28"/>
      <c r="Z221" s="28"/>
      <c r="AA221" s="28"/>
      <c r="AB221" s="31"/>
      <c r="AC221" s="31"/>
      <c r="AD221" s="12"/>
    </row>
    <row r="222" spans="1:30" s="17" customFormat="1" ht="15.5" outlineLevel="1" x14ac:dyDescent="0.35">
      <c r="A222" s="93" t="s">
        <v>107</v>
      </c>
      <c r="B222" s="21"/>
      <c r="C222" s="84"/>
      <c r="D222" s="84"/>
      <c r="E222" s="84"/>
      <c r="F222" s="83"/>
      <c r="G222" s="185"/>
      <c r="H222" s="185"/>
      <c r="I222" s="185"/>
      <c r="J222" s="185"/>
      <c r="K222" s="185"/>
      <c r="L222" s="92" t="s">
        <v>109</v>
      </c>
      <c r="M222" s="325" t="s">
        <v>543</v>
      </c>
      <c r="N222" s="325"/>
      <c r="O222" s="87"/>
      <c r="P222" s="88"/>
      <c r="Q222" s="88"/>
      <c r="R222" s="88"/>
      <c r="S222" s="328">
        <f>SUMGROUP(ROW(), "T")</f>
        <v>13</v>
      </c>
      <c r="T222" s="328"/>
      <c r="U222" s="318"/>
      <c r="V222" s="318"/>
      <c r="W222" s="318"/>
      <c r="X222" s="89"/>
      <c r="Y222" s="90"/>
      <c r="Z222" s="90"/>
      <c r="AA222" s="90"/>
      <c r="AB222" s="243"/>
      <c r="AC222" s="91"/>
      <c r="AD222" s="26" t="str">
        <f>IF(M222="", "Error: Module name cannot be empty.", "")</f>
        <v/>
      </c>
    </row>
    <row r="223" spans="1:30" s="17" customFormat="1" ht="15.5" outlineLevel="1" x14ac:dyDescent="0.35">
      <c r="A223" s="93" t="s">
        <v>100</v>
      </c>
      <c r="B223" s="21"/>
      <c r="C223" s="84"/>
      <c r="D223" s="84"/>
      <c r="E223" s="84"/>
      <c r="F223" s="83"/>
      <c r="G223" s="32"/>
      <c r="H223" s="32"/>
      <c r="I223" s="32"/>
      <c r="J223" s="32"/>
      <c r="K223" s="32"/>
      <c r="L223" s="20">
        <f ca="1">LOOKUP(1000,INDIRECT("L1:"&amp;CELL("address",INDIRECT("R[-1]C",FALSE))))+1</f>
        <v>1</v>
      </c>
      <c r="M223" s="326" t="s">
        <v>544</v>
      </c>
      <c r="N223" s="326"/>
      <c r="O223" s="5"/>
      <c r="P223" s="33"/>
      <c r="Q223" s="33"/>
      <c r="R223" s="33"/>
      <c r="S223" s="33"/>
      <c r="T223" s="167">
        <f>IF($S$6="Exclude", SUMIFS(S224:S227, J224:J227, "&lt;&gt;Yes", G224:G227, "&lt;&gt;Yes"), SUMIFS(S224:S227, J224:J227, "&lt;&gt;Yes"))</f>
        <v>13</v>
      </c>
      <c r="U223" s="33"/>
      <c r="V223" s="33"/>
      <c r="W223" s="33"/>
      <c r="X223" s="34"/>
      <c r="Y223" s="35"/>
      <c r="Z223" s="35"/>
      <c r="AA223" s="35"/>
      <c r="AB223" s="240"/>
      <c r="AC223" s="36"/>
      <c r="AD223" s="26" t="str">
        <f>IF(M223="", "Error: Task name cannot be empty.", "")</f>
        <v/>
      </c>
    </row>
    <row r="224" spans="1:30" s="15" customFormat="1" ht="1.5" customHeight="1" outlineLevel="2" x14ac:dyDescent="0.35">
      <c r="A224" s="93" t="s">
        <v>101</v>
      </c>
      <c r="B224" s="21"/>
      <c r="C224" s="84"/>
      <c r="D224" s="84"/>
      <c r="E224" s="84"/>
      <c r="F224" s="83"/>
      <c r="G224" s="32"/>
      <c r="H224" s="32"/>
      <c r="I224" s="32"/>
      <c r="J224" s="32"/>
      <c r="K224" s="32"/>
      <c r="L224" s="175">
        <f ca="1">L223</f>
        <v>1</v>
      </c>
      <c r="M224" s="176" t="s">
        <v>105</v>
      </c>
      <c r="N224" s="173"/>
      <c r="O224" s="174"/>
      <c r="P224" s="33"/>
      <c r="Q224" s="33"/>
      <c r="R224" s="33"/>
      <c r="S224" s="33"/>
      <c r="T224" s="167"/>
      <c r="U224" s="33"/>
      <c r="V224" s="33"/>
      <c r="W224" s="33"/>
      <c r="X224" s="34"/>
      <c r="Y224" s="35"/>
      <c r="Z224" s="35"/>
      <c r="AA224" s="35"/>
      <c r="AB224" s="36"/>
      <c r="AC224" s="36"/>
      <c r="AD224" s="26"/>
    </row>
    <row r="225" spans="1:30" ht="15.5" outlineLevel="2" x14ac:dyDescent="0.35">
      <c r="A225" s="93" t="s">
        <v>0</v>
      </c>
      <c r="B225" s="21"/>
      <c r="C225" s="85"/>
      <c r="D225" s="85"/>
      <c r="E225" s="85"/>
      <c r="F225" s="86"/>
      <c r="G225" s="22" t="s">
        <v>23</v>
      </c>
      <c r="H225" s="22" t="s">
        <v>23</v>
      </c>
      <c r="I225" s="23" t="s">
        <v>23</v>
      </c>
      <c r="J225" s="22" t="s">
        <v>23</v>
      </c>
      <c r="K225" s="38"/>
      <c r="L225" s="22"/>
      <c r="M225" s="286" t="str">
        <f ca="1">IFERROR(OFFSET(M225,-1,,1,1)+0.1,OFFSET(M225,-1,-1,1,1)&amp;".1")</f>
        <v>1.1</v>
      </c>
      <c r="N225" s="23" t="s">
        <v>545</v>
      </c>
      <c r="O225" s="23"/>
      <c r="P225" s="23"/>
      <c r="Q225" s="144"/>
      <c r="R225" s="137"/>
      <c r="S225" s="169">
        <f>CEILING((IF(J225="Yes", 0, IF(H225="-",AA225,AA225+AA225*VLOOKUP(H225,BUFFERS_BY_TYPE,2,FALSE)))) +
   (IF(J225="Yes", 0, IF(H225="-",AA225,AA225+AA225*VLOOKUP(H225,BUFFERS_BY_TYPE,2,FALSE))))*VLOOKUP($S$5, SALES_CALL_SCALE_ARRAY, 2,FALSE),0.25)</f>
        <v>8</v>
      </c>
      <c r="T225" s="170"/>
      <c r="U225" s="24">
        <v>0</v>
      </c>
      <c r="V225" s="24">
        <v>1</v>
      </c>
      <c r="W225" s="24">
        <v>0</v>
      </c>
      <c r="X225" s="168">
        <v>8</v>
      </c>
      <c r="Y225" s="169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8</v>
      </c>
      <c r="Z225" s="25"/>
      <c r="AA225" s="169">
        <f>Y225+Y225*VLOOKUP(I225,EXTRAS_ARRAY,2,FALSE)</f>
        <v>8</v>
      </c>
      <c r="AB225" s="23"/>
      <c r="AC225" s="37"/>
      <c r="AD225" s="26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29" outlineLevel="2" x14ac:dyDescent="0.35">
      <c r="A226" s="93" t="s">
        <v>0</v>
      </c>
      <c r="B226" s="21"/>
      <c r="C226" s="85"/>
      <c r="D226" s="85"/>
      <c r="E226" s="85"/>
      <c r="F226" s="86"/>
      <c r="G226" s="22" t="s">
        <v>23</v>
      </c>
      <c r="H226" s="22" t="s">
        <v>23</v>
      </c>
      <c r="I226" s="23" t="s">
        <v>23</v>
      </c>
      <c r="J226" s="22" t="s">
        <v>23</v>
      </c>
      <c r="K226" s="38"/>
      <c r="L226" s="22"/>
      <c r="M226" s="286">
        <f ca="1">IFERROR(OFFSET(M226,-1,,1,1)+0.1,OFFSET(M226,-1,-1,1,1)&amp;".1")</f>
        <v>1.2000000000000002</v>
      </c>
      <c r="N226" s="23" t="s">
        <v>546</v>
      </c>
      <c r="O226" s="23"/>
      <c r="P226" s="23" t="s">
        <v>547</v>
      </c>
      <c r="Q226" s="144">
        <v>50</v>
      </c>
      <c r="R226" s="137"/>
      <c r="S226" s="169">
        <f>CEILING((IF(J226="Yes", 0, IF(H226="-",AA226,AA226+AA226*VLOOKUP(H226,BUFFERS_BY_TYPE,2,FALSE)))) +
   (IF(J226="Yes", 0, IF(H226="-",AA226,AA226+AA226*VLOOKUP(H226,BUFFERS_BY_TYPE,2,FALSE))))*VLOOKUP($S$5, SALES_CALL_SCALE_ARRAY, 2,FALSE),0.25)</f>
        <v>5</v>
      </c>
      <c r="T226" s="170"/>
      <c r="U226" s="24">
        <v>0</v>
      </c>
      <c r="V226" s="24">
        <v>1</v>
      </c>
      <c r="W226" s="24">
        <v>0</v>
      </c>
      <c r="X226" s="168">
        <v>0.1</v>
      </c>
      <c r="Y226" s="169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5</v>
      </c>
      <c r="Z226" s="25"/>
      <c r="AA226" s="169">
        <f>Y226+Y226*VLOOKUP(I226,EXTRAS_ARRAY,2,FALSE)</f>
        <v>5</v>
      </c>
      <c r="AB226" s="23"/>
      <c r="AC226" s="37"/>
      <c r="AD226" s="26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s="11" customFormat="1" ht="7.5" customHeight="1" outlineLevel="2" x14ac:dyDescent="0.35">
      <c r="A227" s="93" t="s">
        <v>132</v>
      </c>
      <c r="B227" s="18"/>
      <c r="C227" s="78"/>
      <c r="D227" s="78"/>
      <c r="E227" s="78"/>
      <c r="F227" s="78"/>
      <c r="G227" s="10"/>
      <c r="H227" s="10"/>
      <c r="I227" s="10"/>
      <c r="J227" s="10"/>
      <c r="K227" s="10"/>
      <c r="L227" s="10"/>
      <c r="M227" s="287"/>
      <c r="N227" s="10"/>
      <c r="O227" s="10"/>
      <c r="P227" s="10"/>
      <c r="Q227" s="10"/>
      <c r="R227" s="10"/>
      <c r="S227" s="10"/>
      <c r="T227" s="18"/>
      <c r="U227" s="10"/>
      <c r="V227" s="10"/>
      <c r="W227" s="10"/>
      <c r="X227" s="18"/>
      <c r="Y227" s="10"/>
      <c r="Z227" s="10"/>
      <c r="AA227" s="10"/>
      <c r="AB227" s="60"/>
      <c r="AC227" s="60"/>
      <c r="AD227" s="12"/>
    </row>
    <row r="228" spans="1:30" s="17" customFormat="1" ht="15.5" outlineLevel="1" x14ac:dyDescent="0.35">
      <c r="A228" s="93" t="s">
        <v>107</v>
      </c>
      <c r="B228" s="21"/>
      <c r="C228" s="84"/>
      <c r="D228" s="84"/>
      <c r="E228" s="84"/>
      <c r="F228" s="83"/>
      <c r="G228" s="185"/>
      <c r="H228" s="185"/>
      <c r="I228" s="185"/>
      <c r="J228" s="185"/>
      <c r="K228" s="185"/>
      <c r="L228" s="92" t="s">
        <v>109</v>
      </c>
      <c r="M228" s="325" t="s">
        <v>548</v>
      </c>
      <c r="N228" s="325"/>
      <c r="O228" s="87"/>
      <c r="P228" s="88"/>
      <c r="Q228" s="88"/>
      <c r="R228" s="88"/>
      <c r="S228" s="328">
        <f>SUMGROUP(ROW(), "T")</f>
        <v>252.5</v>
      </c>
      <c r="T228" s="328"/>
      <c r="U228" s="318"/>
      <c r="V228" s="318"/>
      <c r="W228" s="318"/>
      <c r="X228" s="89"/>
      <c r="Y228" s="90"/>
      <c r="Z228" s="90"/>
      <c r="AA228" s="90"/>
      <c r="AB228" s="243"/>
      <c r="AC228" s="91"/>
      <c r="AD228" s="26" t="str">
        <f>IF(M228="", "Error: Module name cannot be empty.", "")</f>
        <v/>
      </c>
    </row>
    <row r="229" spans="1:30" s="17" customFormat="1" ht="15.5" outlineLevel="1" x14ac:dyDescent="0.35">
      <c r="A229" s="93" t="s">
        <v>100</v>
      </c>
      <c r="B229" s="21"/>
      <c r="C229" s="84"/>
      <c r="D229" s="84"/>
      <c r="E229" s="84"/>
      <c r="F229" s="83"/>
      <c r="G229" s="32"/>
      <c r="H229" s="32"/>
      <c r="I229" s="32"/>
      <c r="J229" s="32"/>
      <c r="K229" s="32"/>
      <c r="L229" s="20">
        <f ca="1">LOOKUP(1000,INDIRECT("L1:"&amp;CELL("address",INDIRECT("R[-1]C",FALSE))))+1</f>
        <v>2</v>
      </c>
      <c r="M229" s="326" t="s">
        <v>463</v>
      </c>
      <c r="N229" s="326"/>
      <c r="O229" s="5"/>
      <c r="P229" s="33"/>
      <c r="Q229" s="33"/>
      <c r="R229" s="33"/>
      <c r="S229" s="33"/>
      <c r="T229" s="167">
        <f>IF($S$6="Exclude", SUMIFS(S230:S235, J230:J235, "&lt;&gt;Yes", G230:G235, "&lt;&gt;Yes"), SUMIFS(S230:S235, J230:J235, "&lt;&gt;Yes"))</f>
        <v>151</v>
      </c>
      <c r="U229" s="33"/>
      <c r="V229" s="33"/>
      <c r="W229" s="33"/>
      <c r="X229" s="34"/>
      <c r="Y229" s="35"/>
      <c r="Z229" s="35"/>
      <c r="AA229" s="35"/>
      <c r="AB229" s="240"/>
      <c r="AC229" s="36"/>
      <c r="AD229" s="26" t="str">
        <f>IF(M229="", "Error: Task name cannot be empty.", "")</f>
        <v/>
      </c>
    </row>
    <row r="230" spans="1:30" s="15" customFormat="1" ht="1.5" customHeight="1" outlineLevel="2" x14ac:dyDescent="0.35">
      <c r="A230" s="93" t="s">
        <v>101</v>
      </c>
      <c r="B230" s="21"/>
      <c r="C230" s="84"/>
      <c r="D230" s="84"/>
      <c r="E230" s="84"/>
      <c r="F230" s="83"/>
      <c r="G230" s="32"/>
      <c r="H230" s="32"/>
      <c r="I230" s="32"/>
      <c r="J230" s="32"/>
      <c r="K230" s="32"/>
      <c r="L230" s="175">
        <f ca="1">L229</f>
        <v>2</v>
      </c>
      <c r="M230" s="176" t="s">
        <v>105</v>
      </c>
      <c r="N230" s="173"/>
      <c r="O230" s="174"/>
      <c r="P230" s="33"/>
      <c r="Q230" s="33"/>
      <c r="R230" s="33"/>
      <c r="S230" s="33"/>
      <c r="T230" s="167"/>
      <c r="U230" s="33"/>
      <c r="V230" s="33"/>
      <c r="W230" s="33"/>
      <c r="X230" s="34"/>
      <c r="Y230" s="35"/>
      <c r="Z230" s="35"/>
      <c r="AA230" s="35"/>
      <c r="AB230" s="36"/>
      <c r="AC230" s="36"/>
      <c r="AD230" s="26"/>
    </row>
    <row r="231" spans="1:30" ht="29" outlineLevel="2" x14ac:dyDescent="0.35">
      <c r="A231" s="93" t="s">
        <v>0</v>
      </c>
      <c r="B231" s="21"/>
      <c r="C231" s="85"/>
      <c r="D231" s="85"/>
      <c r="E231" s="85"/>
      <c r="F231" s="86"/>
      <c r="G231" s="22" t="s">
        <v>23</v>
      </c>
      <c r="H231" s="22" t="s">
        <v>23</v>
      </c>
      <c r="I231" s="23" t="s">
        <v>23</v>
      </c>
      <c r="J231" s="22" t="s">
        <v>23</v>
      </c>
      <c r="K231" s="38"/>
      <c r="L231" s="22"/>
      <c r="M231" s="286" t="str">
        <f ca="1">IFERROR(OFFSET(M231,-1,,1,1)+0.1,OFFSET(M231,-1,-1,1,1)&amp;".1")</f>
        <v>2.1</v>
      </c>
      <c r="N231" s="23" t="s">
        <v>471</v>
      </c>
      <c r="O231" s="23" t="s">
        <v>592</v>
      </c>
      <c r="P231" s="23"/>
      <c r="Q231" s="144"/>
      <c r="R231" s="137">
        <v>2</v>
      </c>
      <c r="S231" s="169">
        <f>CEILING((IF(J231="Yes", 0, IF(H231="-",AA231,AA231+AA231*VLOOKUP(H231,BUFFERS_BY_TYPE,2,FALSE)))) +
   (IF(J231="Yes", 0, IF(H231="-",AA231,AA231+AA231*VLOOKUP(H231,BUFFERS_BY_TYPE,2,FALSE))))*VLOOKUP($S$5, SALES_CALL_SCALE_ARRAY, 2,FALSE),0.25)</f>
        <v>3</v>
      </c>
      <c r="T231" s="170"/>
      <c r="U231" s="24">
        <v>0</v>
      </c>
      <c r="V231" s="24">
        <v>1</v>
      </c>
      <c r="W231" s="24">
        <v>0</v>
      </c>
      <c r="X231" s="168">
        <v>3</v>
      </c>
      <c r="Y231" s="169">
        <f>CEILING((IF(P231=AS_DEV_EFFORT, DEV_EFFORT*Q231%,
                           IF(P231=AS_DURATION_EFFORT, (MANUAL_DURATION*5)*Q231%,
                                    (IF(Q231&lt;=1,X231,
                                          IF(SUM(U231:W231)=0,(Q231*X231),
                                               (((Q231*U231)*(X231+(X231*EXTRA_FOR_H)))+
                                               ((Q231*V231)*X231)+
                                               ((Q231*W231)*(X231-(X231*LESS_FOR_L)))
                                    )*IF(R231=0,1,R231))))))+Z231), 0.25)</f>
        <v>3</v>
      </c>
      <c r="Z231" s="25"/>
      <c r="AA231" s="169">
        <f>Y231+Y231*VLOOKUP(I231,EXTRAS_ARRAY,2,FALSE)</f>
        <v>3</v>
      </c>
      <c r="AB231" s="23"/>
      <c r="AC231" s="37"/>
      <c r="AD231" s="26" t="str">
        <f>IF(J231&lt;&gt;"Yes",
IF(S231&lt;=0,"Error: Effort value is not defined or is invalid.",
IF(AND(SUM(U231:W231)&gt;0,SUM(U231:W231)&lt;&gt;1),"Error: Complexity % distribution should sum to 100%.",
IF(AND(P231=AS_DEV_EFFORT,X231&lt;&gt;0),"Error: PDs should not be defined when defining as dev effort %.",
IF(AND(P231=AS_DURATION_EFFORT,X231&lt;&gt;0),"Error: PDs should not be defined when defining as duration effort %.","")))))</f>
        <v/>
      </c>
    </row>
    <row r="232" spans="1:30" ht="87" outlineLevel="2" x14ac:dyDescent="0.35">
      <c r="A232" s="93" t="s">
        <v>0</v>
      </c>
      <c r="B232" s="21"/>
      <c r="C232" s="85"/>
      <c r="D232" s="85"/>
      <c r="E232" s="85"/>
      <c r="F232" s="86"/>
      <c r="G232" s="22" t="s">
        <v>23</v>
      </c>
      <c r="H232" s="22" t="s">
        <v>23</v>
      </c>
      <c r="I232" s="23" t="s">
        <v>23</v>
      </c>
      <c r="J232" s="22" t="s">
        <v>23</v>
      </c>
      <c r="K232" s="38" t="s">
        <v>475</v>
      </c>
      <c r="L232" s="22"/>
      <c r="M232" s="286">
        <f ca="1">IFERROR(OFFSET(M232,-1,,1,1)+0.1,OFFSET(M232,-1,-1,1,1)&amp;".1")</f>
        <v>2.2000000000000002</v>
      </c>
      <c r="N232" s="23" t="s">
        <v>472</v>
      </c>
      <c r="O232" s="23" t="s">
        <v>549</v>
      </c>
      <c r="P232" s="23"/>
      <c r="Q232" s="144">
        <v>50</v>
      </c>
      <c r="R232" s="137">
        <v>4</v>
      </c>
      <c r="S232" s="169">
        <f>CEILING((IF(J232="Yes", 0, IF(H232="-",AA232,AA232+AA232*VLOOKUP(H232,BUFFERS_BY_TYPE,2,FALSE)))) +
   (IF(J232="Yes", 0, IF(H232="-",AA232,AA232+AA232*VLOOKUP(H232,BUFFERS_BY_TYPE,2,FALSE))))*VLOOKUP($S$5, SALES_CALL_SCALE_ARRAY, 2,FALSE),0.25)</f>
        <v>100</v>
      </c>
      <c r="T232" s="170"/>
      <c r="U232" s="24">
        <v>0</v>
      </c>
      <c r="V232" s="24">
        <v>1</v>
      </c>
      <c r="W232" s="24">
        <v>0</v>
      </c>
      <c r="X232" s="168">
        <v>0.5</v>
      </c>
      <c r="Y232" s="169">
        <f>CEILING((IF(P232=AS_DEV_EFFORT, DEV_EFFORT*Q232%,
                           IF(P232=AS_DURATION_EFFORT, (MANUAL_DURATION*5)*Q232%,
                                    (IF(Q232&lt;=1,X232,
                                          IF(SUM(U232:W232)=0,(Q232*X232),
                                               (((Q232*U232)*(X232+(X232*EXTRA_FOR_H)))+
                                               ((Q232*V232)*X232)+
                                               ((Q232*W232)*(X232-(X232*LESS_FOR_L)))
                                    )*IF(R232=0,1,R232))))))+Z232), 0.25)</f>
        <v>100</v>
      </c>
      <c r="Z232" s="25"/>
      <c r="AA232" s="169">
        <f>Y232+Y232*VLOOKUP(I232,EXTRAS_ARRAY,2,FALSE)</f>
        <v>100</v>
      </c>
      <c r="AB232" s="23"/>
      <c r="AC232" s="37"/>
      <c r="AD232" s="26" t="str">
        <f>IF(J232&lt;&gt;"Yes",
IF(S232&lt;=0,"Error: Effort value is not defined or is invalid.",
IF(AND(SUM(U232:W232)&gt;0,SUM(U232:W232)&lt;&gt;1),"Error: Complexity % distribution should sum to 100%.",
IF(AND(P232=AS_DEV_EFFORT,X232&lt;&gt;0),"Error: PDs should not be defined when defining as dev effort %.",
IF(AND(P232=AS_DURATION_EFFORT,X232&lt;&gt;0),"Error: PDs should not be defined when defining as duration effort %.","")))))</f>
        <v/>
      </c>
    </row>
    <row r="233" spans="1:30" ht="87" outlineLevel="2" x14ac:dyDescent="0.35">
      <c r="A233" s="93" t="s">
        <v>0</v>
      </c>
      <c r="B233" s="21"/>
      <c r="C233" s="85"/>
      <c r="D233" s="85"/>
      <c r="E233" s="85"/>
      <c r="F233" s="86"/>
      <c r="G233" s="22" t="s">
        <v>23</v>
      </c>
      <c r="H233" s="22" t="s">
        <v>23</v>
      </c>
      <c r="I233" s="23" t="s">
        <v>23</v>
      </c>
      <c r="J233" s="22" t="s">
        <v>23</v>
      </c>
      <c r="K233" s="38" t="s">
        <v>476</v>
      </c>
      <c r="L233" s="22"/>
      <c r="M233" s="286">
        <f ca="1">IFERROR(OFFSET(M233,-1,,1,1)+0.1,OFFSET(M233,-1,-1,1,1)&amp;".1")</f>
        <v>2.3000000000000003</v>
      </c>
      <c r="N233" s="23" t="s">
        <v>473</v>
      </c>
      <c r="O233" s="23" t="s">
        <v>549</v>
      </c>
      <c r="P233" s="23"/>
      <c r="Q233" s="144">
        <v>50</v>
      </c>
      <c r="R233" s="137">
        <v>2</v>
      </c>
      <c r="S233" s="169">
        <f>CEILING((IF(J233="Yes", 0, IF(H233="-",AA233,AA233+AA233*VLOOKUP(H233,BUFFERS_BY_TYPE,2,FALSE)))) +
   (IF(J233="Yes", 0, IF(H233="-",AA233,AA233+AA233*VLOOKUP(H233,BUFFERS_BY_TYPE,2,FALSE))))*VLOOKUP($S$5, SALES_CALL_SCALE_ARRAY, 2,FALSE),0.25)</f>
        <v>40</v>
      </c>
      <c r="T233" s="170"/>
      <c r="U233" s="24">
        <v>0</v>
      </c>
      <c r="V233" s="24">
        <v>1</v>
      </c>
      <c r="W233" s="24">
        <v>0</v>
      </c>
      <c r="X233" s="168">
        <v>0.4</v>
      </c>
      <c r="Y233" s="169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40</v>
      </c>
      <c r="Z233" s="25"/>
      <c r="AA233" s="169">
        <f>Y233+Y233*VLOOKUP(I233,EXTRAS_ARRAY,2,FALSE)</f>
        <v>40</v>
      </c>
      <c r="AB233" s="23"/>
      <c r="AC233" s="37"/>
      <c r="AD233" s="26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43.5" outlineLevel="2" x14ac:dyDescent="0.35">
      <c r="A234" s="93" t="s">
        <v>0</v>
      </c>
      <c r="B234" s="21"/>
      <c r="C234" s="85"/>
      <c r="D234" s="85"/>
      <c r="E234" s="85"/>
      <c r="F234" s="86"/>
      <c r="G234" s="22" t="s">
        <v>23</v>
      </c>
      <c r="H234" s="22" t="s">
        <v>23</v>
      </c>
      <c r="I234" s="23" t="s">
        <v>23</v>
      </c>
      <c r="J234" s="22" t="s">
        <v>23</v>
      </c>
      <c r="K234" s="38"/>
      <c r="L234" s="22"/>
      <c r="M234" s="286">
        <f ca="1">IFERROR(OFFSET(M234,-1,,1,1)+0.1,OFFSET(M234,-1,-1,1,1)&amp;".1")</f>
        <v>2.4000000000000004</v>
      </c>
      <c r="N234" s="23" t="s">
        <v>474</v>
      </c>
      <c r="O234" s="23"/>
      <c r="P234" s="23"/>
      <c r="Q234" s="144"/>
      <c r="R234" s="137"/>
      <c r="S234" s="169">
        <f>CEILING((IF(J234="Yes", 0, IF(H234="-",AA234,AA234+AA234*VLOOKUP(H234,BUFFERS_BY_TYPE,2,FALSE)))) +
   (IF(J234="Yes", 0, IF(H234="-",AA234,AA234+AA234*VLOOKUP(H234,BUFFERS_BY_TYPE,2,FALSE))))*VLOOKUP($S$5, SALES_CALL_SCALE_ARRAY, 2,FALSE),0.25)</f>
        <v>8</v>
      </c>
      <c r="T234" s="170"/>
      <c r="U234" s="24">
        <v>0</v>
      </c>
      <c r="V234" s="24">
        <v>1</v>
      </c>
      <c r="W234" s="24">
        <v>0</v>
      </c>
      <c r="X234" s="168">
        <v>8</v>
      </c>
      <c r="Y234" s="169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8</v>
      </c>
      <c r="Z234" s="25"/>
      <c r="AA234" s="169">
        <f>Y234+Y234*VLOOKUP(I234,EXTRAS_ARRAY,2,FALSE)</f>
        <v>8</v>
      </c>
      <c r="AB234" s="23"/>
      <c r="AC234" s="37"/>
      <c r="AD234" s="26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s="11" customFormat="1" ht="7.5" customHeight="1" outlineLevel="2" x14ac:dyDescent="0.35">
      <c r="A235" s="93" t="s">
        <v>132</v>
      </c>
      <c r="B235" s="18"/>
      <c r="C235" s="78"/>
      <c r="D235" s="78"/>
      <c r="E235" s="78"/>
      <c r="F235" s="78"/>
      <c r="G235" s="10"/>
      <c r="H235" s="10"/>
      <c r="I235" s="10"/>
      <c r="J235" s="10"/>
      <c r="K235" s="10"/>
      <c r="L235" s="10"/>
      <c r="M235" s="287"/>
      <c r="N235" s="10"/>
      <c r="O235" s="10"/>
      <c r="P235" s="10"/>
      <c r="Q235" s="10"/>
      <c r="R235" s="10"/>
      <c r="S235" s="10"/>
      <c r="T235" s="18"/>
      <c r="U235" s="10"/>
      <c r="V235" s="10"/>
      <c r="W235" s="10"/>
      <c r="X235" s="18"/>
      <c r="Y235" s="10"/>
      <c r="Z235" s="10"/>
      <c r="AA235" s="10"/>
      <c r="AB235" s="60"/>
      <c r="AC235" s="60"/>
      <c r="AD235" s="12"/>
    </row>
    <row r="236" spans="1:30" s="17" customFormat="1" ht="15.5" outlineLevel="1" x14ac:dyDescent="0.35">
      <c r="A236" s="93" t="s">
        <v>100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20">
        <f ca="1">LOOKUP(1000,INDIRECT("L1:"&amp;CELL("address",INDIRECT("R[-1]C",FALSE))))+1</f>
        <v>3</v>
      </c>
      <c r="M236" s="326" t="s">
        <v>487</v>
      </c>
      <c r="N236" s="326"/>
      <c r="O236" s="5"/>
      <c r="P236" s="33"/>
      <c r="Q236" s="33"/>
      <c r="R236" s="33"/>
      <c r="S236" s="33"/>
      <c r="T236" s="167">
        <f>IF($S$6="Exclude", SUMIFS(S237:S240, J237:J240, "&lt;&gt;Yes", G237:G240, "&lt;&gt;Yes"), SUMIFS(S237:S240, J237:J240, "&lt;&gt;Yes"))</f>
        <v>58</v>
      </c>
      <c r="U236" s="33"/>
      <c r="V236" s="33"/>
      <c r="W236" s="33"/>
      <c r="X236" s="34"/>
      <c r="Y236" s="35"/>
      <c r="Z236" s="35"/>
      <c r="AA236" s="35"/>
      <c r="AB236" s="240"/>
      <c r="AC236" s="36"/>
      <c r="AD236" s="26" t="str">
        <f>IF(M236="", "Error: Task name cannot be empty.", "")</f>
        <v/>
      </c>
    </row>
    <row r="237" spans="1:30" s="15" customFormat="1" ht="1.5" customHeight="1" outlineLevel="2" x14ac:dyDescent="0.35">
      <c r="A237" s="93" t="s">
        <v>101</v>
      </c>
      <c r="B237" s="21"/>
      <c r="C237" s="84"/>
      <c r="D237" s="84"/>
      <c r="E237" s="84"/>
      <c r="F237" s="83"/>
      <c r="G237" s="32"/>
      <c r="H237" s="32"/>
      <c r="I237" s="32"/>
      <c r="J237" s="32"/>
      <c r="K237" s="32"/>
      <c r="L237" s="175">
        <f ca="1">L236</f>
        <v>3</v>
      </c>
      <c r="M237" s="176" t="s">
        <v>105</v>
      </c>
      <c r="N237" s="173"/>
      <c r="O237" s="174"/>
      <c r="P237" s="33"/>
      <c r="Q237" s="33"/>
      <c r="R237" s="33"/>
      <c r="S237" s="33"/>
      <c r="T237" s="167"/>
      <c r="U237" s="33"/>
      <c r="V237" s="33"/>
      <c r="W237" s="33"/>
      <c r="X237" s="34"/>
      <c r="Y237" s="35"/>
      <c r="Z237" s="35"/>
      <c r="AA237" s="35"/>
      <c r="AB237" s="36"/>
      <c r="AC237" s="36"/>
      <c r="AD237" s="26"/>
    </row>
    <row r="238" spans="1:30" ht="15.5" outlineLevel="2" x14ac:dyDescent="0.35">
      <c r="A238" s="93" t="s">
        <v>0</v>
      </c>
      <c r="B238" s="21"/>
      <c r="C238" s="85"/>
      <c r="D238" s="85"/>
      <c r="E238" s="85"/>
      <c r="F238" s="86"/>
      <c r="G238" s="22" t="s">
        <v>23</v>
      </c>
      <c r="H238" s="22" t="s">
        <v>23</v>
      </c>
      <c r="I238" s="23" t="s">
        <v>23</v>
      </c>
      <c r="J238" s="22" t="s">
        <v>23</v>
      </c>
      <c r="K238" s="38"/>
      <c r="L238" s="22"/>
      <c r="M238" s="286" t="str">
        <f ca="1">IFERROR(OFFSET(M238,-1,,1,1)+0.1,OFFSET(M238,-1,-1,1,1)&amp;".1")</f>
        <v>3.1</v>
      </c>
      <c r="N238" s="23" t="s">
        <v>488</v>
      </c>
      <c r="O238" s="23"/>
      <c r="P238" s="23"/>
      <c r="Q238" s="144"/>
      <c r="R238" s="137">
        <v>3</v>
      </c>
      <c r="S238" s="169">
        <f>CEILING((IF(J238="Yes", 0, IF(H238="-",AA238,AA238+AA238*VLOOKUP(H238,BUFFERS_BY_TYPE,2,FALSE)))) +
   (IF(J238="Yes", 0, IF(H238="-",AA238,AA238+AA238*VLOOKUP(H238,BUFFERS_BY_TYPE,2,FALSE))))*VLOOKUP($S$5, SALES_CALL_SCALE_ARRAY, 2,FALSE),0.25)</f>
        <v>2</v>
      </c>
      <c r="T238" s="170"/>
      <c r="U238" s="24">
        <v>0</v>
      </c>
      <c r="V238" s="24">
        <v>1</v>
      </c>
      <c r="W238" s="24">
        <v>0</v>
      </c>
      <c r="X238" s="168">
        <v>2</v>
      </c>
      <c r="Y238" s="169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</v>
      </c>
      <c r="Z238" s="25"/>
      <c r="AA238" s="169">
        <f>Y238+Y238*VLOOKUP(I238,EXTRAS_ARRAY,2,FALSE)</f>
        <v>2</v>
      </c>
      <c r="AB238" s="23" t="s">
        <v>660</v>
      </c>
      <c r="AC238" s="37"/>
      <c r="AD238" s="26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29" outlineLevel="2" x14ac:dyDescent="0.35">
      <c r="A239" s="93" t="s">
        <v>0</v>
      </c>
      <c r="B239" s="21"/>
      <c r="C239" s="85"/>
      <c r="D239" s="85"/>
      <c r="E239" s="85"/>
      <c r="F239" s="86"/>
      <c r="G239" s="22" t="s">
        <v>23</v>
      </c>
      <c r="H239" s="22" t="s">
        <v>23</v>
      </c>
      <c r="I239" s="23" t="s">
        <v>23</v>
      </c>
      <c r="J239" s="22" t="s">
        <v>23</v>
      </c>
      <c r="K239" s="38" t="s">
        <v>550</v>
      </c>
      <c r="L239" s="22"/>
      <c r="M239" s="286">
        <f ca="1">IFERROR(OFFSET(M239,-1,,1,1)+0.1,OFFSET(M239,-1,-1,1,1)&amp;".1")</f>
        <v>3.2</v>
      </c>
      <c r="N239" s="23" t="s">
        <v>489</v>
      </c>
      <c r="O239" s="23" t="s">
        <v>661</v>
      </c>
      <c r="P239" s="274">
        <v>0.1</v>
      </c>
      <c r="Q239" s="144">
        <v>50</v>
      </c>
      <c r="R239" s="137">
        <v>4</v>
      </c>
      <c r="S239" s="169">
        <f>CEILING((IF(J239="Yes", 0, IF(H239="-",AA239,AA239+AA239*VLOOKUP(H239,BUFFERS_BY_TYPE,2,FALSE)))) +
   (IF(J239="Yes", 0, IF(H239="-",AA239,AA239+AA239*VLOOKUP(H239,BUFFERS_BY_TYPE,2,FALSE))))*VLOOKUP($S$5, SALES_CALL_SCALE_ARRAY, 2,FALSE),0.25)</f>
        <v>56</v>
      </c>
      <c r="T239" s="170"/>
      <c r="U239" s="24">
        <v>0</v>
      </c>
      <c r="V239" s="24">
        <v>1</v>
      </c>
      <c r="W239" s="24">
        <v>0</v>
      </c>
      <c r="X239" s="168">
        <v>0.28000000000000003</v>
      </c>
      <c r="Y239" s="169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56</v>
      </c>
      <c r="Z239" s="25"/>
      <c r="AA239" s="169">
        <f>Y239+Y239*VLOOKUP(I239,EXTRAS_ARRAY,2,FALSE)</f>
        <v>56</v>
      </c>
      <c r="AB239" s="23" t="s">
        <v>666</v>
      </c>
      <c r="AC239" s="37"/>
      <c r="AD239" s="26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s="11" customFormat="1" ht="7.5" customHeight="1" outlineLevel="2" x14ac:dyDescent="0.35">
      <c r="A240" s="93" t="s">
        <v>132</v>
      </c>
      <c r="B240" s="18"/>
      <c r="C240" s="78"/>
      <c r="D240" s="78"/>
      <c r="E240" s="78"/>
      <c r="F240" s="78"/>
      <c r="G240" s="10"/>
      <c r="H240" s="10"/>
      <c r="I240" s="10"/>
      <c r="J240" s="10"/>
      <c r="K240" s="10"/>
      <c r="L240" s="10"/>
      <c r="M240" s="287"/>
      <c r="N240" s="10"/>
      <c r="O240" s="10"/>
      <c r="P240" s="10"/>
      <c r="Q240" s="10"/>
      <c r="R240" s="10"/>
      <c r="S240" s="10"/>
      <c r="T240" s="18"/>
      <c r="U240" s="10"/>
      <c r="V240" s="10"/>
      <c r="W240" s="10"/>
      <c r="X240" s="18"/>
      <c r="Y240" s="10"/>
      <c r="Z240" s="10"/>
      <c r="AA240" s="10"/>
      <c r="AB240" s="60"/>
      <c r="AC240" s="60"/>
      <c r="AD240" s="12"/>
    </row>
    <row r="241" spans="1:30" s="17" customFormat="1" ht="15.5" outlineLevel="1" x14ac:dyDescent="0.35">
      <c r="A241" s="93" t="s">
        <v>100</v>
      </c>
      <c r="B241" s="21"/>
      <c r="C241" s="84"/>
      <c r="D241" s="84"/>
      <c r="E241" s="84"/>
      <c r="F241" s="83"/>
      <c r="G241" s="32"/>
      <c r="H241" s="32"/>
      <c r="I241" s="32"/>
      <c r="J241" s="32"/>
      <c r="K241" s="32"/>
      <c r="L241" s="20">
        <f ca="1">LOOKUP(1000,INDIRECT("L1:"&amp;CELL("address",INDIRECT("R[-1]C",FALSE))))+1</f>
        <v>4</v>
      </c>
      <c r="M241" s="326" t="s">
        <v>490</v>
      </c>
      <c r="N241" s="326"/>
      <c r="O241" s="5"/>
      <c r="P241" s="33"/>
      <c r="Q241" s="33"/>
      <c r="R241" s="33"/>
      <c r="S241" s="33"/>
      <c r="T241" s="167">
        <f>IF($S$6="Exclude", SUMIFS(S242:S247, J242:J247, "&lt;&gt;Yes", G242:G247, "&lt;&gt;Yes"), SUMIFS(S242:S247, J242:J247, "&lt;&gt;Yes"))</f>
        <v>11.5</v>
      </c>
      <c r="U241" s="33"/>
      <c r="V241" s="33"/>
      <c r="W241" s="33"/>
      <c r="X241" s="34"/>
      <c r="Y241" s="35"/>
      <c r="Z241" s="35"/>
      <c r="AA241" s="35"/>
      <c r="AB241" s="240"/>
      <c r="AC241" s="36"/>
      <c r="AD241" s="26" t="str">
        <f>IF(M241="", "Error: Task name cannot be empty.", "")</f>
        <v/>
      </c>
    </row>
    <row r="242" spans="1:30" s="15" customFormat="1" ht="1.5" customHeight="1" outlineLevel="2" x14ac:dyDescent="0.35">
      <c r="A242" s="93" t="s">
        <v>101</v>
      </c>
      <c r="B242" s="21"/>
      <c r="C242" s="84"/>
      <c r="D242" s="84"/>
      <c r="E242" s="84"/>
      <c r="F242" s="83"/>
      <c r="G242" s="32"/>
      <c r="H242" s="32"/>
      <c r="I242" s="32"/>
      <c r="J242" s="32"/>
      <c r="K242" s="32"/>
      <c r="L242" s="175">
        <f ca="1">L241</f>
        <v>4</v>
      </c>
      <c r="M242" s="176" t="s">
        <v>105</v>
      </c>
      <c r="N242" s="173"/>
      <c r="O242" s="174"/>
      <c r="P242" s="33"/>
      <c r="Q242" s="33"/>
      <c r="R242" s="33"/>
      <c r="S242" s="33"/>
      <c r="T242" s="167"/>
      <c r="U242" s="33"/>
      <c r="V242" s="33"/>
      <c r="W242" s="33"/>
      <c r="X242" s="34"/>
      <c r="Y242" s="35"/>
      <c r="Z242" s="35"/>
      <c r="AA242" s="35"/>
      <c r="AB242" s="36"/>
      <c r="AC242" s="36"/>
      <c r="AD242" s="26"/>
    </row>
    <row r="243" spans="1:30" ht="15.5" outlineLevel="2" x14ac:dyDescent="0.35">
      <c r="A243" s="93" t="s">
        <v>0</v>
      </c>
      <c r="B243" s="21"/>
      <c r="C243" s="85"/>
      <c r="D243" s="85"/>
      <c r="E243" s="85"/>
      <c r="F243" s="86"/>
      <c r="G243" s="22" t="s">
        <v>23</v>
      </c>
      <c r="H243" s="22" t="s">
        <v>23</v>
      </c>
      <c r="I243" s="23" t="s">
        <v>23</v>
      </c>
      <c r="J243" s="22" t="s">
        <v>23</v>
      </c>
      <c r="K243" s="38"/>
      <c r="L243" s="22"/>
      <c r="M243" s="286" t="str">
        <f ca="1">IFERROR(OFFSET(M243,-1,,1,1)+0.1,OFFSET(M243,-1,-1,1,1)&amp;".1")</f>
        <v>4.1</v>
      </c>
      <c r="N243" s="23" t="s">
        <v>491</v>
      </c>
      <c r="O243" s="23"/>
      <c r="P243" s="23" t="s">
        <v>495</v>
      </c>
      <c r="Q243" s="144">
        <v>2</v>
      </c>
      <c r="R243" s="137"/>
      <c r="S243" s="169">
        <f>CEILING((IF(J243="Yes", 0, IF(H243="-",AA243,AA243+AA243*VLOOKUP(H243,BUFFERS_BY_TYPE,2,FALSE)))) +
   (IF(J243="Yes", 0, IF(H243="-",AA243,AA243+AA243*VLOOKUP(H243,BUFFERS_BY_TYPE,2,FALSE))))*VLOOKUP($S$5, SALES_CALL_SCALE_ARRAY, 2,FALSE),0.25)</f>
        <v>1.5</v>
      </c>
      <c r="T243" s="170"/>
      <c r="U243" s="24">
        <v>0</v>
      </c>
      <c r="V243" s="24">
        <v>1</v>
      </c>
      <c r="W243" s="24">
        <v>0</v>
      </c>
      <c r="X243" s="168">
        <v>0.7</v>
      </c>
      <c r="Y243" s="169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1.5</v>
      </c>
      <c r="Z243" s="25"/>
      <c r="AA243" s="169">
        <f>Y243+Y243*VLOOKUP(I243,EXTRAS_ARRAY,2,FALSE)</f>
        <v>1.5</v>
      </c>
      <c r="AB243" s="23" t="s">
        <v>662</v>
      </c>
      <c r="AC243" s="37"/>
      <c r="AD243" s="26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29" outlineLevel="2" x14ac:dyDescent="0.35">
      <c r="A244" s="93" t="s">
        <v>0</v>
      </c>
      <c r="B244" s="21"/>
      <c r="C244" s="85"/>
      <c r="D244" s="85"/>
      <c r="E244" s="85"/>
      <c r="F244" s="86"/>
      <c r="G244" s="22" t="s">
        <v>23</v>
      </c>
      <c r="H244" s="22" t="s">
        <v>23</v>
      </c>
      <c r="I244" s="23" t="s">
        <v>23</v>
      </c>
      <c r="J244" s="22" t="s">
        <v>23</v>
      </c>
      <c r="K244" s="38"/>
      <c r="L244" s="22"/>
      <c r="M244" s="286">
        <f ca="1">IFERROR(OFFSET(M244,-1,,1,1)+0.1,OFFSET(M244,-1,-1,1,1)&amp;".1")</f>
        <v>4.1999999999999993</v>
      </c>
      <c r="N244" s="23" t="s">
        <v>492</v>
      </c>
      <c r="O244" s="23"/>
      <c r="P244" s="23" t="s">
        <v>477</v>
      </c>
      <c r="Q244" s="144">
        <v>10</v>
      </c>
      <c r="R244" s="137"/>
      <c r="S244" s="169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70"/>
      <c r="U244" s="24">
        <v>0</v>
      </c>
      <c r="V244" s="24">
        <v>1</v>
      </c>
      <c r="W244" s="24">
        <v>0</v>
      </c>
      <c r="X244" s="168">
        <v>0.4</v>
      </c>
      <c r="Y244" s="169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5"/>
      <c r="AA244" s="169">
        <f>Y244+Y244*VLOOKUP(I244,EXTRAS_ARRAY,2,FALSE)</f>
        <v>4</v>
      </c>
      <c r="AB244" s="23" t="s">
        <v>663</v>
      </c>
      <c r="AC244" s="37"/>
      <c r="AD244" s="26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outlineLevel="2" x14ac:dyDescent="0.35">
      <c r="A245" s="93" t="s">
        <v>0</v>
      </c>
      <c r="B245" s="21"/>
      <c r="C245" s="85"/>
      <c r="D245" s="85"/>
      <c r="E245" s="85"/>
      <c r="F245" s="86"/>
      <c r="G245" s="22" t="s">
        <v>23</v>
      </c>
      <c r="H245" s="22" t="s">
        <v>23</v>
      </c>
      <c r="I245" s="23" t="s">
        <v>23</v>
      </c>
      <c r="J245" s="22" t="s">
        <v>23</v>
      </c>
      <c r="K245" s="38"/>
      <c r="L245" s="22"/>
      <c r="M245" s="286">
        <f ca="1">IFERROR(OFFSET(M245,-1,,1,1)+0.1,OFFSET(M245,-1,-1,1,1)&amp;".1")</f>
        <v>4.2999999999999989</v>
      </c>
      <c r="N245" s="23" t="s">
        <v>493</v>
      </c>
      <c r="O245" s="23"/>
      <c r="P245" s="23" t="s">
        <v>477</v>
      </c>
      <c r="Q245" s="144">
        <v>10</v>
      </c>
      <c r="R245" s="137">
        <v>2</v>
      </c>
      <c r="S245" s="169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70"/>
      <c r="U245" s="24">
        <v>0</v>
      </c>
      <c r="V245" s="24">
        <v>1</v>
      </c>
      <c r="W245" s="24">
        <v>0</v>
      </c>
      <c r="X245" s="168">
        <v>0.15</v>
      </c>
      <c r="Y245" s="169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5"/>
      <c r="AA245" s="169">
        <f>Y245+Y245*VLOOKUP(I245,EXTRAS_ARRAY,2,FALSE)</f>
        <v>3</v>
      </c>
      <c r="AB245" s="23"/>
      <c r="AC245" s="37"/>
      <c r="AD245" s="26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outlineLevel="2" x14ac:dyDescent="0.35">
      <c r="A246" s="93" t="s">
        <v>0</v>
      </c>
      <c r="B246" s="21"/>
      <c r="C246" s="85"/>
      <c r="D246" s="85"/>
      <c r="E246" s="85"/>
      <c r="F246" s="86"/>
      <c r="G246" s="22" t="s">
        <v>23</v>
      </c>
      <c r="H246" s="22" t="s">
        <v>23</v>
      </c>
      <c r="I246" s="23" t="s">
        <v>23</v>
      </c>
      <c r="J246" s="22" t="s">
        <v>23</v>
      </c>
      <c r="K246" s="38"/>
      <c r="L246" s="22"/>
      <c r="M246" s="286">
        <f ca="1">IFERROR(OFFSET(M246,-1,,1,1)+0.1,OFFSET(M246,-1,-1,1,1)&amp;".1")</f>
        <v>4.3999999999999986</v>
      </c>
      <c r="N246" s="23" t="s">
        <v>494</v>
      </c>
      <c r="O246" s="23"/>
      <c r="P246" s="23"/>
      <c r="Q246" s="144"/>
      <c r="R246" s="137"/>
      <c r="S246" s="169">
        <f>CEILING((IF(J246="Yes", 0, IF(H246="-",AA246,AA246+AA246*VLOOKUP(H246,BUFFERS_BY_TYPE,2,FALSE)))) +
   (IF(J246="Yes", 0, IF(H246="-",AA246,AA246+AA246*VLOOKUP(H246,BUFFERS_BY_TYPE,2,FALSE))))*VLOOKUP($S$5, SALES_CALL_SCALE_ARRAY, 2,FALSE),0.25)</f>
        <v>3</v>
      </c>
      <c r="T246" s="170"/>
      <c r="U246" s="24">
        <v>0</v>
      </c>
      <c r="V246" s="24">
        <v>1</v>
      </c>
      <c r="W246" s="24">
        <v>0</v>
      </c>
      <c r="X246" s="168">
        <v>3</v>
      </c>
      <c r="Y246" s="169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3</v>
      </c>
      <c r="Z246" s="25"/>
      <c r="AA246" s="169">
        <f>Y246+Y246*VLOOKUP(I246,EXTRAS_ARRAY,2,FALSE)</f>
        <v>3</v>
      </c>
      <c r="AB246" s="23"/>
      <c r="AC246" s="37"/>
      <c r="AD246" s="26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11" customFormat="1" ht="7.5" customHeight="1" outlineLevel="2" x14ac:dyDescent="0.35">
      <c r="A247" s="93" t="s">
        <v>132</v>
      </c>
      <c r="B247" s="18"/>
      <c r="C247" s="78"/>
      <c r="D247" s="78"/>
      <c r="E247" s="78"/>
      <c r="F247" s="78"/>
      <c r="G247" s="10"/>
      <c r="H247" s="10"/>
      <c r="I247" s="10"/>
      <c r="J247" s="10"/>
      <c r="K247" s="10"/>
      <c r="L247" s="10"/>
      <c r="M247" s="287"/>
      <c r="N247" s="10"/>
      <c r="O247" s="10"/>
      <c r="P247" s="10"/>
      <c r="Q247" s="10"/>
      <c r="R247" s="10"/>
      <c r="S247" s="10"/>
      <c r="T247" s="18"/>
      <c r="U247" s="10"/>
      <c r="V247" s="10"/>
      <c r="W247" s="10"/>
      <c r="X247" s="18"/>
      <c r="Y247" s="10"/>
      <c r="Z247" s="10"/>
      <c r="AA247" s="10"/>
      <c r="AB247" s="60"/>
      <c r="AC247" s="60"/>
      <c r="AD247" s="12"/>
    </row>
    <row r="248" spans="1:30" s="17" customFormat="1" ht="15.5" outlineLevel="1" x14ac:dyDescent="0.35">
      <c r="A248" s="93" t="s">
        <v>100</v>
      </c>
      <c r="B248" s="21"/>
      <c r="C248" s="84"/>
      <c r="D248" s="84"/>
      <c r="E248" s="84"/>
      <c r="F248" s="83"/>
      <c r="G248" s="32"/>
      <c r="H248" s="32"/>
      <c r="I248" s="32"/>
      <c r="J248" s="32"/>
      <c r="K248" s="32"/>
      <c r="L248" s="20">
        <f ca="1">LOOKUP(1000,INDIRECT("L1:"&amp;CELL("address",INDIRECT("R[-1]C",FALSE))))+1</f>
        <v>5</v>
      </c>
      <c r="M248" s="326" t="s">
        <v>496</v>
      </c>
      <c r="N248" s="326"/>
      <c r="O248" s="5"/>
      <c r="P248" s="33"/>
      <c r="Q248" s="33"/>
      <c r="R248" s="33"/>
      <c r="S248" s="33"/>
      <c r="T248" s="167">
        <f>IF($S$6="Exclude", SUMIFS(S249:S254, J249:J254, "&lt;&gt;Yes", G249:G254, "&lt;&gt;Yes"), SUMIFS(S249:S254, J249:J254, "&lt;&gt;Yes"))</f>
        <v>32</v>
      </c>
      <c r="U248" s="33"/>
      <c r="V248" s="33"/>
      <c r="W248" s="33"/>
      <c r="X248" s="34"/>
      <c r="Y248" s="35"/>
      <c r="Z248" s="35"/>
      <c r="AA248" s="35"/>
      <c r="AB248" s="240"/>
      <c r="AC248" s="36"/>
      <c r="AD248" s="26" t="str">
        <f>IF(M248="", "Error: Task name cannot be empty.", "")</f>
        <v/>
      </c>
    </row>
    <row r="249" spans="1:30" s="15" customFormat="1" ht="1.5" customHeight="1" outlineLevel="2" x14ac:dyDescent="0.35">
      <c r="A249" s="93" t="s">
        <v>101</v>
      </c>
      <c r="B249" s="21"/>
      <c r="C249" s="84"/>
      <c r="D249" s="84"/>
      <c r="E249" s="84"/>
      <c r="F249" s="83"/>
      <c r="G249" s="32"/>
      <c r="H249" s="32"/>
      <c r="I249" s="32"/>
      <c r="J249" s="32"/>
      <c r="K249" s="32"/>
      <c r="L249" s="175">
        <f ca="1">L248</f>
        <v>5</v>
      </c>
      <c r="M249" s="176" t="s">
        <v>105</v>
      </c>
      <c r="N249" s="173"/>
      <c r="O249" s="174"/>
      <c r="P249" s="33"/>
      <c r="Q249" s="33"/>
      <c r="R249" s="33"/>
      <c r="S249" s="33"/>
      <c r="T249" s="167"/>
      <c r="U249" s="33"/>
      <c r="V249" s="33"/>
      <c r="W249" s="33"/>
      <c r="X249" s="34"/>
      <c r="Y249" s="35"/>
      <c r="Z249" s="35"/>
      <c r="AA249" s="35"/>
      <c r="AB249" s="36"/>
      <c r="AC249" s="36"/>
      <c r="AD249" s="26"/>
    </row>
    <row r="250" spans="1:30" ht="15.5" outlineLevel="2" x14ac:dyDescent="0.35">
      <c r="A250" s="93" t="s">
        <v>0</v>
      </c>
      <c r="B250" s="21"/>
      <c r="C250" s="85"/>
      <c r="D250" s="85"/>
      <c r="E250" s="85"/>
      <c r="F250" s="86"/>
      <c r="G250" s="22" t="s">
        <v>23</v>
      </c>
      <c r="H250" s="22" t="s">
        <v>23</v>
      </c>
      <c r="I250" s="23" t="s">
        <v>23</v>
      </c>
      <c r="J250" s="22" t="s">
        <v>23</v>
      </c>
      <c r="K250" s="38"/>
      <c r="L250" s="22"/>
      <c r="M250" s="286" t="str">
        <f t="shared" ref="M250:M252" ca="1" si="10">IFERROR(OFFSET(M250,-1,,1,1)+0.1,OFFSET(M250,-1,-1,1,1)&amp;".1")</f>
        <v>5.1</v>
      </c>
      <c r="N250" s="23" t="s">
        <v>497</v>
      </c>
      <c r="O250" s="23"/>
      <c r="P250" s="23"/>
      <c r="Q250" s="144"/>
      <c r="R250" s="137">
        <f>Total_Screens</f>
        <v>0</v>
      </c>
      <c r="S250" s="169">
        <f t="shared" ref="S250:S252" si="11">CEILING((IF(J250="Yes", 0, IF(H250="-",AA250,AA250+AA250*VLOOKUP(H250,BUFFERS_BY_TYPE,2,FALSE)))) +
   (IF(J250="Yes", 0, IF(H250="-",AA250,AA250+AA250*VLOOKUP(H250,BUFFERS_BY_TYPE,2,FALSE))))*VLOOKUP($S$5, SALES_CALL_SCALE_ARRAY, 2,FALSE),0.25)</f>
        <v>7</v>
      </c>
      <c r="T250" s="170"/>
      <c r="U250" s="24">
        <v>0</v>
      </c>
      <c r="V250" s="24">
        <v>1</v>
      </c>
      <c r="W250" s="24">
        <v>0</v>
      </c>
      <c r="X250" s="168">
        <v>7</v>
      </c>
      <c r="Y250" s="169">
        <f t="shared" ref="Y250:Y252" si="12"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7</v>
      </c>
      <c r="Z250" s="25"/>
      <c r="AA250" s="169">
        <f t="shared" ref="AA250:AA252" si="13">Y250+Y250*VLOOKUP(I250,EXTRAS_ARRAY,2,FALSE)</f>
        <v>7</v>
      </c>
      <c r="AB250" s="23"/>
      <c r="AC250" s="37"/>
      <c r="AD250" s="26" t="str">
        <f t="shared" ref="AD250:AD252" si="14"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outlineLevel="2" x14ac:dyDescent="0.35">
      <c r="A251" s="93" t="s">
        <v>0</v>
      </c>
      <c r="B251" s="21"/>
      <c r="C251" s="85"/>
      <c r="D251" s="85"/>
      <c r="E251" s="85"/>
      <c r="F251" s="86"/>
      <c r="G251" s="22" t="s">
        <v>23</v>
      </c>
      <c r="H251" s="22" t="s">
        <v>23</v>
      </c>
      <c r="I251" s="23" t="s">
        <v>23</v>
      </c>
      <c r="J251" s="22" t="s">
        <v>23</v>
      </c>
      <c r="K251" s="38"/>
      <c r="L251" s="22"/>
      <c r="M251" s="286">
        <f t="shared" ca="1" si="10"/>
        <v>5.1999999999999993</v>
      </c>
      <c r="N251" s="23" t="s">
        <v>593</v>
      </c>
      <c r="O251" s="23"/>
      <c r="P251" s="23"/>
      <c r="Q251" s="144"/>
      <c r="R251" s="137"/>
      <c r="S251" s="169">
        <f t="shared" si="11"/>
        <v>15</v>
      </c>
      <c r="T251" s="170"/>
      <c r="U251" s="24">
        <v>0</v>
      </c>
      <c r="V251" s="24">
        <v>1</v>
      </c>
      <c r="W251" s="24">
        <v>0</v>
      </c>
      <c r="X251" s="168">
        <v>15</v>
      </c>
      <c r="Y251" s="169">
        <f t="shared" si="12"/>
        <v>15</v>
      </c>
      <c r="Z251" s="25"/>
      <c r="AA251" s="169">
        <f t="shared" si="13"/>
        <v>15</v>
      </c>
      <c r="AB251" s="23"/>
      <c r="AC251" s="37"/>
      <c r="AD251" s="26" t="str">
        <f t="shared" si="14"/>
        <v/>
      </c>
    </row>
    <row r="252" spans="1:30" ht="15.5" outlineLevel="2" x14ac:dyDescent="0.35">
      <c r="A252" s="93" t="s">
        <v>0</v>
      </c>
      <c r="B252" s="21"/>
      <c r="C252" s="85"/>
      <c r="D252" s="85"/>
      <c r="E252" s="85"/>
      <c r="F252" s="86"/>
      <c r="G252" s="22" t="s">
        <v>6</v>
      </c>
      <c r="H252" s="22" t="s">
        <v>23</v>
      </c>
      <c r="I252" s="23" t="s">
        <v>23</v>
      </c>
      <c r="J252" s="22" t="s">
        <v>23</v>
      </c>
      <c r="K252" s="38"/>
      <c r="L252" s="22"/>
      <c r="M252" s="286">
        <f t="shared" ca="1" si="10"/>
        <v>5.2999999999999989</v>
      </c>
      <c r="N252" s="23" t="s">
        <v>552</v>
      </c>
      <c r="O252" s="23"/>
      <c r="P252" s="23"/>
      <c r="Q252" s="144"/>
      <c r="R252" s="137"/>
      <c r="S252" s="169">
        <f t="shared" si="11"/>
        <v>5</v>
      </c>
      <c r="T252" s="170"/>
      <c r="U252" s="24">
        <v>0</v>
      </c>
      <c r="V252" s="24">
        <v>1</v>
      </c>
      <c r="W252" s="24">
        <v>0</v>
      </c>
      <c r="X252" s="168">
        <v>5</v>
      </c>
      <c r="Y252" s="169">
        <f t="shared" si="12"/>
        <v>5</v>
      </c>
      <c r="Z252" s="25"/>
      <c r="AA252" s="169">
        <f t="shared" si="13"/>
        <v>5</v>
      </c>
      <c r="AB252" s="23"/>
      <c r="AC252" s="37"/>
      <c r="AD252" s="26" t="str">
        <f t="shared" si="14"/>
        <v/>
      </c>
    </row>
    <row r="253" spans="1:30" ht="15.5" outlineLevel="2" x14ac:dyDescent="0.35">
      <c r="A253" s="93" t="s">
        <v>0</v>
      </c>
      <c r="B253" s="21"/>
      <c r="C253" s="85"/>
      <c r="D253" s="85"/>
      <c r="E253" s="85"/>
      <c r="F253" s="86"/>
      <c r="G253" s="22" t="s">
        <v>23</v>
      </c>
      <c r="H253" s="22" t="s">
        <v>23</v>
      </c>
      <c r="I253" s="23" t="s">
        <v>23</v>
      </c>
      <c r="J253" s="22" t="s">
        <v>23</v>
      </c>
      <c r="K253" s="38"/>
      <c r="L253" s="22"/>
      <c r="M253" s="286">
        <f ca="1">IFERROR(OFFSET(M253,-1,,1,1)+0.1,OFFSET(M253,-1,-1,1,1)&amp;".1")</f>
        <v>5.3999999999999986</v>
      </c>
      <c r="N253" s="23" t="s">
        <v>664</v>
      </c>
      <c r="O253" s="23"/>
      <c r="P253" s="23"/>
      <c r="Q253" s="144"/>
      <c r="R253" s="137"/>
      <c r="S253" s="169">
        <f>CEILING((IF(J253="Yes", 0, IF(H253="-",AA253,AA253+AA253*VLOOKUP(H253,BUFFERS_BY_TYPE,2,FALSE)))) +
   (IF(J253="Yes", 0, IF(H253="-",AA253,AA253+AA253*VLOOKUP(H253,BUFFERS_BY_TYPE,2,FALSE))))*VLOOKUP($S$5, SALES_CALL_SCALE_ARRAY, 2,FALSE),0.25)</f>
        <v>5</v>
      </c>
      <c r="T253" s="170"/>
      <c r="U253" s="24">
        <v>0</v>
      </c>
      <c r="V253" s="24">
        <v>1</v>
      </c>
      <c r="W253" s="24">
        <v>0</v>
      </c>
      <c r="X253" s="168">
        <v>5</v>
      </c>
      <c r="Y253" s="169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5</v>
      </c>
      <c r="Z253" s="25"/>
      <c r="AA253" s="169">
        <f>Y253+Y253*VLOOKUP(I253,EXTRAS_ARRAY,2,FALSE)</f>
        <v>5</v>
      </c>
      <c r="AB253" s="23"/>
      <c r="AC253" s="37"/>
      <c r="AD253" s="26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s="11" customFormat="1" ht="7.5" customHeight="1" outlineLevel="2" x14ac:dyDescent="0.35">
      <c r="A254" s="93" t="s">
        <v>132</v>
      </c>
      <c r="B254" s="18"/>
      <c r="C254" s="78"/>
      <c r="D254" s="78"/>
      <c r="E254" s="78"/>
      <c r="F254" s="78"/>
      <c r="G254" s="10"/>
      <c r="H254" s="10"/>
      <c r="I254" s="10"/>
      <c r="J254" s="10"/>
      <c r="K254" s="10"/>
      <c r="L254" s="10"/>
      <c r="M254" s="287"/>
      <c r="N254" s="10"/>
      <c r="O254" s="10"/>
      <c r="P254" s="10"/>
      <c r="Q254" s="10"/>
      <c r="R254" s="10"/>
      <c r="S254" s="10"/>
      <c r="T254" s="18"/>
      <c r="U254" s="10"/>
      <c r="V254" s="10"/>
      <c r="W254" s="10"/>
      <c r="X254" s="18"/>
      <c r="Y254" s="10"/>
      <c r="Z254" s="10"/>
      <c r="AA254" s="10"/>
      <c r="AB254" s="60"/>
      <c r="AC254" s="60"/>
      <c r="AD254" s="12"/>
    </row>
    <row r="255" spans="1:30" s="11" customFormat="1" ht="3" customHeight="1" outlineLevel="1" x14ac:dyDescent="0.35">
      <c r="A255" s="93" t="s">
        <v>102</v>
      </c>
      <c r="B255" s="10"/>
      <c r="C255" s="78"/>
      <c r="D255" s="78"/>
      <c r="E255" s="78"/>
      <c r="F255" s="78"/>
      <c r="G255" s="59"/>
      <c r="H255" s="59"/>
      <c r="I255" s="59"/>
      <c r="J255" s="59"/>
      <c r="K255" s="59"/>
      <c r="L255" s="61"/>
      <c r="M255" s="288"/>
      <c r="N255" s="62"/>
      <c r="O255" s="62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2"/>
      <c r="AC255" s="62"/>
      <c r="AD255" s="12"/>
    </row>
    <row r="256" spans="1:30" s="17" customFormat="1" ht="18.5" x14ac:dyDescent="0.35">
      <c r="A256" s="93" t="s">
        <v>98</v>
      </c>
      <c r="B256" s="14"/>
      <c r="C256" s="79"/>
      <c r="D256" s="79"/>
      <c r="E256" s="79"/>
      <c r="F256" s="78"/>
      <c r="G256" s="55"/>
      <c r="H256" s="55"/>
      <c r="I256" s="55"/>
      <c r="J256" s="55"/>
      <c r="K256" s="55"/>
      <c r="L256" s="55" t="s">
        <v>71</v>
      </c>
      <c r="M256" s="284" t="s">
        <v>75</v>
      </c>
      <c r="N256" s="56"/>
      <c r="O256" s="57"/>
      <c r="P256" s="58"/>
      <c r="Q256" s="58"/>
      <c r="R256" s="58"/>
      <c r="S256" s="327">
        <f>CEILING(SUMIF(J257:J285, "&lt;&gt;Yes", T257:T285),1)</f>
        <v>89</v>
      </c>
      <c r="T256" s="327"/>
      <c r="U256" s="58"/>
      <c r="V256" s="58"/>
      <c r="W256" s="58"/>
      <c r="X256" s="58"/>
      <c r="Y256" s="58"/>
      <c r="Z256" s="58"/>
      <c r="AA256" s="58"/>
      <c r="AB256" s="58"/>
      <c r="AC256" s="58"/>
      <c r="AD256" s="16"/>
    </row>
    <row r="257" spans="1:30" s="11" customFormat="1" ht="3" customHeight="1" outlineLevel="1" x14ac:dyDescent="0.35">
      <c r="A257" s="93" t="s">
        <v>99</v>
      </c>
      <c r="B257" s="18"/>
      <c r="C257" s="78"/>
      <c r="D257" s="78"/>
      <c r="E257" s="78"/>
      <c r="F257" s="78"/>
      <c r="G257" s="28"/>
      <c r="H257" s="28"/>
      <c r="I257" s="28"/>
      <c r="J257" s="28"/>
      <c r="K257" s="28"/>
      <c r="L257" s="29">
        <v>0</v>
      </c>
      <c r="M257" s="285"/>
      <c r="N257" s="28"/>
      <c r="O257" s="28"/>
      <c r="P257" s="28"/>
      <c r="Q257" s="28"/>
      <c r="R257" s="28"/>
      <c r="S257" s="28"/>
      <c r="T257" s="30"/>
      <c r="U257" s="28"/>
      <c r="V257" s="28"/>
      <c r="W257" s="28"/>
      <c r="X257" s="30"/>
      <c r="Y257" s="28"/>
      <c r="Z257" s="28"/>
      <c r="AA257" s="28"/>
      <c r="AB257" s="31"/>
      <c r="AC257" s="31"/>
      <c r="AD257" s="12"/>
    </row>
    <row r="258" spans="1:30" s="17" customFormat="1" ht="15.5" outlineLevel="1" x14ac:dyDescent="0.35">
      <c r="A258" s="93" t="s">
        <v>100</v>
      </c>
      <c r="B258" s="21"/>
      <c r="C258" s="84"/>
      <c r="D258" s="84"/>
      <c r="E258" s="84"/>
      <c r="F258" s="83"/>
      <c r="G258" s="32"/>
      <c r="H258" s="32"/>
      <c r="I258" s="32"/>
      <c r="J258" s="32"/>
      <c r="K258" s="32"/>
      <c r="L258" s="20">
        <f ca="1">LOOKUP(1000,INDIRECT("L1:"&amp;CELL("address",INDIRECT("R[-1]C",FALSE))))+1</f>
        <v>1</v>
      </c>
      <c r="M258" s="326" t="s">
        <v>499</v>
      </c>
      <c r="N258" s="326"/>
      <c r="O258" s="5"/>
      <c r="P258" s="33"/>
      <c r="Q258" s="33"/>
      <c r="R258" s="33"/>
      <c r="S258" s="33"/>
      <c r="T258" s="167">
        <f>IF($S$6="Exclude", SUMIFS(S259:S263, J259:J263, "&lt;&gt;Yes", G259:G263, "&lt;&gt;Yes"), SUMIFS(S259:S263, J259:J263, "&lt;&gt;Yes"))</f>
        <v>19.5</v>
      </c>
      <c r="U258" s="33"/>
      <c r="V258" s="33"/>
      <c r="W258" s="33"/>
      <c r="X258" s="34"/>
      <c r="Y258" s="35"/>
      <c r="Z258" s="35"/>
      <c r="AA258" s="35"/>
      <c r="AB258" s="240"/>
      <c r="AC258" s="36"/>
      <c r="AD258" s="26" t="str">
        <f>IF(M258="", "Error: Task name cannot be empty.", "")</f>
        <v/>
      </c>
    </row>
    <row r="259" spans="1:30" s="15" customFormat="1" ht="1.5" customHeight="1" outlineLevel="2" x14ac:dyDescent="0.35">
      <c r="A259" s="93" t="s">
        <v>101</v>
      </c>
      <c r="B259" s="21"/>
      <c r="C259" s="84"/>
      <c r="D259" s="84"/>
      <c r="E259" s="84"/>
      <c r="F259" s="83"/>
      <c r="G259" s="32"/>
      <c r="H259" s="32"/>
      <c r="I259" s="32"/>
      <c r="J259" s="32"/>
      <c r="K259" s="32"/>
      <c r="L259" s="175">
        <f ca="1">L258</f>
        <v>1</v>
      </c>
      <c r="M259" s="176" t="s">
        <v>105</v>
      </c>
      <c r="N259" s="173"/>
      <c r="O259" s="174"/>
      <c r="P259" s="33"/>
      <c r="Q259" s="33"/>
      <c r="R259" s="33"/>
      <c r="S259" s="33"/>
      <c r="T259" s="167"/>
      <c r="U259" s="33"/>
      <c r="V259" s="33"/>
      <c r="W259" s="33"/>
      <c r="X259" s="34"/>
      <c r="Y259" s="35"/>
      <c r="Z259" s="35"/>
      <c r="AA259" s="35"/>
      <c r="AB259" s="36"/>
      <c r="AC259" s="36"/>
      <c r="AD259" s="26"/>
    </row>
    <row r="260" spans="1:30" ht="87" outlineLevel="2" x14ac:dyDescent="0.35">
      <c r="A260" s="93" t="s">
        <v>0</v>
      </c>
      <c r="B260" s="21"/>
      <c r="C260" s="85"/>
      <c r="D260" s="85"/>
      <c r="E260" s="85"/>
      <c r="F260" s="86"/>
      <c r="G260" s="22" t="s">
        <v>23</v>
      </c>
      <c r="H260" s="22" t="s">
        <v>23</v>
      </c>
      <c r="I260" s="23" t="s">
        <v>23</v>
      </c>
      <c r="J260" s="22" t="s">
        <v>23</v>
      </c>
      <c r="K260" s="38"/>
      <c r="L260" s="22"/>
      <c r="M260" s="286" t="str">
        <f ca="1">IFERROR(OFFSET(M260,-1,,1,1)+0.1,OFFSET(M260,-1,-1,1,1)&amp;".1")</f>
        <v>1.1</v>
      </c>
      <c r="N260" s="23" t="s">
        <v>594</v>
      </c>
      <c r="O260" s="23"/>
      <c r="P260" s="23" t="s">
        <v>586</v>
      </c>
      <c r="Q260" s="144">
        <v>1</v>
      </c>
      <c r="R260" s="137">
        <v>3</v>
      </c>
      <c r="S260" s="169">
        <f>CEILING((IF(J260="Yes", 0, IF(H260="-",AA260,AA260+AA260*VLOOKUP(H260,BUFFERS_BY_TYPE,2,FALSE)))) +
   (IF(J260="Yes", 0, IF(H260="-",AA260,AA260+AA260*VLOOKUP(H260,BUFFERS_BY_TYPE,2,FALSE))))*VLOOKUP($S$5, SALES_CALL_SCALE_ARRAY, 2,FALSE),0.25)</f>
        <v>10</v>
      </c>
      <c r="T260" s="170"/>
      <c r="U260" s="24">
        <v>0</v>
      </c>
      <c r="V260" s="24">
        <v>1</v>
      </c>
      <c r="W260" s="24">
        <v>0</v>
      </c>
      <c r="X260" s="168">
        <v>10</v>
      </c>
      <c r="Y260" s="169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10</v>
      </c>
      <c r="Z260" s="25"/>
      <c r="AA260" s="169">
        <f>Y260+Y260*VLOOKUP(I260,EXTRAS_ARRAY,2,FALSE)</f>
        <v>10</v>
      </c>
      <c r="AB260" s="23" t="s">
        <v>576</v>
      </c>
      <c r="AC260" s="37"/>
      <c r="AD260" s="26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outlineLevel="2" x14ac:dyDescent="0.35">
      <c r="A261" s="93" t="s">
        <v>0</v>
      </c>
      <c r="B261" s="21"/>
      <c r="C261" s="85"/>
      <c r="D261" s="85"/>
      <c r="E261" s="85"/>
      <c r="F261" s="86"/>
      <c r="G261" s="22" t="s">
        <v>23</v>
      </c>
      <c r="H261" s="22" t="s">
        <v>23</v>
      </c>
      <c r="I261" s="23" t="s">
        <v>23</v>
      </c>
      <c r="J261" s="22" t="s">
        <v>23</v>
      </c>
      <c r="K261" s="38"/>
      <c r="L261" s="22"/>
      <c r="M261" s="286">
        <f ca="1">IFERROR(OFFSET(M261,-1,,1,1)+0.1,OFFSET(M261,-1,-1,1,1)&amp;".1")</f>
        <v>1.2000000000000002</v>
      </c>
      <c r="N261" s="23" t="s">
        <v>500</v>
      </c>
      <c r="O261" s="23"/>
      <c r="P261" s="23" t="s">
        <v>505</v>
      </c>
      <c r="Q261" s="144">
        <v>10</v>
      </c>
      <c r="R261" s="137"/>
      <c r="S261" s="169">
        <f>CEILING((IF(J261="Yes", 0, IF(H261="-",AA261,AA261+AA261*VLOOKUP(H261,BUFFERS_BY_TYPE,2,FALSE)))) +
   (IF(J261="Yes", 0, IF(H261="-",AA261,AA261+AA261*VLOOKUP(H261,BUFFERS_BY_TYPE,2,FALSE))))*VLOOKUP($S$5, SALES_CALL_SCALE_ARRAY, 2,FALSE),0.25)</f>
        <v>2</v>
      </c>
      <c r="T261" s="170"/>
      <c r="U261" s="24">
        <v>0</v>
      </c>
      <c r="V261" s="24">
        <v>1</v>
      </c>
      <c r="W261" s="24">
        <v>0</v>
      </c>
      <c r="X261" s="168">
        <v>0.2</v>
      </c>
      <c r="Y261" s="169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2</v>
      </c>
      <c r="Z261" s="25"/>
      <c r="AA261" s="169">
        <f>Y261+Y261*VLOOKUP(I261,EXTRAS_ARRAY,2,FALSE)</f>
        <v>2</v>
      </c>
      <c r="AB261" s="23"/>
      <c r="AC261" s="37"/>
      <c r="AD261" s="26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43.5" outlineLevel="2" x14ac:dyDescent="0.35">
      <c r="A262" s="93" t="s">
        <v>0</v>
      </c>
      <c r="B262" s="21"/>
      <c r="C262" s="85"/>
      <c r="D262" s="85"/>
      <c r="E262" s="85"/>
      <c r="F262" s="86"/>
      <c r="G262" s="22" t="s">
        <v>23</v>
      </c>
      <c r="H262" s="22" t="s">
        <v>23</v>
      </c>
      <c r="I262" s="23" t="s">
        <v>23</v>
      </c>
      <c r="J262" s="22" t="s">
        <v>23</v>
      </c>
      <c r="K262" s="38"/>
      <c r="L262" s="22"/>
      <c r="M262" s="286">
        <f ca="1">IFERROR(OFFSET(M262,-1,,1,1)+0.1,OFFSET(M262,-1,-1,1,1)&amp;".1")</f>
        <v>1.3000000000000003</v>
      </c>
      <c r="N262" s="23" t="s">
        <v>501</v>
      </c>
      <c r="O262" s="23"/>
      <c r="P262" s="23" t="s">
        <v>504</v>
      </c>
      <c r="Q262" s="144">
        <v>5</v>
      </c>
      <c r="R262" s="137"/>
      <c r="S262" s="169">
        <f>CEILING((IF(J262="Yes", 0, IF(H262="-",AA262,AA262+AA262*VLOOKUP(H262,BUFFERS_BY_TYPE,2,FALSE)))) +
   (IF(J262="Yes", 0, IF(H262="-",AA262,AA262+AA262*VLOOKUP(H262,BUFFERS_BY_TYPE,2,FALSE))))*VLOOKUP($S$5, SALES_CALL_SCALE_ARRAY, 2,FALSE),0.25)</f>
        <v>7.5</v>
      </c>
      <c r="T262" s="170"/>
      <c r="U262" s="24">
        <v>0</v>
      </c>
      <c r="V262" s="24">
        <v>1</v>
      </c>
      <c r="W262" s="24">
        <v>0</v>
      </c>
      <c r="X262" s="168">
        <v>1.5</v>
      </c>
      <c r="Y262" s="169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7.5</v>
      </c>
      <c r="Z262" s="25"/>
      <c r="AA262" s="169">
        <f>Y262+Y262*VLOOKUP(I262,EXTRAS_ARRAY,2,FALSE)</f>
        <v>7.5</v>
      </c>
      <c r="AB262" s="23"/>
      <c r="AC262" s="37"/>
      <c r="AD262" s="26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s="11" customFormat="1" ht="7.5" customHeight="1" outlineLevel="2" x14ac:dyDescent="0.35">
      <c r="A263" s="93" t="s">
        <v>132</v>
      </c>
      <c r="B263" s="18"/>
      <c r="C263" s="78"/>
      <c r="D263" s="78"/>
      <c r="E263" s="78"/>
      <c r="F263" s="78"/>
      <c r="G263" s="10"/>
      <c r="H263" s="10"/>
      <c r="I263" s="10"/>
      <c r="J263" s="10"/>
      <c r="K263" s="10"/>
      <c r="L263" s="10"/>
      <c r="M263" s="287"/>
      <c r="N263" s="10"/>
      <c r="O263" s="10"/>
      <c r="P263" s="10"/>
      <c r="Q263" s="10"/>
      <c r="R263" s="10"/>
      <c r="S263" s="10"/>
      <c r="T263" s="18"/>
      <c r="U263" s="10"/>
      <c r="V263" s="10"/>
      <c r="W263" s="10"/>
      <c r="X263" s="18"/>
      <c r="Y263" s="10"/>
      <c r="Z263" s="10"/>
      <c r="AA263" s="10"/>
      <c r="AB263" s="60"/>
      <c r="AC263" s="60"/>
      <c r="AD263" s="12"/>
    </row>
    <row r="264" spans="1:30" s="17" customFormat="1" ht="15.5" outlineLevel="1" x14ac:dyDescent="0.35">
      <c r="A264" s="93" t="s">
        <v>100</v>
      </c>
      <c r="B264" s="21"/>
      <c r="C264" s="84"/>
      <c r="D264" s="84"/>
      <c r="E264" s="84"/>
      <c r="F264" s="83"/>
      <c r="G264" s="32"/>
      <c r="H264" s="32"/>
      <c r="I264" s="32"/>
      <c r="J264" s="32"/>
      <c r="K264" s="32"/>
      <c r="L264" s="20">
        <f ca="1">LOOKUP(1000,INDIRECT("L1:"&amp;CELL("address",INDIRECT("R[-1]C",FALSE))))+1</f>
        <v>2</v>
      </c>
      <c r="M264" s="326" t="s">
        <v>502</v>
      </c>
      <c r="N264" s="326"/>
      <c r="O264" s="5"/>
      <c r="P264" s="33"/>
      <c r="Q264" s="33"/>
      <c r="R264" s="33"/>
      <c r="S264" s="33"/>
      <c r="T264" s="167">
        <f>IF($S$6="Exclude", SUMIFS(S265:S268, J265:J268, "&lt;&gt;Yes", G265:G268, "&lt;&gt;Yes"), SUMIFS(S265:S268, J265:J268, "&lt;&gt;Yes"))</f>
        <v>8</v>
      </c>
      <c r="U264" s="33"/>
      <c r="V264" s="33"/>
      <c r="W264" s="33"/>
      <c r="X264" s="34"/>
      <c r="Y264" s="35"/>
      <c r="Z264" s="35"/>
      <c r="AA264" s="35"/>
      <c r="AB264" s="240"/>
      <c r="AC264" s="36"/>
      <c r="AD264" s="26" t="str">
        <f>IF(M264="", "Error: Task name cannot be empty.", "")</f>
        <v/>
      </c>
    </row>
    <row r="265" spans="1:30" s="15" customFormat="1" ht="1.5" customHeight="1" outlineLevel="2" x14ac:dyDescent="0.35">
      <c r="A265" s="93" t="s">
        <v>101</v>
      </c>
      <c r="B265" s="21"/>
      <c r="C265" s="84"/>
      <c r="D265" s="84"/>
      <c r="E265" s="84"/>
      <c r="F265" s="83"/>
      <c r="G265" s="32"/>
      <c r="H265" s="32"/>
      <c r="I265" s="32"/>
      <c r="J265" s="32"/>
      <c r="K265" s="32"/>
      <c r="L265" s="175">
        <f ca="1">L264</f>
        <v>2</v>
      </c>
      <c r="M265" s="176" t="s">
        <v>105</v>
      </c>
      <c r="N265" s="173"/>
      <c r="O265" s="174"/>
      <c r="P265" s="33"/>
      <c r="Q265" s="33"/>
      <c r="R265" s="33"/>
      <c r="S265" s="33"/>
      <c r="T265" s="167"/>
      <c r="U265" s="33"/>
      <c r="V265" s="33"/>
      <c r="W265" s="33"/>
      <c r="X265" s="34"/>
      <c r="Y265" s="35"/>
      <c r="Z265" s="35"/>
      <c r="AA265" s="35"/>
      <c r="AB265" s="36"/>
      <c r="AC265" s="36"/>
      <c r="AD265" s="26"/>
    </row>
    <row r="266" spans="1:30" ht="87" outlineLevel="2" x14ac:dyDescent="0.35">
      <c r="A266" s="93" t="s">
        <v>0</v>
      </c>
      <c r="B266" s="21"/>
      <c r="C266" s="85"/>
      <c r="D266" s="85"/>
      <c r="E266" s="85"/>
      <c r="F266" s="86"/>
      <c r="G266" s="22" t="s">
        <v>23</v>
      </c>
      <c r="H266" s="22" t="s">
        <v>23</v>
      </c>
      <c r="I266" s="23" t="s">
        <v>23</v>
      </c>
      <c r="J266" s="22" t="s">
        <v>23</v>
      </c>
      <c r="K266" s="38"/>
      <c r="L266" s="22"/>
      <c r="M266" s="286" t="str">
        <f ca="1">IFERROR(OFFSET(M266,-1,,1,1)+0.1,OFFSET(M266,-1,-1,1,1)&amp;".1")</f>
        <v>2.1</v>
      </c>
      <c r="N266" s="23" t="s">
        <v>594</v>
      </c>
      <c r="O266" s="23"/>
      <c r="P266" s="23" t="s">
        <v>586</v>
      </c>
      <c r="Q266" s="144">
        <v>1</v>
      </c>
      <c r="R266" s="137">
        <v>3</v>
      </c>
      <c r="S266" s="169">
        <f>CEILING((IF(J266="Yes", 0, IF(H266="-",AA266,AA266+AA266*VLOOKUP(H266,BUFFERS_BY_TYPE,2,FALSE)))) +
   (IF(J266="Yes", 0, IF(H266="-",AA266,AA266+AA266*VLOOKUP(H266,BUFFERS_BY_TYPE,2,FALSE))))*VLOOKUP($S$5, SALES_CALL_SCALE_ARRAY, 2,FALSE),0.25)</f>
        <v>5</v>
      </c>
      <c r="T266" s="170"/>
      <c r="U266" s="24">
        <v>0</v>
      </c>
      <c r="V266" s="24">
        <v>1</v>
      </c>
      <c r="W266" s="24">
        <v>0</v>
      </c>
      <c r="X266" s="168">
        <v>5</v>
      </c>
      <c r="Y266" s="169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5</v>
      </c>
      <c r="Z266" s="25"/>
      <c r="AA266" s="169">
        <f>Y266+Y266*VLOOKUP(I266,EXTRAS_ARRAY,2,FALSE)</f>
        <v>5</v>
      </c>
      <c r="AB266" s="23" t="s">
        <v>576</v>
      </c>
      <c r="AC266" s="37"/>
      <c r="AD266" s="26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58" outlineLevel="2" x14ac:dyDescent="0.35">
      <c r="A267" s="93" t="s">
        <v>0</v>
      </c>
      <c r="B267" s="21"/>
      <c r="C267" s="85"/>
      <c r="D267" s="85"/>
      <c r="E267" s="85"/>
      <c r="F267" s="86"/>
      <c r="G267" s="22" t="s">
        <v>23</v>
      </c>
      <c r="H267" s="22" t="s">
        <v>23</v>
      </c>
      <c r="I267" s="23" t="s">
        <v>23</v>
      </c>
      <c r="J267" s="22" t="s">
        <v>23</v>
      </c>
      <c r="K267" s="38"/>
      <c r="L267" s="22"/>
      <c r="M267" s="286">
        <f ca="1">IFERROR(OFFSET(M267,-1,,1,1)+0.1,OFFSET(M267,-1,-1,1,1)&amp;".1")</f>
        <v>2.2000000000000002</v>
      </c>
      <c r="N267" s="23" t="s">
        <v>503</v>
      </c>
      <c r="O267" s="23"/>
      <c r="P267" s="23" t="s">
        <v>518</v>
      </c>
      <c r="Q267" s="144">
        <v>2</v>
      </c>
      <c r="R267" s="137">
        <v>1</v>
      </c>
      <c r="S267" s="169">
        <f>CEILING((IF(J267="Yes", 0, IF(H267="-",AA267,AA267+AA267*VLOOKUP(H267,BUFFERS_BY_TYPE,2,FALSE)))) +
   (IF(J267="Yes", 0, IF(H267="-",AA267,AA267+AA267*VLOOKUP(H267,BUFFERS_BY_TYPE,2,FALSE))))*VLOOKUP($S$5, SALES_CALL_SCALE_ARRAY, 2,FALSE),0.25)</f>
        <v>3</v>
      </c>
      <c r="T267" s="170"/>
      <c r="U267" s="24">
        <v>0</v>
      </c>
      <c r="V267" s="24">
        <v>1</v>
      </c>
      <c r="W267" s="24">
        <v>0</v>
      </c>
      <c r="X267" s="168">
        <v>1.5</v>
      </c>
      <c r="Y267" s="169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3</v>
      </c>
      <c r="Z267" s="25"/>
      <c r="AA267" s="169">
        <f>Y267+Y267*VLOOKUP(I267,EXTRAS_ARRAY,2,FALSE)</f>
        <v>3</v>
      </c>
      <c r="AB267" s="23"/>
      <c r="AC267" s="37"/>
      <c r="AD267" s="26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s="11" customFormat="1" ht="7.5" customHeight="1" outlineLevel="2" x14ac:dyDescent="0.35">
      <c r="A268" s="93" t="s">
        <v>132</v>
      </c>
      <c r="B268" s="18"/>
      <c r="C268" s="78"/>
      <c r="D268" s="78"/>
      <c r="E268" s="78"/>
      <c r="F268" s="78"/>
      <c r="G268" s="10"/>
      <c r="H268" s="10"/>
      <c r="I268" s="10"/>
      <c r="J268" s="10"/>
      <c r="K268" s="10"/>
      <c r="L268" s="10"/>
      <c r="M268" s="287"/>
      <c r="N268" s="10"/>
      <c r="O268" s="10"/>
      <c r="P268" s="10"/>
      <c r="Q268" s="10"/>
      <c r="R268" s="10"/>
      <c r="S268" s="10"/>
      <c r="T268" s="18"/>
      <c r="U268" s="10"/>
      <c r="V268" s="10"/>
      <c r="W268" s="10"/>
      <c r="X268" s="18"/>
      <c r="Y268" s="10"/>
      <c r="Z268" s="10"/>
      <c r="AA268" s="10"/>
      <c r="AB268" s="60"/>
      <c r="AC268" s="60"/>
      <c r="AD268" s="12"/>
    </row>
    <row r="269" spans="1:30" s="17" customFormat="1" ht="15.5" outlineLevel="1" x14ac:dyDescent="0.35">
      <c r="A269" s="93" t="s">
        <v>100</v>
      </c>
      <c r="B269" s="21"/>
      <c r="C269" s="84"/>
      <c r="D269" s="84"/>
      <c r="E269" s="84"/>
      <c r="F269" s="83"/>
      <c r="G269" s="32"/>
      <c r="H269" s="32"/>
      <c r="I269" s="32"/>
      <c r="J269" s="32"/>
      <c r="K269" s="32"/>
      <c r="L269" s="20">
        <f ca="1">LOOKUP(1000,INDIRECT("L1:"&amp;CELL("address",INDIRECT("R[-1]C",FALSE))))+1</f>
        <v>3</v>
      </c>
      <c r="M269" s="326" t="s">
        <v>506</v>
      </c>
      <c r="N269" s="326"/>
      <c r="O269" s="5"/>
      <c r="P269" s="33"/>
      <c r="Q269" s="33"/>
      <c r="R269" s="33"/>
      <c r="S269" s="33"/>
      <c r="T269" s="167">
        <f>IF($S$6="Exclude", SUMIFS(S270:S273, J270:J273, "&lt;&gt;Yes", G270:G273, "&lt;&gt;Yes"), SUMIFS(S270:S273, J270:J273, "&lt;&gt;Yes"))</f>
        <v>7</v>
      </c>
      <c r="U269" s="33"/>
      <c r="V269" s="33"/>
      <c r="W269" s="33"/>
      <c r="X269" s="34"/>
      <c r="Y269" s="35"/>
      <c r="Z269" s="35"/>
      <c r="AA269" s="35"/>
      <c r="AB269" s="240"/>
      <c r="AC269" s="36"/>
      <c r="AD269" s="26" t="str">
        <f>IF(M269="", "Error: Task name cannot be empty.", "")</f>
        <v/>
      </c>
    </row>
    <row r="270" spans="1:30" s="15" customFormat="1" ht="1.5" customHeight="1" outlineLevel="2" x14ac:dyDescent="0.35">
      <c r="A270" s="93" t="s">
        <v>101</v>
      </c>
      <c r="B270" s="21"/>
      <c r="C270" s="84"/>
      <c r="D270" s="84"/>
      <c r="E270" s="84"/>
      <c r="F270" s="83"/>
      <c r="G270" s="32"/>
      <c r="H270" s="32"/>
      <c r="I270" s="32"/>
      <c r="J270" s="32"/>
      <c r="K270" s="32"/>
      <c r="L270" s="175">
        <f ca="1">L269</f>
        <v>3</v>
      </c>
      <c r="M270" s="176" t="s">
        <v>105</v>
      </c>
      <c r="N270" s="173"/>
      <c r="O270" s="174"/>
      <c r="P270" s="33"/>
      <c r="Q270" s="33"/>
      <c r="R270" s="33"/>
      <c r="S270" s="33"/>
      <c r="T270" s="167"/>
      <c r="U270" s="33"/>
      <c r="V270" s="33"/>
      <c r="W270" s="33"/>
      <c r="X270" s="34"/>
      <c r="Y270" s="35"/>
      <c r="Z270" s="35"/>
      <c r="AA270" s="35"/>
      <c r="AB270" s="36"/>
      <c r="AC270" s="36"/>
      <c r="AD270" s="26"/>
    </row>
    <row r="271" spans="1:30" ht="87" outlineLevel="2" x14ac:dyDescent="0.35">
      <c r="A271" s="93" t="s">
        <v>0</v>
      </c>
      <c r="B271" s="21"/>
      <c r="C271" s="85"/>
      <c r="D271" s="85"/>
      <c r="E271" s="85"/>
      <c r="F271" s="86"/>
      <c r="G271" s="22" t="s">
        <v>23</v>
      </c>
      <c r="H271" s="22" t="s">
        <v>23</v>
      </c>
      <c r="I271" s="23" t="s">
        <v>23</v>
      </c>
      <c r="J271" s="22" t="s">
        <v>23</v>
      </c>
      <c r="K271" s="38"/>
      <c r="L271" s="22"/>
      <c r="M271" s="286" t="str">
        <f ca="1">IFERROR(OFFSET(M271,-1,,1,1)+0.1,OFFSET(M271,-1,-1,1,1)&amp;".1")</f>
        <v>3.1</v>
      </c>
      <c r="N271" s="23" t="s">
        <v>594</v>
      </c>
      <c r="O271" s="23"/>
      <c r="P271" s="23" t="s">
        <v>586</v>
      </c>
      <c r="Q271" s="144">
        <v>1</v>
      </c>
      <c r="R271" s="137">
        <v>1</v>
      </c>
      <c r="S271" s="169">
        <f>CEILING((IF(J271="Yes", 0, IF(H271="-",AA271,AA271+AA271*VLOOKUP(H271,BUFFERS_BY_TYPE,2,FALSE)))) +
   (IF(J271="Yes", 0, IF(H271="-",AA271,AA271+AA271*VLOOKUP(H271,BUFFERS_BY_TYPE,2,FALSE))))*VLOOKUP($S$5, SALES_CALL_SCALE_ARRAY, 2,FALSE),0.25)</f>
        <v>4</v>
      </c>
      <c r="T271" s="170"/>
      <c r="U271" s="24">
        <v>0</v>
      </c>
      <c r="V271" s="24">
        <v>1</v>
      </c>
      <c r="W271" s="24">
        <v>0</v>
      </c>
      <c r="X271" s="168">
        <v>4</v>
      </c>
      <c r="Y271" s="169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4</v>
      </c>
      <c r="Z271" s="25"/>
      <c r="AA271" s="169">
        <f>Y271+Y271*VLOOKUP(I271,EXTRAS_ARRAY,2,FALSE)</f>
        <v>4</v>
      </c>
      <c r="AB271" s="23" t="s">
        <v>665</v>
      </c>
      <c r="AC271" s="37"/>
      <c r="AD271" s="26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43.5" outlineLevel="2" x14ac:dyDescent="0.35">
      <c r="A272" s="93" t="s">
        <v>0</v>
      </c>
      <c r="B272" s="21"/>
      <c r="C272" s="85"/>
      <c r="D272" s="85"/>
      <c r="E272" s="85"/>
      <c r="F272" s="86"/>
      <c r="G272" s="22" t="s">
        <v>23</v>
      </c>
      <c r="H272" s="22" t="s">
        <v>23</v>
      </c>
      <c r="I272" s="23" t="s">
        <v>23</v>
      </c>
      <c r="J272" s="22" t="s">
        <v>23</v>
      </c>
      <c r="K272" s="38"/>
      <c r="L272" s="22"/>
      <c r="M272" s="286">
        <f ca="1">IFERROR(OFFSET(M272,-1,,1,1)+0.1,OFFSET(M272,-1,-1,1,1)&amp;".1")</f>
        <v>3.2</v>
      </c>
      <c r="N272" s="23" t="s">
        <v>507</v>
      </c>
      <c r="O272" s="23"/>
      <c r="P272" s="23" t="s">
        <v>518</v>
      </c>
      <c r="Q272" s="144">
        <v>1</v>
      </c>
      <c r="R272" s="137">
        <v>1</v>
      </c>
      <c r="S272" s="169">
        <f>CEILING((IF(J272="Yes", 0, IF(H272="-",AA272,AA272+AA272*VLOOKUP(H272,BUFFERS_BY_TYPE,2,FALSE)))) +
   (IF(J272="Yes", 0, IF(H272="-",AA272,AA272+AA272*VLOOKUP(H272,BUFFERS_BY_TYPE,2,FALSE))))*VLOOKUP($S$5, SALES_CALL_SCALE_ARRAY, 2,FALSE),0.25)</f>
        <v>3</v>
      </c>
      <c r="T272" s="170"/>
      <c r="U272" s="24">
        <v>0</v>
      </c>
      <c r="V272" s="24">
        <v>1</v>
      </c>
      <c r="W272" s="24">
        <v>0</v>
      </c>
      <c r="X272" s="168">
        <v>3</v>
      </c>
      <c r="Y272" s="169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3</v>
      </c>
      <c r="Z272" s="25"/>
      <c r="AA272" s="169">
        <f>Y272+Y272*VLOOKUP(I272,EXTRAS_ARRAY,2,FALSE)</f>
        <v>3</v>
      </c>
      <c r="AB272" s="23"/>
      <c r="AC272" s="37"/>
      <c r="AD272" s="26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/>
      </c>
    </row>
    <row r="273" spans="1:30" s="11" customFormat="1" ht="7.5" customHeight="1" outlineLevel="2" x14ac:dyDescent="0.35">
      <c r="A273" s="93" t="s">
        <v>132</v>
      </c>
      <c r="B273" s="18"/>
      <c r="C273" s="78"/>
      <c r="D273" s="78"/>
      <c r="E273" s="78"/>
      <c r="F273" s="78"/>
      <c r="G273" s="10"/>
      <c r="H273" s="10"/>
      <c r="I273" s="10"/>
      <c r="J273" s="10"/>
      <c r="K273" s="10"/>
      <c r="L273" s="10"/>
      <c r="M273" s="287"/>
      <c r="N273" s="10"/>
      <c r="O273" s="10"/>
      <c r="P273" s="10"/>
      <c r="Q273" s="10"/>
      <c r="R273" s="10"/>
      <c r="S273" s="10"/>
      <c r="T273" s="18"/>
      <c r="U273" s="10"/>
      <c r="V273" s="10"/>
      <c r="W273" s="10"/>
      <c r="X273" s="18"/>
      <c r="Y273" s="10"/>
      <c r="Z273" s="10"/>
      <c r="AA273" s="10"/>
      <c r="AB273" s="60"/>
      <c r="AC273" s="60"/>
      <c r="AD273" s="12"/>
    </row>
    <row r="274" spans="1:30" s="17" customFormat="1" ht="15.5" outlineLevel="1" x14ac:dyDescent="0.35">
      <c r="A274" s="93" t="s">
        <v>100</v>
      </c>
      <c r="B274" s="21"/>
      <c r="C274" s="84"/>
      <c r="D274" s="84"/>
      <c r="E274" s="84"/>
      <c r="F274" s="83"/>
      <c r="G274" s="32"/>
      <c r="H274" s="32"/>
      <c r="I274" s="32"/>
      <c r="J274" s="32"/>
      <c r="K274" s="32"/>
      <c r="L274" s="20">
        <f ca="1">LOOKUP(1000,INDIRECT("L1:"&amp;CELL("address",INDIRECT("R[-1]C",FALSE))))+1</f>
        <v>4</v>
      </c>
      <c r="M274" s="326" t="s">
        <v>652</v>
      </c>
      <c r="N274" s="326"/>
      <c r="O274" s="5"/>
      <c r="P274" s="33"/>
      <c r="Q274" s="33"/>
      <c r="R274" s="33"/>
      <c r="S274" s="33"/>
      <c r="T274" s="167">
        <f>IF($S$6="Exclude", SUMIFS(S275:S277, J275:J277, "&lt;&gt;Yes", G275:G277, "&lt;&gt;Yes"), SUMIFS(S275:S277, J275:J277, "&lt;&gt;Yes"))</f>
        <v>2</v>
      </c>
      <c r="U274" s="33"/>
      <c r="V274" s="33"/>
      <c r="W274" s="33"/>
      <c r="X274" s="34"/>
      <c r="Y274" s="35"/>
      <c r="Z274" s="35"/>
      <c r="AA274" s="35"/>
      <c r="AB274" s="240"/>
      <c r="AC274" s="36"/>
      <c r="AD274" s="26" t="str">
        <f>IF(M274="", "Error: Task name cannot be empty.", "")</f>
        <v/>
      </c>
    </row>
    <row r="275" spans="1:30" s="15" customFormat="1" ht="1.5" customHeight="1" outlineLevel="2" x14ac:dyDescent="0.35">
      <c r="A275" s="93" t="s">
        <v>101</v>
      </c>
      <c r="B275" s="21"/>
      <c r="C275" s="84"/>
      <c r="D275" s="84"/>
      <c r="E275" s="84"/>
      <c r="F275" s="83"/>
      <c r="G275" s="32"/>
      <c r="H275" s="32"/>
      <c r="I275" s="32"/>
      <c r="J275" s="32"/>
      <c r="K275" s="32"/>
      <c r="L275" s="175">
        <f ca="1">L274</f>
        <v>4</v>
      </c>
      <c r="M275" s="176" t="s">
        <v>105</v>
      </c>
      <c r="N275" s="173"/>
      <c r="O275" s="174"/>
      <c r="P275" s="33"/>
      <c r="Q275" s="33"/>
      <c r="R275" s="33"/>
      <c r="S275" s="33"/>
      <c r="T275" s="167"/>
      <c r="U275" s="33"/>
      <c r="V275" s="33"/>
      <c r="W275" s="33"/>
      <c r="X275" s="34"/>
      <c r="Y275" s="35"/>
      <c r="Z275" s="35"/>
      <c r="AA275" s="35"/>
      <c r="AB275" s="36"/>
      <c r="AC275" s="36"/>
      <c r="AD275" s="26"/>
    </row>
    <row r="276" spans="1:30" ht="43.5" outlineLevel="2" x14ac:dyDescent="0.35">
      <c r="A276" s="93" t="s">
        <v>0</v>
      </c>
      <c r="B276" s="21"/>
      <c r="C276" s="85"/>
      <c r="D276" s="85"/>
      <c r="E276" s="85"/>
      <c r="F276" s="86"/>
      <c r="G276" s="22" t="s">
        <v>23</v>
      </c>
      <c r="H276" s="22" t="s">
        <v>23</v>
      </c>
      <c r="I276" s="23" t="s">
        <v>23</v>
      </c>
      <c r="J276" s="22" t="s">
        <v>23</v>
      </c>
      <c r="K276" s="38"/>
      <c r="L276" s="22"/>
      <c r="M276" s="286" t="str">
        <f ca="1">IFERROR(OFFSET(M276,-1,,1,1)+0.1,OFFSET(M276,-1,-1,1,1)&amp;".1")</f>
        <v>4.1</v>
      </c>
      <c r="N276" s="23" t="s">
        <v>653</v>
      </c>
      <c r="O276" s="23"/>
      <c r="P276" s="23"/>
      <c r="Q276" s="144"/>
      <c r="R276" s="137"/>
      <c r="S276" s="169">
        <f>CEILING((IF(J276="Yes", 0, IF(H276="-",AA276,AA276+AA276*VLOOKUP(H276,BUFFERS_BY_TYPE,2,FALSE)))) +
   (IF(J276="Yes", 0, IF(H276="-",AA276,AA276+AA276*VLOOKUP(H276,BUFFERS_BY_TYPE,2,FALSE))))*VLOOKUP($S$5, SALES_CALL_SCALE_ARRAY, 2,FALSE),0.25)</f>
        <v>2</v>
      </c>
      <c r="T276" s="170"/>
      <c r="U276" s="24">
        <v>0</v>
      </c>
      <c r="V276" s="24">
        <v>1</v>
      </c>
      <c r="W276" s="24">
        <v>0</v>
      </c>
      <c r="X276" s="168">
        <v>2</v>
      </c>
      <c r="Y276" s="169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</v>
      </c>
      <c r="Z276" s="25"/>
      <c r="AA276" s="169">
        <f>Y276+Y276*VLOOKUP(I276,EXTRAS_ARRAY,2,FALSE)</f>
        <v>2</v>
      </c>
      <c r="AB276" s="23"/>
      <c r="AC276" s="37"/>
      <c r="AD276" s="26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s="11" customFormat="1" ht="7.5" customHeight="1" outlineLevel="2" x14ac:dyDescent="0.35">
      <c r="A277" s="93" t="s">
        <v>132</v>
      </c>
      <c r="B277" s="18"/>
      <c r="C277" s="78"/>
      <c r="D277" s="78"/>
      <c r="E277" s="78"/>
      <c r="F277" s="78"/>
      <c r="G277" s="10"/>
      <c r="H277" s="10"/>
      <c r="I277" s="10"/>
      <c r="J277" s="10"/>
      <c r="K277" s="10"/>
      <c r="L277" s="10"/>
      <c r="M277" s="287"/>
      <c r="N277" s="10"/>
      <c r="O277" s="10"/>
      <c r="P277" s="10"/>
      <c r="Q277" s="10"/>
      <c r="R277" s="10"/>
      <c r="S277" s="10"/>
      <c r="T277" s="18"/>
      <c r="U277" s="10"/>
      <c r="V277" s="10"/>
      <c r="W277" s="10"/>
      <c r="X277" s="18"/>
      <c r="Y277" s="10"/>
      <c r="Z277" s="10"/>
      <c r="AA277" s="10"/>
      <c r="AB277" s="60"/>
      <c r="AC277" s="60"/>
      <c r="AD277" s="12"/>
    </row>
    <row r="278" spans="1:30" s="17" customFormat="1" ht="15.5" outlineLevel="1" x14ac:dyDescent="0.35">
      <c r="A278" s="93" t="s">
        <v>100</v>
      </c>
      <c r="B278" s="21"/>
      <c r="C278" s="84"/>
      <c r="D278" s="84"/>
      <c r="E278" s="84"/>
      <c r="F278" s="83"/>
      <c r="G278" s="32"/>
      <c r="H278" s="32"/>
      <c r="I278" s="32"/>
      <c r="J278" s="32"/>
      <c r="K278" s="32"/>
      <c r="L278" s="20">
        <f ca="1">LOOKUP(1000,INDIRECT("L1:"&amp;CELL("address",INDIRECT("R[-1]C",FALSE))))+1</f>
        <v>5</v>
      </c>
      <c r="M278" s="326" t="s">
        <v>508</v>
      </c>
      <c r="N278" s="326"/>
      <c r="O278" s="5"/>
      <c r="P278" s="33"/>
      <c r="Q278" s="33"/>
      <c r="R278" s="33"/>
      <c r="S278" s="33"/>
      <c r="T278" s="167">
        <f>IF($S$6="Exclude", SUMIFS(S279:S284, J279:J284, "&lt;&gt;Yes", G279:G284, "&lt;&gt;Yes"), SUMIFS(S279:S284, J279:J284, "&lt;&gt;Yes"))</f>
        <v>52</v>
      </c>
      <c r="U278" s="33"/>
      <c r="V278" s="33"/>
      <c r="W278" s="33"/>
      <c r="X278" s="34"/>
      <c r="Y278" s="35"/>
      <c r="Z278" s="35"/>
      <c r="AA278" s="35"/>
      <c r="AB278" s="240"/>
      <c r="AC278" s="36"/>
      <c r="AD278" s="26" t="str">
        <f>IF(M278="", "Error: Task name cannot be empty.", "")</f>
        <v/>
      </c>
    </row>
    <row r="279" spans="1:30" s="15" customFormat="1" ht="1.5" customHeight="1" outlineLevel="2" x14ac:dyDescent="0.35">
      <c r="A279" s="93" t="s">
        <v>101</v>
      </c>
      <c r="B279" s="21"/>
      <c r="C279" s="84"/>
      <c r="D279" s="84"/>
      <c r="E279" s="84"/>
      <c r="F279" s="83"/>
      <c r="G279" s="32"/>
      <c r="H279" s="32"/>
      <c r="I279" s="32"/>
      <c r="J279" s="32"/>
      <c r="K279" s="32"/>
      <c r="L279" s="175">
        <f ca="1">L278</f>
        <v>5</v>
      </c>
      <c r="M279" s="176" t="s">
        <v>105</v>
      </c>
      <c r="N279" s="173"/>
      <c r="O279" s="174"/>
      <c r="P279" s="33"/>
      <c r="Q279" s="33"/>
      <c r="R279" s="33"/>
      <c r="S279" s="33"/>
      <c r="T279" s="167"/>
      <c r="U279" s="33"/>
      <c r="V279" s="33"/>
      <c r="W279" s="33"/>
      <c r="X279" s="34"/>
      <c r="Y279" s="35"/>
      <c r="Z279" s="35"/>
      <c r="AA279" s="35"/>
      <c r="AB279" s="36"/>
      <c r="AC279" s="36"/>
      <c r="AD279" s="26"/>
    </row>
    <row r="280" spans="1:30" ht="15.5" outlineLevel="2" x14ac:dyDescent="0.35">
      <c r="A280" s="93" t="s">
        <v>0</v>
      </c>
      <c r="B280" s="21"/>
      <c r="C280" s="85"/>
      <c r="D280" s="85"/>
      <c r="E280" s="85"/>
      <c r="F280" s="86"/>
      <c r="G280" s="22" t="s">
        <v>23</v>
      </c>
      <c r="H280" s="22" t="s">
        <v>23</v>
      </c>
      <c r="I280" s="23" t="s">
        <v>23</v>
      </c>
      <c r="J280" s="22" t="s">
        <v>23</v>
      </c>
      <c r="K280" s="38"/>
      <c r="L280" s="22"/>
      <c r="M280" s="286" t="str">
        <f ca="1">IFERROR(OFFSET(M280,-1,,1,1)+0.1,OFFSET(M280,-1,-1,1,1)&amp;".1")</f>
        <v>5.1</v>
      </c>
      <c r="N280" s="23" t="s">
        <v>509</v>
      </c>
      <c r="O280" s="23"/>
      <c r="P280" s="23"/>
      <c r="Q280" s="144"/>
      <c r="R280" s="137"/>
      <c r="S280" s="169">
        <f>CEILING((IF(J280="Yes", 0, IF(H280="-",AA280,AA280+AA280*VLOOKUP(H280,BUFFERS_BY_TYPE,2,FALSE)))) +
   (IF(J280="Yes", 0, IF(H280="-",AA280,AA280+AA280*VLOOKUP(H280,BUFFERS_BY_TYPE,2,FALSE))))*VLOOKUP($S$5, SALES_CALL_SCALE_ARRAY, 2,FALSE),0.25)</f>
        <v>5</v>
      </c>
      <c r="T280" s="170"/>
      <c r="U280" s="24">
        <v>0</v>
      </c>
      <c r="V280" s="24">
        <v>1</v>
      </c>
      <c r="W280" s="24">
        <v>0</v>
      </c>
      <c r="X280" s="168">
        <v>5</v>
      </c>
      <c r="Y280" s="169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5</v>
      </c>
      <c r="Z280" s="25"/>
      <c r="AA280" s="169">
        <f>Y280+Y280*VLOOKUP(I280,EXTRAS_ARRAY,2,FALSE)</f>
        <v>5</v>
      </c>
      <c r="AB280" s="23"/>
      <c r="AC280" s="37"/>
      <c r="AD280" s="26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ht="15.5" outlineLevel="2" x14ac:dyDescent="0.35">
      <c r="A281" s="93" t="s">
        <v>0</v>
      </c>
      <c r="B281" s="21"/>
      <c r="C281" s="85"/>
      <c r="D281" s="85"/>
      <c r="E281" s="85"/>
      <c r="F281" s="86"/>
      <c r="G281" s="22" t="s">
        <v>23</v>
      </c>
      <c r="H281" s="22" t="s">
        <v>23</v>
      </c>
      <c r="I281" s="23" t="s">
        <v>23</v>
      </c>
      <c r="J281" s="22" t="s">
        <v>23</v>
      </c>
      <c r="K281" s="38"/>
      <c r="L281" s="22"/>
      <c r="M281" s="286">
        <f ca="1">IFERROR(OFFSET(M281,-1,,1,1)+0.1,OFFSET(M281,-1,-1,1,1)&amp;".1")</f>
        <v>5.1999999999999993</v>
      </c>
      <c r="N281" s="23" t="s">
        <v>510</v>
      </c>
      <c r="O281" s="23"/>
      <c r="P281" s="23"/>
      <c r="Q281" s="144"/>
      <c r="R281" s="137"/>
      <c r="S281" s="169">
        <f>CEILING((IF(J281="Yes", 0, IF(H281="-",AA281,AA281+AA281*VLOOKUP(H281,BUFFERS_BY_TYPE,2,FALSE)))) +
   (IF(J281="Yes", 0, IF(H281="-",AA281,AA281+AA281*VLOOKUP(H281,BUFFERS_BY_TYPE,2,FALSE))))*VLOOKUP($S$5, SALES_CALL_SCALE_ARRAY, 2,FALSE),0.25)</f>
        <v>10</v>
      </c>
      <c r="T281" s="170"/>
      <c r="U281" s="24">
        <v>0</v>
      </c>
      <c r="V281" s="24">
        <v>1</v>
      </c>
      <c r="W281" s="24">
        <v>0</v>
      </c>
      <c r="X281" s="168">
        <v>10</v>
      </c>
      <c r="Y281" s="169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10</v>
      </c>
      <c r="Z281" s="25"/>
      <c r="AA281" s="169">
        <f>Y281+Y281*VLOOKUP(I281,EXTRAS_ARRAY,2,FALSE)</f>
        <v>10</v>
      </c>
      <c r="AB281" s="23"/>
      <c r="AC281" s="37"/>
      <c r="AD281" s="26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15.5" outlineLevel="2" x14ac:dyDescent="0.35">
      <c r="A282" s="93" t="s">
        <v>0</v>
      </c>
      <c r="B282" s="21"/>
      <c r="C282" s="85"/>
      <c r="D282" s="85"/>
      <c r="E282" s="85"/>
      <c r="F282" s="86"/>
      <c r="G282" s="22" t="s">
        <v>23</v>
      </c>
      <c r="H282" s="22" t="s">
        <v>23</v>
      </c>
      <c r="I282" s="23" t="s">
        <v>23</v>
      </c>
      <c r="J282" s="22" t="s">
        <v>23</v>
      </c>
      <c r="K282" s="38"/>
      <c r="L282" s="22"/>
      <c r="M282" s="286">
        <f ca="1">IFERROR(OFFSET(M282,-1,,1,1)+0.1,OFFSET(M282,-1,-1,1,1)&amp;".1")</f>
        <v>5.2999999999999989</v>
      </c>
      <c r="N282" s="23" t="s">
        <v>511</v>
      </c>
      <c r="O282" s="23"/>
      <c r="P282" s="23"/>
      <c r="Q282" s="144"/>
      <c r="R282" s="137"/>
      <c r="S282" s="169">
        <f>CEILING((IF(J282="Yes", 0, IF(H282="-",AA282,AA282+AA282*VLOOKUP(H282,BUFFERS_BY_TYPE,2,FALSE)))) +
   (IF(J282="Yes", 0, IF(H282="-",AA282,AA282+AA282*VLOOKUP(H282,BUFFERS_BY_TYPE,2,FALSE))))*VLOOKUP($S$5, SALES_CALL_SCALE_ARRAY, 2,FALSE),0.25)</f>
        <v>30</v>
      </c>
      <c r="T282" s="170"/>
      <c r="U282" s="24">
        <v>0</v>
      </c>
      <c r="V282" s="24">
        <v>1</v>
      </c>
      <c r="W282" s="24">
        <v>0</v>
      </c>
      <c r="X282" s="168">
        <v>30</v>
      </c>
      <c r="Y282" s="169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30</v>
      </c>
      <c r="Z282" s="25"/>
      <c r="AA282" s="169">
        <f>Y282+Y282*VLOOKUP(I282,EXTRAS_ARRAY,2,FALSE)</f>
        <v>30</v>
      </c>
      <c r="AB282" s="23"/>
      <c r="AC282" s="37"/>
      <c r="AD282" s="26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outlineLevel="2" x14ac:dyDescent="0.35">
      <c r="A283" s="93" t="s">
        <v>0</v>
      </c>
      <c r="B283" s="21"/>
      <c r="C283" s="85"/>
      <c r="D283" s="85"/>
      <c r="E283" s="85"/>
      <c r="F283" s="86"/>
      <c r="G283" s="22" t="s">
        <v>23</v>
      </c>
      <c r="H283" s="22" t="s">
        <v>23</v>
      </c>
      <c r="I283" s="23" t="s">
        <v>23</v>
      </c>
      <c r="J283" s="22" t="s">
        <v>23</v>
      </c>
      <c r="K283" s="38"/>
      <c r="L283" s="22"/>
      <c r="M283" s="286">
        <f ca="1">IFERROR(OFFSET(M283,-1,,1,1)+0.1,OFFSET(M283,-1,-1,1,1)&amp;".1")</f>
        <v>5.3999999999999986</v>
      </c>
      <c r="N283" s="23" t="s">
        <v>512</v>
      </c>
      <c r="O283" s="23"/>
      <c r="P283" s="23"/>
      <c r="Q283" s="144"/>
      <c r="R283" s="137"/>
      <c r="S283" s="169">
        <f>CEILING((IF(J283="Yes", 0, IF(H283="-",AA283,AA283+AA283*VLOOKUP(H283,BUFFERS_BY_TYPE,2,FALSE)))) +
   (IF(J283="Yes", 0, IF(H283="-",AA283,AA283+AA283*VLOOKUP(H283,BUFFERS_BY_TYPE,2,FALSE))))*VLOOKUP($S$5, SALES_CALL_SCALE_ARRAY, 2,FALSE),0.25)</f>
        <v>7</v>
      </c>
      <c r="T283" s="170"/>
      <c r="U283" s="24">
        <v>0</v>
      </c>
      <c r="V283" s="24">
        <v>1</v>
      </c>
      <c r="W283" s="24">
        <v>0</v>
      </c>
      <c r="X283" s="168">
        <v>7</v>
      </c>
      <c r="Y283" s="169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7</v>
      </c>
      <c r="Z283" s="25"/>
      <c r="AA283" s="169">
        <f>Y283+Y283*VLOOKUP(I283,EXTRAS_ARRAY,2,FALSE)</f>
        <v>7</v>
      </c>
      <c r="AB283" s="23"/>
      <c r="AC283" s="37"/>
      <c r="AD283" s="26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s="11" customFormat="1" ht="7.5" customHeight="1" outlineLevel="2" x14ac:dyDescent="0.35">
      <c r="A284" s="93" t="s">
        <v>132</v>
      </c>
      <c r="B284" s="18"/>
      <c r="C284" s="78"/>
      <c r="D284" s="78"/>
      <c r="E284" s="78"/>
      <c r="F284" s="78"/>
      <c r="G284" s="10"/>
      <c r="H284" s="10"/>
      <c r="I284" s="10"/>
      <c r="J284" s="10"/>
      <c r="K284" s="10"/>
      <c r="L284" s="10"/>
      <c r="M284" s="287"/>
      <c r="N284" s="10"/>
      <c r="O284" s="10"/>
      <c r="P284" s="10"/>
      <c r="Q284" s="10"/>
      <c r="R284" s="10"/>
      <c r="S284" s="10"/>
      <c r="T284" s="18"/>
      <c r="U284" s="10"/>
      <c r="V284" s="10"/>
      <c r="W284" s="10"/>
      <c r="X284" s="18"/>
      <c r="Y284" s="10"/>
      <c r="Z284" s="10"/>
      <c r="AA284" s="10"/>
      <c r="AB284" s="60"/>
      <c r="AC284" s="60"/>
      <c r="AD284" s="12"/>
    </row>
    <row r="285" spans="1:30" s="11" customFormat="1" ht="3" customHeight="1" outlineLevel="1" x14ac:dyDescent="0.35">
      <c r="A285" s="93" t="s">
        <v>102</v>
      </c>
      <c r="B285" s="10"/>
      <c r="C285" s="78"/>
      <c r="D285" s="78"/>
      <c r="E285" s="78"/>
      <c r="F285" s="78"/>
      <c r="G285" s="59"/>
      <c r="H285" s="59"/>
      <c r="I285" s="59"/>
      <c r="J285" s="59"/>
      <c r="K285" s="59"/>
      <c r="L285" s="61"/>
      <c r="M285" s="288"/>
      <c r="N285" s="62"/>
      <c r="O285" s="62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2"/>
      <c r="AC285" s="62"/>
      <c r="AD285" s="12"/>
    </row>
    <row r="286" spans="1:30" s="17" customFormat="1" ht="18.5" x14ac:dyDescent="0.35">
      <c r="A286" s="93" t="s">
        <v>98</v>
      </c>
      <c r="B286" s="14"/>
      <c r="C286" s="79"/>
      <c r="D286" s="79"/>
      <c r="E286" s="79"/>
      <c r="F286" s="78"/>
      <c r="G286" s="55"/>
      <c r="H286" s="55"/>
      <c r="I286" s="55"/>
      <c r="J286" s="55"/>
      <c r="K286" s="55"/>
      <c r="L286" s="55" t="s">
        <v>83</v>
      </c>
      <c r="M286" s="284" t="s">
        <v>76</v>
      </c>
      <c r="N286" s="56"/>
      <c r="O286" s="57"/>
      <c r="P286" s="58"/>
      <c r="Q286" s="58"/>
      <c r="R286" s="58"/>
      <c r="S286" s="341">
        <f>CEILING(SUMIF(J287:J292, "&lt;&gt;Yes", T287:T292),1)</f>
        <v>86</v>
      </c>
      <c r="T286" s="341"/>
      <c r="U286" s="58"/>
      <c r="V286" s="58"/>
      <c r="W286" s="58"/>
      <c r="X286" s="58"/>
      <c r="Y286" s="58"/>
      <c r="Z286" s="58"/>
      <c r="AA286" s="58"/>
      <c r="AB286" s="58"/>
      <c r="AC286" s="58"/>
      <c r="AD286" s="16"/>
    </row>
    <row r="287" spans="1:30" s="11" customFormat="1" ht="3" customHeight="1" outlineLevel="1" x14ac:dyDescent="0.35">
      <c r="A287" s="93" t="s">
        <v>99</v>
      </c>
      <c r="B287" s="18"/>
      <c r="C287" s="78"/>
      <c r="D287" s="78"/>
      <c r="E287" s="78"/>
      <c r="F287" s="78"/>
      <c r="G287" s="28"/>
      <c r="H287" s="28"/>
      <c r="I287" s="28"/>
      <c r="J287" s="28"/>
      <c r="K287" s="28"/>
      <c r="L287" s="29">
        <v>0</v>
      </c>
      <c r="M287" s="285"/>
      <c r="N287" s="28"/>
      <c r="O287" s="28"/>
      <c r="P287" s="28"/>
      <c r="Q287" s="28"/>
      <c r="R287" s="28"/>
      <c r="S287" s="28"/>
      <c r="T287" s="30"/>
      <c r="U287" s="28"/>
      <c r="V287" s="28"/>
      <c r="W287" s="28"/>
      <c r="X287" s="30"/>
      <c r="Y287" s="28"/>
      <c r="Z287" s="28"/>
      <c r="AA287" s="28"/>
      <c r="AB287" s="31"/>
      <c r="AC287" s="31"/>
      <c r="AD287" s="12"/>
    </row>
    <row r="288" spans="1:30" s="17" customFormat="1" ht="15.5" outlineLevel="1" x14ac:dyDescent="0.35">
      <c r="A288" s="93" t="s">
        <v>100</v>
      </c>
      <c r="B288" s="21"/>
      <c r="C288" s="84"/>
      <c r="D288" s="84"/>
      <c r="E288" s="84"/>
      <c r="F288" s="83"/>
      <c r="G288" s="32"/>
      <c r="H288" s="32"/>
      <c r="I288" s="32"/>
      <c r="J288" s="32"/>
      <c r="K288" s="32"/>
      <c r="L288" s="20">
        <f ca="1">LOOKUP(1000,INDIRECT("L1:"&amp;CELL("address",INDIRECT("R[-1]C",FALSE))))+1</f>
        <v>1</v>
      </c>
      <c r="M288" s="326" t="s">
        <v>519</v>
      </c>
      <c r="N288" s="326"/>
      <c r="O288" s="5"/>
      <c r="P288" s="33"/>
      <c r="Q288" s="33"/>
      <c r="R288" s="33"/>
      <c r="S288" s="33"/>
      <c r="T288" s="167">
        <f>IF($S$6="Exclude", SUMIFS(S289:S291, J289:J291, "&lt;&gt;Yes", G289:G291, "&lt;&gt;Yes"), SUMIFS(S289:S291, J289:J291, "&lt;&gt;Yes"))</f>
        <v>85.25</v>
      </c>
      <c r="U288" s="33"/>
      <c r="V288" s="33"/>
      <c r="W288" s="33"/>
      <c r="X288" s="34"/>
      <c r="Y288" s="35"/>
      <c r="Z288" s="35"/>
      <c r="AA288" s="35"/>
      <c r="AB288" s="240"/>
      <c r="AC288" s="36"/>
      <c r="AD288" s="26" t="str">
        <f>IF(M288="", "Error: Task name cannot be empty.", "")</f>
        <v/>
      </c>
    </row>
    <row r="289" spans="1:30" s="15" customFormat="1" ht="1.5" customHeight="1" outlineLevel="2" x14ac:dyDescent="0.35">
      <c r="A289" s="93" t="s">
        <v>101</v>
      </c>
      <c r="B289" s="21"/>
      <c r="C289" s="84"/>
      <c r="D289" s="84"/>
      <c r="E289" s="84"/>
      <c r="F289" s="83"/>
      <c r="G289" s="32"/>
      <c r="H289" s="32"/>
      <c r="I289" s="32"/>
      <c r="J289" s="32"/>
      <c r="K289" s="32"/>
      <c r="L289" s="175">
        <f ca="1">L288</f>
        <v>1</v>
      </c>
      <c r="M289" s="176" t="s">
        <v>105</v>
      </c>
      <c r="N289" s="173"/>
      <c r="O289" s="174"/>
      <c r="P289" s="33"/>
      <c r="Q289" s="33"/>
      <c r="R289" s="33"/>
      <c r="S289" s="33"/>
      <c r="T289" s="167"/>
      <c r="U289" s="33"/>
      <c r="V289" s="33"/>
      <c r="W289" s="33"/>
      <c r="X289" s="34"/>
      <c r="Y289" s="35"/>
      <c r="Z289" s="35"/>
      <c r="AA289" s="35"/>
      <c r="AB289" s="36"/>
      <c r="AC289" s="36"/>
      <c r="AD289" s="26"/>
    </row>
    <row r="290" spans="1:30" ht="15.5" outlineLevel="2" x14ac:dyDescent="0.35">
      <c r="A290" s="93" t="s">
        <v>0</v>
      </c>
      <c r="B290" s="21"/>
      <c r="C290" s="85"/>
      <c r="D290" s="85"/>
      <c r="E290" s="85"/>
      <c r="F290" s="86"/>
      <c r="G290" s="22" t="s">
        <v>23</v>
      </c>
      <c r="H290" s="22" t="s">
        <v>23</v>
      </c>
      <c r="I290" s="23" t="s">
        <v>23</v>
      </c>
      <c r="J290" s="22" t="s">
        <v>23</v>
      </c>
      <c r="K290" s="38"/>
      <c r="L290" s="22"/>
      <c r="M290" s="286" t="str">
        <f ca="1">IFERROR(OFFSET(M290,-1,,1,1)+0.1,OFFSET(M290,-1,-1,1,1)&amp;".1")</f>
        <v>1.1</v>
      </c>
      <c r="N290" s="23" t="s">
        <v>520</v>
      </c>
      <c r="O290" s="23" t="s">
        <v>521</v>
      </c>
      <c r="P290" s="274">
        <v>0.1</v>
      </c>
      <c r="Q290" s="144"/>
      <c r="R290" s="137"/>
      <c r="S290" s="169">
        <f>CEILING((IF(J290="Yes", 0, IF(H290="-",AA290,AA290+AA290*VLOOKUP(H290,BUFFERS_BY_TYPE,2,FALSE)))) +
   (IF(J290="Yes", 0, IF(H290="-",AA290,AA290+AA290*VLOOKUP(H290,BUFFERS_BY_TYPE,2,FALSE))))*VLOOKUP($S$5, SALES_CALL_SCALE_ARRAY, 2,FALSE),0.25)</f>
        <v>85.25</v>
      </c>
      <c r="T290" s="170"/>
      <c r="U290" s="24">
        <v>0</v>
      </c>
      <c r="V290" s="24">
        <v>1</v>
      </c>
      <c r="W290" s="24">
        <v>0</v>
      </c>
      <c r="X290" s="168">
        <f>(REQ_EFFORT+DESIGN_EFFORT+DEV_EFFORT+QA_EFFORT+UAT_EFFORT) * P290</f>
        <v>85.2</v>
      </c>
      <c r="Y290" s="169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85.25</v>
      </c>
      <c r="Z290" s="25"/>
      <c r="AA290" s="169">
        <f>Y290+Y290*VLOOKUP(I290,EXTRAS_ARRAY,2,FALSE)</f>
        <v>85.25</v>
      </c>
      <c r="AB290" s="23"/>
      <c r="AC290" s="37"/>
      <c r="AD290" s="26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11" customFormat="1" ht="7.5" customHeight="1" outlineLevel="2" x14ac:dyDescent="0.35">
      <c r="A291" s="93" t="s">
        <v>132</v>
      </c>
      <c r="B291" s="18"/>
      <c r="C291" s="78"/>
      <c r="D291" s="78"/>
      <c r="E291" s="78"/>
      <c r="F291" s="78"/>
      <c r="G291" s="10"/>
      <c r="H291" s="10"/>
      <c r="I291" s="10"/>
      <c r="J291" s="10"/>
      <c r="K291" s="10"/>
      <c r="L291" s="10"/>
      <c r="M291" s="287"/>
      <c r="N291" s="10"/>
      <c r="O291" s="10"/>
      <c r="P291" s="10"/>
      <c r="Q291" s="10"/>
      <c r="R291" s="10"/>
      <c r="S291" s="10"/>
      <c r="T291" s="18"/>
      <c r="U291" s="10"/>
      <c r="V291" s="10"/>
      <c r="W291" s="10"/>
      <c r="X291" s="18"/>
      <c r="Y291" s="10"/>
      <c r="Z291" s="10"/>
      <c r="AA291" s="10"/>
      <c r="AB291" s="60"/>
      <c r="AC291" s="60"/>
      <c r="AD291" s="12"/>
    </row>
    <row r="292" spans="1:30" s="11" customFormat="1" ht="3" customHeight="1" outlineLevel="1" x14ac:dyDescent="0.35">
      <c r="A292" s="93" t="s">
        <v>102</v>
      </c>
      <c r="B292" s="10"/>
      <c r="C292" s="78"/>
      <c r="D292" s="78"/>
      <c r="E292" s="78"/>
      <c r="F292" s="78"/>
      <c r="G292" s="59"/>
      <c r="H292" s="59"/>
      <c r="I292" s="59"/>
      <c r="J292" s="59"/>
      <c r="K292" s="59"/>
      <c r="L292" s="61"/>
      <c r="M292" s="288"/>
      <c r="N292" s="62"/>
      <c r="O292" s="62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2"/>
      <c r="AC292" s="62"/>
      <c r="AD292" s="12"/>
    </row>
    <row r="293" spans="1:30" s="11" customFormat="1" ht="20.25" customHeight="1" x14ac:dyDescent="0.35">
      <c r="A293" s="93" t="s">
        <v>103</v>
      </c>
      <c r="B293" s="10"/>
      <c r="C293" s="78"/>
      <c r="D293" s="78"/>
      <c r="E293" s="78"/>
      <c r="F293" s="78"/>
      <c r="G293" s="43"/>
      <c r="H293" s="43"/>
      <c r="I293" s="43"/>
      <c r="J293" s="43"/>
      <c r="K293" s="43"/>
      <c r="L293" s="146"/>
      <c r="M293" s="281"/>
      <c r="N293" s="43"/>
      <c r="O293" s="43"/>
      <c r="P293" s="43"/>
      <c r="Q293" s="43"/>
      <c r="R293" s="43"/>
      <c r="S293" s="342">
        <f>TOTAL_EFFORT</f>
        <v>938</v>
      </c>
      <c r="T293" s="342"/>
      <c r="U293" s="43"/>
      <c r="V293" s="43"/>
      <c r="W293" s="43"/>
      <c r="X293" s="43"/>
      <c r="Y293" s="43"/>
      <c r="Z293" s="43"/>
      <c r="AA293" s="43"/>
      <c r="AB293" s="145"/>
      <c r="AC293" s="43"/>
      <c r="AD293" s="12"/>
    </row>
    <row r="294" spans="1:30" s="11" customFormat="1" x14ac:dyDescent="0.35">
      <c r="A294" s="93"/>
      <c r="B294" s="10"/>
      <c r="C294" s="80"/>
      <c r="D294" s="80"/>
      <c r="E294" s="80"/>
      <c r="F294" s="78"/>
      <c r="M294" s="275"/>
      <c r="N294" s="12"/>
      <c r="O294" s="12"/>
      <c r="AB294" s="12"/>
      <c r="AC294" s="12"/>
      <c r="AD294" s="12"/>
    </row>
    <row r="295" spans="1:30" s="11" customFormat="1" ht="20.25" customHeight="1" x14ac:dyDescent="0.35">
      <c r="A295" s="93"/>
      <c r="B295" s="10"/>
      <c r="C295" s="78"/>
      <c r="D295" s="78"/>
      <c r="E295" s="78"/>
      <c r="F295" s="78"/>
      <c r="G295" s="317" t="s">
        <v>48</v>
      </c>
      <c r="H295" s="317"/>
      <c r="I295" s="200"/>
      <c r="J295" s="43"/>
      <c r="K295" s="43"/>
      <c r="L295" s="39"/>
      <c r="M295" s="289" t="s">
        <v>154</v>
      </c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12"/>
    </row>
    <row r="296" spans="1:30" s="11" customFormat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31"/>
      <c r="O296" s="31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t="15" customHeight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344" t="s">
        <v>450</v>
      </c>
      <c r="N297" s="344"/>
      <c r="O297" s="344"/>
      <c r="P297" s="344"/>
      <c r="Q297" s="344"/>
      <c r="R297" s="344"/>
      <c r="S297" s="344"/>
      <c r="T297" s="344"/>
      <c r="U297" s="31"/>
      <c r="V297" s="31"/>
      <c r="W297" s="31"/>
      <c r="X297" s="28"/>
      <c r="Y297" s="28"/>
      <c r="Z297" s="28"/>
      <c r="AA297" s="28"/>
      <c r="AB297" s="31"/>
      <c r="AC297" s="31"/>
      <c r="AD297" s="12"/>
    </row>
    <row r="298" spans="1:30" s="11" customFormat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344"/>
      <c r="N298" s="344"/>
      <c r="O298" s="344"/>
      <c r="P298" s="344"/>
      <c r="Q298" s="344"/>
      <c r="R298" s="344"/>
      <c r="S298" s="344"/>
      <c r="T298" s="344"/>
      <c r="U298" s="31"/>
      <c r="V298" s="31"/>
      <c r="W298" s="31"/>
      <c r="X298" s="28"/>
      <c r="Y298" s="28"/>
      <c r="Z298" s="28"/>
      <c r="AA298" s="28"/>
      <c r="AB298" s="31"/>
      <c r="AC298" s="31"/>
      <c r="AD298" s="12"/>
    </row>
    <row r="299" spans="1:30" s="11" customFormat="1" ht="3.75" customHeight="1" outlineLevel="1" x14ac:dyDescent="0.35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85"/>
      <c r="N299" s="31"/>
      <c r="O299" s="31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31"/>
      <c r="AC299" s="31"/>
      <c r="AD299" s="12"/>
    </row>
    <row r="300" spans="1:30" s="11" customFormat="1" ht="15.5" outlineLevel="1" x14ac:dyDescent="0.35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90" t="s">
        <v>153</v>
      </c>
      <c r="N300" s="203" t="s">
        <v>3</v>
      </c>
      <c r="O300" s="207" t="s">
        <v>59</v>
      </c>
      <c r="P300" s="206" t="str">
        <f>"Cost ("&amp;CHOSEN_CURRENCY&amp;")"</f>
        <v>Cost (-)</v>
      </c>
      <c r="Q300" s="28"/>
      <c r="R300" s="242" t="s">
        <v>441</v>
      </c>
      <c r="S300" s="63" t="s">
        <v>449</v>
      </c>
      <c r="T300" s="253" t="s">
        <v>451</v>
      </c>
      <c r="U300" s="241"/>
      <c r="V300" s="241"/>
      <c r="W300" s="28"/>
      <c r="X300" s="241"/>
      <c r="Y300" s="28"/>
      <c r="Z300" s="28"/>
      <c r="AA300" s="28"/>
      <c r="AB300" s="31"/>
      <c r="AC300" s="31"/>
      <c r="AD300" s="12"/>
    </row>
    <row r="301" spans="1:30" s="11" customFormat="1" ht="3" customHeight="1" outlineLevel="1" x14ac:dyDescent="0.35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91"/>
      <c r="N301" s="268"/>
      <c r="O301" s="268"/>
      <c r="P301" s="267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outlineLevel="1" x14ac:dyDescent="0.35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31"/>
      <c r="O302" s="31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305" customFormat="1" outlineLevel="1" x14ac:dyDescent="0.35">
      <c r="A303" s="93"/>
      <c r="B303" s="298"/>
      <c r="C303" s="299"/>
      <c r="D303" s="299"/>
      <c r="E303" s="299"/>
      <c r="F303" s="78"/>
      <c r="G303" s="241"/>
      <c r="H303" s="241"/>
      <c r="I303" s="241"/>
      <c r="J303" s="241"/>
      <c r="K303" s="241"/>
      <c r="L303" s="241"/>
      <c r="M303" s="300">
        <v>1</v>
      </c>
      <c r="N303" s="301" t="s">
        <v>447</v>
      </c>
      <c r="O303" s="302">
        <v>148.4</v>
      </c>
      <c r="P303" s="303">
        <v>33251.699999999997</v>
      </c>
      <c r="Q303" s="241"/>
      <c r="R303" s="241"/>
      <c r="S303" s="241"/>
      <c r="T303" s="241"/>
      <c r="U303" s="241"/>
      <c r="V303" s="241"/>
      <c r="W303" s="241"/>
      <c r="X303" s="241"/>
      <c r="Y303" s="241"/>
      <c r="Z303" s="241"/>
      <c r="AA303" s="241"/>
      <c r="AB303" s="301"/>
      <c r="AC303" s="301"/>
      <c r="AD303" s="304"/>
    </row>
    <row r="304" spans="1:30" s="305" customFormat="1" outlineLevel="1" x14ac:dyDescent="0.35">
      <c r="A304" s="93"/>
      <c r="B304" s="298"/>
      <c r="C304" s="299"/>
      <c r="D304" s="299"/>
      <c r="E304" s="299"/>
      <c r="F304" s="78"/>
      <c r="G304" s="241"/>
      <c r="H304" s="241"/>
      <c r="I304" s="241"/>
      <c r="J304" s="241"/>
      <c r="K304" s="241"/>
      <c r="L304" s="241"/>
      <c r="M304" s="300">
        <v>2</v>
      </c>
      <c r="N304" s="301" t="s">
        <v>448</v>
      </c>
      <c r="O304" s="302">
        <v>232.3</v>
      </c>
      <c r="P304" s="303">
        <v>52046.1</v>
      </c>
      <c r="Q304" s="241"/>
      <c r="R304" s="241"/>
      <c r="S304" s="241"/>
      <c r="T304" s="241"/>
      <c r="U304" s="241"/>
      <c r="V304" s="241"/>
      <c r="W304" s="241"/>
      <c r="X304" s="241"/>
      <c r="Y304" s="241"/>
      <c r="Z304" s="241"/>
      <c r="AA304" s="241"/>
      <c r="AB304" s="301"/>
      <c r="AC304" s="301"/>
      <c r="AD304" s="304"/>
    </row>
    <row r="305" spans="1:30" s="316" customFormat="1" outlineLevel="1" x14ac:dyDescent="0.35">
      <c r="A305" s="306"/>
      <c r="B305" s="307"/>
      <c r="C305" s="308"/>
      <c r="D305" s="308"/>
      <c r="E305" s="308"/>
      <c r="F305" s="309"/>
      <c r="G305" s="310"/>
      <c r="H305" s="310"/>
      <c r="I305" s="310"/>
      <c r="J305" s="310"/>
      <c r="K305" s="310"/>
      <c r="L305" s="310"/>
      <c r="M305" s="311" t="s">
        <v>109</v>
      </c>
      <c r="N305" s="312" t="s">
        <v>124</v>
      </c>
      <c r="O305" s="313">
        <v>434.6</v>
      </c>
      <c r="P305" s="314">
        <v>97345.5</v>
      </c>
      <c r="Q305" s="310"/>
      <c r="R305" s="310"/>
      <c r="S305" s="310"/>
      <c r="T305" s="310"/>
      <c r="U305" s="310"/>
      <c r="V305" s="310"/>
      <c r="W305" s="310"/>
      <c r="X305" s="310"/>
      <c r="Y305" s="310"/>
      <c r="Z305" s="310"/>
      <c r="AA305" s="310"/>
      <c r="AB305" s="312"/>
      <c r="AC305" s="312"/>
      <c r="AD305" s="315"/>
    </row>
    <row r="306" spans="1:30" s="305" customFormat="1" outlineLevel="1" x14ac:dyDescent="0.35">
      <c r="A306" s="93"/>
      <c r="B306" s="298"/>
      <c r="C306" s="299"/>
      <c r="D306" s="299"/>
      <c r="E306" s="299"/>
      <c r="F306" s="78"/>
      <c r="G306" s="241"/>
      <c r="H306" s="241"/>
      <c r="I306" s="241"/>
      <c r="J306" s="241"/>
      <c r="K306" s="241"/>
      <c r="L306" s="241"/>
      <c r="M306" s="300">
        <v>3</v>
      </c>
      <c r="N306" s="301" t="s">
        <v>577</v>
      </c>
      <c r="O306" s="302">
        <v>14</v>
      </c>
      <c r="P306" s="303">
        <v>3132.4</v>
      </c>
      <c r="Q306" s="241"/>
      <c r="R306" s="241"/>
      <c r="S306" s="241"/>
      <c r="T306" s="241"/>
      <c r="U306" s="241"/>
      <c r="V306" s="241"/>
      <c r="W306" s="241"/>
      <c r="X306" s="241"/>
      <c r="Y306" s="241"/>
      <c r="Z306" s="241"/>
      <c r="AA306" s="241"/>
      <c r="AB306" s="301"/>
      <c r="AC306" s="301"/>
      <c r="AD306" s="304"/>
    </row>
    <row r="307" spans="1:30" s="305" customFormat="1" outlineLevel="1" x14ac:dyDescent="0.35">
      <c r="A307" s="93"/>
      <c r="B307" s="298"/>
      <c r="C307" s="299"/>
      <c r="D307" s="299"/>
      <c r="E307" s="299"/>
      <c r="F307" s="78"/>
      <c r="G307" s="241"/>
      <c r="H307" s="241"/>
      <c r="I307" s="241"/>
      <c r="J307" s="241"/>
      <c r="K307" s="241"/>
      <c r="L307" s="241"/>
      <c r="M307" s="300">
        <v>4</v>
      </c>
      <c r="N307" s="301" t="s">
        <v>595</v>
      </c>
      <c r="O307" s="302">
        <v>7.5</v>
      </c>
      <c r="P307" s="303">
        <v>1686.7</v>
      </c>
      <c r="Q307" s="241"/>
      <c r="R307" s="241"/>
      <c r="S307" s="241"/>
      <c r="T307" s="241"/>
      <c r="U307" s="241"/>
      <c r="V307" s="241"/>
      <c r="W307" s="241"/>
      <c r="X307" s="241"/>
      <c r="Y307" s="241"/>
      <c r="Z307" s="241"/>
      <c r="AA307" s="241"/>
      <c r="AB307" s="301"/>
      <c r="AC307" s="301"/>
      <c r="AD307" s="304"/>
    </row>
    <row r="308" spans="1:30" s="305" customFormat="1" outlineLevel="1" x14ac:dyDescent="0.35">
      <c r="A308" s="93"/>
      <c r="B308" s="298"/>
      <c r="C308" s="299"/>
      <c r="D308" s="299"/>
      <c r="E308" s="299"/>
      <c r="F308" s="78"/>
      <c r="G308" s="241"/>
      <c r="H308" s="241"/>
      <c r="I308" s="241"/>
      <c r="J308" s="241"/>
      <c r="K308" s="241"/>
      <c r="L308" s="241"/>
      <c r="M308" s="300">
        <v>5</v>
      </c>
      <c r="N308" s="301" t="s">
        <v>597</v>
      </c>
      <c r="O308" s="302">
        <v>19.399999999999999</v>
      </c>
      <c r="P308" s="303">
        <v>4337.2</v>
      </c>
      <c r="Q308" s="241"/>
      <c r="R308" s="241"/>
      <c r="S308" s="241"/>
      <c r="T308" s="241"/>
      <c r="U308" s="241"/>
      <c r="V308" s="241"/>
      <c r="W308" s="241"/>
      <c r="X308" s="241"/>
      <c r="Y308" s="241"/>
      <c r="Z308" s="241"/>
      <c r="AA308" s="241"/>
      <c r="AB308" s="301"/>
      <c r="AC308" s="301"/>
      <c r="AD308" s="304"/>
    </row>
    <row r="309" spans="1:30" s="305" customFormat="1" outlineLevel="1" x14ac:dyDescent="0.35">
      <c r="A309" s="93"/>
      <c r="B309" s="298"/>
      <c r="C309" s="299"/>
      <c r="D309" s="299"/>
      <c r="E309" s="299"/>
      <c r="F309" s="78"/>
      <c r="G309" s="241"/>
      <c r="H309" s="241"/>
      <c r="I309" s="241"/>
      <c r="J309" s="241"/>
      <c r="K309" s="241"/>
      <c r="L309" s="241"/>
      <c r="M309" s="300">
        <v>6</v>
      </c>
      <c r="N309" s="301" t="s">
        <v>600</v>
      </c>
      <c r="O309" s="302">
        <v>12.9</v>
      </c>
      <c r="P309" s="303">
        <v>2891.4</v>
      </c>
      <c r="Q309" s="241"/>
      <c r="R309" s="241"/>
      <c r="S309" s="241"/>
      <c r="T309" s="241"/>
      <c r="U309" s="241"/>
      <c r="V309" s="241"/>
      <c r="W309" s="241"/>
      <c r="X309" s="241"/>
      <c r="Y309" s="241"/>
      <c r="Z309" s="241"/>
      <c r="AA309" s="241"/>
      <c r="AB309" s="301"/>
      <c r="AC309" s="301"/>
      <c r="AD309" s="304"/>
    </row>
    <row r="310" spans="1:30" s="305" customFormat="1" outlineLevel="1" x14ac:dyDescent="0.35">
      <c r="A310" s="93"/>
      <c r="B310" s="298"/>
      <c r="C310" s="299"/>
      <c r="D310" s="299"/>
      <c r="E310" s="299"/>
      <c r="F310" s="78"/>
      <c r="G310" s="241"/>
      <c r="H310" s="241"/>
      <c r="I310" s="241"/>
      <c r="J310" s="241"/>
      <c r="K310" s="241"/>
      <c r="L310" s="241"/>
      <c r="M310" s="300">
        <v>7</v>
      </c>
      <c r="N310" s="301" t="s">
        <v>603</v>
      </c>
      <c r="O310" s="302">
        <v>7.5</v>
      </c>
      <c r="P310" s="303">
        <v>1686.7</v>
      </c>
      <c r="Q310" s="241"/>
      <c r="R310" s="241"/>
      <c r="S310" s="241"/>
      <c r="T310" s="241"/>
      <c r="U310" s="241"/>
      <c r="V310" s="241"/>
      <c r="W310" s="241"/>
      <c r="X310" s="241"/>
      <c r="Y310" s="241"/>
      <c r="Z310" s="241"/>
      <c r="AA310" s="241"/>
      <c r="AB310" s="301"/>
      <c r="AC310" s="301"/>
      <c r="AD310" s="304"/>
    </row>
    <row r="311" spans="1:30" s="305" customFormat="1" outlineLevel="1" x14ac:dyDescent="0.35">
      <c r="A311" s="93"/>
      <c r="B311" s="298"/>
      <c r="C311" s="299"/>
      <c r="D311" s="299"/>
      <c r="E311" s="299"/>
      <c r="F311" s="78"/>
      <c r="G311" s="241"/>
      <c r="H311" s="241"/>
      <c r="I311" s="241"/>
      <c r="J311" s="241"/>
      <c r="K311" s="241"/>
      <c r="L311" s="241"/>
      <c r="M311" s="300">
        <v>8</v>
      </c>
      <c r="N311" s="301" t="s">
        <v>605</v>
      </c>
      <c r="O311" s="302">
        <v>7.5</v>
      </c>
      <c r="P311" s="303">
        <v>1686.7</v>
      </c>
      <c r="Q311" s="241"/>
      <c r="R311" s="241"/>
      <c r="S311" s="241"/>
      <c r="T311" s="241"/>
      <c r="U311" s="241"/>
      <c r="V311" s="241"/>
      <c r="W311" s="241"/>
      <c r="X311" s="241"/>
      <c r="Y311" s="241"/>
      <c r="Z311" s="241"/>
      <c r="AA311" s="241"/>
      <c r="AB311" s="301"/>
      <c r="AC311" s="301"/>
      <c r="AD311" s="304"/>
    </row>
    <row r="312" spans="1:30" s="305" customFormat="1" outlineLevel="1" x14ac:dyDescent="0.35">
      <c r="A312" s="93"/>
      <c r="B312" s="298"/>
      <c r="C312" s="299"/>
      <c r="D312" s="299"/>
      <c r="E312" s="299"/>
      <c r="F312" s="78"/>
      <c r="G312" s="241"/>
      <c r="H312" s="241"/>
      <c r="I312" s="241"/>
      <c r="J312" s="241"/>
      <c r="K312" s="241"/>
      <c r="L312" s="241"/>
      <c r="M312" s="300">
        <v>9</v>
      </c>
      <c r="N312" s="301" t="s">
        <v>607</v>
      </c>
      <c r="O312" s="302">
        <v>11.8</v>
      </c>
      <c r="P312" s="303">
        <v>2650.5</v>
      </c>
      <c r="Q312" s="241"/>
      <c r="R312" s="241"/>
      <c r="S312" s="241"/>
      <c r="T312" s="241"/>
      <c r="U312" s="241"/>
      <c r="V312" s="241"/>
      <c r="W312" s="241"/>
      <c r="X312" s="241"/>
      <c r="Y312" s="241"/>
      <c r="Z312" s="241"/>
      <c r="AA312" s="241"/>
      <c r="AB312" s="301"/>
      <c r="AC312" s="301"/>
      <c r="AD312" s="304"/>
    </row>
    <row r="313" spans="1:30" s="305" customFormat="1" outlineLevel="1" x14ac:dyDescent="0.35">
      <c r="A313" s="93"/>
      <c r="B313" s="298"/>
      <c r="C313" s="299"/>
      <c r="D313" s="299"/>
      <c r="E313" s="299"/>
      <c r="F313" s="78"/>
      <c r="G313" s="241"/>
      <c r="H313" s="241"/>
      <c r="I313" s="241"/>
      <c r="J313" s="241"/>
      <c r="K313" s="241"/>
      <c r="L313" s="241"/>
      <c r="M313" s="300">
        <v>10</v>
      </c>
      <c r="N313" s="301" t="s">
        <v>611</v>
      </c>
      <c r="O313" s="302">
        <v>9.6999999999999993</v>
      </c>
      <c r="P313" s="303">
        <v>2168.6</v>
      </c>
      <c r="Q313" s="241"/>
      <c r="R313" s="241"/>
      <c r="S313" s="241"/>
      <c r="T313" s="241"/>
      <c r="U313" s="241"/>
      <c r="V313" s="241"/>
      <c r="W313" s="241"/>
      <c r="X313" s="241"/>
      <c r="Y313" s="241"/>
      <c r="Z313" s="241"/>
      <c r="AA313" s="241"/>
      <c r="AB313" s="301"/>
      <c r="AC313" s="301"/>
      <c r="AD313" s="304"/>
    </row>
    <row r="314" spans="1:30" s="305" customFormat="1" outlineLevel="1" x14ac:dyDescent="0.35">
      <c r="A314" s="93"/>
      <c r="B314" s="298"/>
      <c r="C314" s="299"/>
      <c r="D314" s="299"/>
      <c r="E314" s="299"/>
      <c r="F314" s="78"/>
      <c r="G314" s="241"/>
      <c r="H314" s="241"/>
      <c r="I314" s="241"/>
      <c r="J314" s="241"/>
      <c r="K314" s="241"/>
      <c r="L314" s="241"/>
      <c r="M314" s="300">
        <v>11</v>
      </c>
      <c r="N314" s="301" t="s">
        <v>613</v>
      </c>
      <c r="O314" s="302">
        <v>15.1</v>
      </c>
      <c r="P314" s="303">
        <v>3373.4</v>
      </c>
      <c r="Q314" s="241"/>
      <c r="R314" s="241"/>
      <c r="S314" s="241"/>
      <c r="T314" s="241"/>
      <c r="U314" s="241"/>
      <c r="V314" s="241"/>
      <c r="W314" s="241"/>
      <c r="X314" s="241"/>
      <c r="Y314" s="241"/>
      <c r="Z314" s="241"/>
      <c r="AA314" s="241"/>
      <c r="AB314" s="301"/>
      <c r="AC314" s="301"/>
      <c r="AD314" s="304"/>
    </row>
    <row r="315" spans="1:30" s="305" customFormat="1" outlineLevel="1" x14ac:dyDescent="0.35">
      <c r="A315" s="93"/>
      <c r="B315" s="298"/>
      <c r="C315" s="299"/>
      <c r="D315" s="299"/>
      <c r="E315" s="299"/>
      <c r="F315" s="78"/>
      <c r="G315" s="241"/>
      <c r="H315" s="241"/>
      <c r="I315" s="241"/>
      <c r="J315" s="241"/>
      <c r="K315" s="241"/>
      <c r="L315" s="241"/>
      <c r="M315" s="300">
        <v>12</v>
      </c>
      <c r="N315" s="301" t="s">
        <v>615</v>
      </c>
      <c r="O315" s="302">
        <v>24.7</v>
      </c>
      <c r="P315" s="303">
        <v>5541.9</v>
      </c>
      <c r="Q315" s="241"/>
      <c r="R315" s="241"/>
      <c r="S315" s="241"/>
      <c r="T315" s="241"/>
      <c r="U315" s="241"/>
      <c r="V315" s="241"/>
      <c r="W315" s="241"/>
      <c r="X315" s="241"/>
      <c r="Y315" s="241"/>
      <c r="Z315" s="241"/>
      <c r="AA315" s="241"/>
      <c r="AB315" s="301"/>
      <c r="AC315" s="301"/>
      <c r="AD315" s="304"/>
    </row>
    <row r="316" spans="1:30" s="305" customFormat="1" outlineLevel="1" x14ac:dyDescent="0.35">
      <c r="A316" s="93"/>
      <c r="B316" s="298"/>
      <c r="C316" s="299"/>
      <c r="D316" s="299"/>
      <c r="E316" s="299"/>
      <c r="F316" s="78"/>
      <c r="G316" s="241"/>
      <c r="H316" s="241"/>
      <c r="I316" s="241"/>
      <c r="J316" s="241"/>
      <c r="K316" s="241"/>
      <c r="L316" s="241"/>
      <c r="M316" s="300">
        <v>13</v>
      </c>
      <c r="N316" s="301" t="s">
        <v>619</v>
      </c>
      <c r="O316" s="302">
        <v>20.399999999999999</v>
      </c>
      <c r="P316" s="303">
        <v>4578.1000000000004</v>
      </c>
      <c r="Q316" s="241"/>
      <c r="R316" s="241"/>
      <c r="S316" s="241"/>
      <c r="T316" s="241"/>
      <c r="U316" s="241"/>
      <c r="V316" s="241"/>
      <c r="W316" s="241"/>
      <c r="X316" s="241"/>
      <c r="Y316" s="241"/>
      <c r="Z316" s="241"/>
      <c r="AA316" s="241"/>
      <c r="AB316" s="301"/>
      <c r="AC316" s="301"/>
      <c r="AD316" s="304"/>
    </row>
    <row r="317" spans="1:30" s="305" customFormat="1" outlineLevel="1" x14ac:dyDescent="0.35">
      <c r="A317" s="93"/>
      <c r="B317" s="298"/>
      <c r="C317" s="299"/>
      <c r="D317" s="299"/>
      <c r="E317" s="299"/>
      <c r="F317" s="78"/>
      <c r="G317" s="241"/>
      <c r="H317" s="241"/>
      <c r="I317" s="241"/>
      <c r="J317" s="241"/>
      <c r="K317" s="241"/>
      <c r="L317" s="241"/>
      <c r="M317" s="300">
        <v>14</v>
      </c>
      <c r="N317" s="301" t="s">
        <v>610</v>
      </c>
      <c r="O317" s="302">
        <v>15.1</v>
      </c>
      <c r="P317" s="303">
        <v>3373.4</v>
      </c>
      <c r="Q317" s="241"/>
      <c r="R317" s="241"/>
      <c r="S317" s="241"/>
      <c r="T317" s="241"/>
      <c r="U317" s="241"/>
      <c r="V317" s="241"/>
      <c r="W317" s="241"/>
      <c r="X317" s="241"/>
      <c r="Y317" s="241"/>
      <c r="Z317" s="241"/>
      <c r="AA317" s="241"/>
      <c r="AB317" s="301"/>
      <c r="AC317" s="301"/>
      <c r="AD317" s="304"/>
    </row>
    <row r="318" spans="1:30" s="305" customFormat="1" outlineLevel="1" x14ac:dyDescent="0.35">
      <c r="A318" s="93"/>
      <c r="B318" s="298"/>
      <c r="C318" s="299"/>
      <c r="D318" s="299"/>
      <c r="E318" s="299"/>
      <c r="F318" s="78"/>
      <c r="G318" s="241"/>
      <c r="H318" s="241"/>
      <c r="I318" s="241"/>
      <c r="J318" s="241"/>
      <c r="K318" s="241"/>
      <c r="L318" s="241"/>
      <c r="M318" s="300">
        <v>15</v>
      </c>
      <c r="N318" s="301" t="s">
        <v>623</v>
      </c>
      <c r="O318" s="302">
        <v>7.5</v>
      </c>
      <c r="P318" s="303">
        <v>1686.7</v>
      </c>
      <c r="Q318" s="241"/>
      <c r="R318" s="241"/>
      <c r="S318" s="241"/>
      <c r="T318" s="241"/>
      <c r="U318" s="241"/>
      <c r="V318" s="241"/>
      <c r="W318" s="241"/>
      <c r="X318" s="241"/>
      <c r="Y318" s="241"/>
      <c r="Z318" s="241"/>
      <c r="AA318" s="241"/>
      <c r="AB318" s="301"/>
      <c r="AC318" s="301"/>
      <c r="AD318" s="304"/>
    </row>
    <row r="319" spans="1:30" s="305" customFormat="1" outlineLevel="1" x14ac:dyDescent="0.35">
      <c r="A319" s="93"/>
      <c r="B319" s="298"/>
      <c r="C319" s="299"/>
      <c r="D319" s="299"/>
      <c r="E319" s="299"/>
      <c r="F319" s="78"/>
      <c r="G319" s="241"/>
      <c r="H319" s="241"/>
      <c r="I319" s="241"/>
      <c r="J319" s="241"/>
      <c r="K319" s="241"/>
      <c r="L319" s="241"/>
      <c r="M319" s="300">
        <v>16</v>
      </c>
      <c r="N319" s="301" t="s">
        <v>625</v>
      </c>
      <c r="O319" s="302">
        <v>28</v>
      </c>
      <c r="P319" s="303">
        <v>6264.8</v>
      </c>
      <c r="Q319" s="241"/>
      <c r="R319" s="241"/>
      <c r="S319" s="241"/>
      <c r="T319" s="241"/>
      <c r="U319" s="241"/>
      <c r="V319" s="241"/>
      <c r="W319" s="241"/>
      <c r="X319" s="241"/>
      <c r="Y319" s="241"/>
      <c r="Z319" s="241"/>
      <c r="AA319" s="241"/>
      <c r="AB319" s="301"/>
      <c r="AC319" s="301"/>
      <c r="AD319" s="304"/>
    </row>
    <row r="320" spans="1:30" s="305" customFormat="1" outlineLevel="1" x14ac:dyDescent="0.35">
      <c r="A320" s="93"/>
      <c r="B320" s="298"/>
      <c r="C320" s="299"/>
      <c r="D320" s="299"/>
      <c r="E320" s="299"/>
      <c r="F320" s="78"/>
      <c r="G320" s="241"/>
      <c r="H320" s="241"/>
      <c r="I320" s="241"/>
      <c r="J320" s="241"/>
      <c r="K320" s="241"/>
      <c r="L320" s="241"/>
      <c r="M320" s="300">
        <v>17</v>
      </c>
      <c r="N320" s="301" t="s">
        <v>631</v>
      </c>
      <c r="O320" s="302">
        <v>7.5</v>
      </c>
      <c r="P320" s="303">
        <v>1686.7</v>
      </c>
      <c r="Q320" s="241"/>
      <c r="R320" s="241"/>
      <c r="S320" s="241"/>
      <c r="T320" s="241"/>
      <c r="U320" s="241"/>
      <c r="V320" s="241"/>
      <c r="W320" s="241"/>
      <c r="X320" s="241"/>
      <c r="Y320" s="241"/>
      <c r="Z320" s="241"/>
      <c r="AA320" s="241"/>
      <c r="AB320" s="301"/>
      <c r="AC320" s="301"/>
      <c r="AD320" s="304"/>
    </row>
    <row r="321" spans="1:30" s="305" customFormat="1" outlineLevel="1" x14ac:dyDescent="0.35">
      <c r="A321" s="93"/>
      <c r="B321" s="298"/>
      <c r="C321" s="299"/>
      <c r="D321" s="299"/>
      <c r="E321" s="299"/>
      <c r="F321" s="78"/>
      <c r="G321" s="241"/>
      <c r="H321" s="241"/>
      <c r="I321" s="241"/>
      <c r="J321" s="241"/>
      <c r="K321" s="241"/>
      <c r="L321" s="241"/>
      <c r="M321" s="300">
        <v>18</v>
      </c>
      <c r="N321" s="301" t="s">
        <v>630</v>
      </c>
      <c r="O321" s="302">
        <v>9.6999999999999993</v>
      </c>
      <c r="P321" s="303">
        <v>2168.6</v>
      </c>
      <c r="Q321" s="241"/>
      <c r="R321" s="241"/>
      <c r="S321" s="241"/>
      <c r="T321" s="241"/>
      <c r="U321" s="241"/>
      <c r="V321" s="241"/>
      <c r="W321" s="241"/>
      <c r="X321" s="241"/>
      <c r="Y321" s="241"/>
      <c r="Z321" s="241"/>
      <c r="AA321" s="241"/>
      <c r="AB321" s="301"/>
      <c r="AC321" s="301"/>
      <c r="AD321" s="304"/>
    </row>
    <row r="322" spans="1:30" s="305" customFormat="1" outlineLevel="1" x14ac:dyDescent="0.35">
      <c r="A322" s="93"/>
      <c r="B322" s="298"/>
      <c r="C322" s="299"/>
      <c r="D322" s="299"/>
      <c r="E322" s="299"/>
      <c r="F322" s="78"/>
      <c r="G322" s="241"/>
      <c r="H322" s="241"/>
      <c r="I322" s="241"/>
      <c r="J322" s="241"/>
      <c r="K322" s="241"/>
      <c r="L322" s="241"/>
      <c r="M322" s="300">
        <v>19</v>
      </c>
      <c r="N322" s="301" t="s">
        <v>633</v>
      </c>
      <c r="O322" s="302">
        <v>9.6999999999999993</v>
      </c>
      <c r="P322" s="303">
        <v>2168.6</v>
      </c>
      <c r="Q322" s="241"/>
      <c r="R322" s="241"/>
      <c r="S322" s="241"/>
      <c r="T322" s="241"/>
      <c r="U322" s="241"/>
      <c r="V322" s="241"/>
      <c r="W322" s="241"/>
      <c r="X322" s="241"/>
      <c r="Y322" s="241"/>
      <c r="Z322" s="241"/>
      <c r="AA322" s="241"/>
      <c r="AB322" s="301"/>
      <c r="AC322" s="301"/>
      <c r="AD322" s="304"/>
    </row>
    <row r="323" spans="1:30" s="305" customFormat="1" outlineLevel="1" x14ac:dyDescent="0.35">
      <c r="A323" s="93"/>
      <c r="B323" s="298"/>
      <c r="C323" s="299"/>
      <c r="D323" s="299"/>
      <c r="E323" s="299"/>
      <c r="F323" s="78"/>
      <c r="G323" s="241"/>
      <c r="H323" s="241"/>
      <c r="I323" s="241"/>
      <c r="J323" s="241"/>
      <c r="K323" s="241"/>
      <c r="L323" s="241"/>
      <c r="M323" s="300">
        <v>20</v>
      </c>
      <c r="N323" s="301" t="s">
        <v>635</v>
      </c>
      <c r="O323" s="302">
        <v>32.299999999999997</v>
      </c>
      <c r="P323" s="303">
        <v>7228.6</v>
      </c>
      <c r="Q323" s="241"/>
      <c r="R323" s="241"/>
      <c r="S323" s="241"/>
      <c r="T323" s="241"/>
      <c r="U323" s="241"/>
      <c r="V323" s="241"/>
      <c r="W323" s="241"/>
      <c r="X323" s="241"/>
      <c r="Y323" s="241"/>
      <c r="Z323" s="241"/>
      <c r="AA323" s="241"/>
      <c r="AB323" s="301"/>
      <c r="AC323" s="301"/>
      <c r="AD323" s="304"/>
    </row>
    <row r="324" spans="1:30" s="305" customFormat="1" outlineLevel="1" x14ac:dyDescent="0.35">
      <c r="A324" s="93"/>
      <c r="B324" s="298"/>
      <c r="C324" s="299"/>
      <c r="D324" s="299"/>
      <c r="E324" s="299"/>
      <c r="F324" s="78"/>
      <c r="G324" s="241"/>
      <c r="H324" s="241"/>
      <c r="I324" s="241"/>
      <c r="J324" s="241"/>
      <c r="K324" s="241"/>
      <c r="L324" s="241"/>
      <c r="M324" s="300">
        <v>21</v>
      </c>
      <c r="N324" s="301" t="s">
        <v>637</v>
      </c>
      <c r="O324" s="302">
        <v>20.399999999999999</v>
      </c>
      <c r="P324" s="303">
        <v>4578.1000000000004</v>
      </c>
      <c r="Q324" s="241"/>
      <c r="R324" s="241"/>
      <c r="S324" s="241"/>
      <c r="T324" s="241"/>
      <c r="U324" s="241"/>
      <c r="V324" s="241"/>
      <c r="W324" s="241"/>
      <c r="X324" s="241"/>
      <c r="Y324" s="241"/>
      <c r="Z324" s="241"/>
      <c r="AA324" s="241"/>
      <c r="AB324" s="301"/>
      <c r="AC324" s="301"/>
      <c r="AD324" s="304"/>
    </row>
    <row r="325" spans="1:30" s="305" customFormat="1" outlineLevel="1" x14ac:dyDescent="0.35">
      <c r="A325" s="93"/>
      <c r="B325" s="298"/>
      <c r="C325" s="299"/>
      <c r="D325" s="299"/>
      <c r="E325" s="299"/>
      <c r="F325" s="78"/>
      <c r="G325" s="241"/>
      <c r="H325" s="241"/>
      <c r="I325" s="241"/>
      <c r="J325" s="241"/>
      <c r="K325" s="241"/>
      <c r="L325" s="241"/>
      <c r="M325" s="300">
        <v>22</v>
      </c>
      <c r="N325" s="301" t="s">
        <v>641</v>
      </c>
      <c r="O325" s="302">
        <v>15.1</v>
      </c>
      <c r="P325" s="303">
        <v>3373.4</v>
      </c>
      <c r="Q325" s="241"/>
      <c r="R325" s="241"/>
      <c r="S325" s="241"/>
      <c r="T325" s="241"/>
      <c r="U325" s="241"/>
      <c r="V325" s="241"/>
      <c r="W325" s="241"/>
      <c r="X325" s="241"/>
      <c r="Y325" s="241"/>
      <c r="Z325" s="241"/>
      <c r="AA325" s="241"/>
      <c r="AB325" s="301"/>
      <c r="AC325" s="301"/>
      <c r="AD325" s="304"/>
    </row>
    <row r="326" spans="1:30" s="305" customFormat="1" outlineLevel="1" x14ac:dyDescent="0.35">
      <c r="A326" s="93"/>
      <c r="B326" s="298"/>
      <c r="C326" s="299"/>
      <c r="D326" s="299"/>
      <c r="E326" s="299"/>
      <c r="F326" s="78"/>
      <c r="G326" s="241"/>
      <c r="H326" s="241"/>
      <c r="I326" s="241"/>
      <c r="J326" s="241"/>
      <c r="K326" s="241"/>
      <c r="L326" s="241"/>
      <c r="M326" s="300">
        <v>23</v>
      </c>
      <c r="N326" s="301" t="s">
        <v>644</v>
      </c>
      <c r="O326" s="302">
        <v>9.6999999999999993</v>
      </c>
      <c r="P326" s="303">
        <v>2168.6</v>
      </c>
      <c r="Q326" s="241"/>
      <c r="R326" s="241"/>
      <c r="S326" s="241"/>
      <c r="T326" s="241"/>
      <c r="U326" s="241"/>
      <c r="V326" s="241"/>
      <c r="W326" s="241"/>
      <c r="X326" s="241"/>
      <c r="Y326" s="241"/>
      <c r="Z326" s="241"/>
      <c r="AA326" s="241"/>
      <c r="AB326" s="301"/>
      <c r="AC326" s="301"/>
      <c r="AD326" s="304"/>
    </row>
    <row r="327" spans="1:30" s="305" customFormat="1" outlineLevel="1" x14ac:dyDescent="0.35">
      <c r="A327" s="93"/>
      <c r="B327" s="298"/>
      <c r="C327" s="299"/>
      <c r="D327" s="299"/>
      <c r="E327" s="299"/>
      <c r="F327" s="78"/>
      <c r="G327" s="241"/>
      <c r="H327" s="241"/>
      <c r="I327" s="241"/>
      <c r="J327" s="241"/>
      <c r="K327" s="241"/>
      <c r="L327" s="241"/>
      <c r="M327" s="300">
        <v>24</v>
      </c>
      <c r="N327" s="301" t="s">
        <v>40</v>
      </c>
      <c r="O327" s="302">
        <v>129.1</v>
      </c>
      <c r="P327" s="303">
        <v>28914.5</v>
      </c>
      <c r="Q327" s="241"/>
      <c r="R327" s="241"/>
      <c r="S327" s="241"/>
      <c r="T327" s="241"/>
      <c r="U327" s="241"/>
      <c r="V327" s="241"/>
      <c r="W327" s="241"/>
      <c r="X327" s="241"/>
      <c r="Y327" s="241"/>
      <c r="Z327" s="241"/>
      <c r="AA327" s="241"/>
      <c r="AB327" s="301"/>
      <c r="AC327" s="301"/>
      <c r="AD327" s="304"/>
    </row>
    <row r="328" spans="1:30" s="316" customFormat="1" outlineLevel="1" x14ac:dyDescent="0.35">
      <c r="A328" s="306"/>
      <c r="B328" s="307"/>
      <c r="C328" s="308"/>
      <c r="D328" s="308"/>
      <c r="E328" s="308"/>
      <c r="F328" s="309"/>
      <c r="G328" s="310"/>
      <c r="H328" s="310"/>
      <c r="I328" s="310"/>
      <c r="J328" s="310"/>
      <c r="K328" s="310"/>
      <c r="L328" s="310"/>
      <c r="M328" s="311" t="s">
        <v>109</v>
      </c>
      <c r="N328" s="312" t="s">
        <v>498</v>
      </c>
      <c r="O328" s="313">
        <v>120.5</v>
      </c>
      <c r="P328" s="314">
        <v>26986.9</v>
      </c>
      <c r="Q328" s="310"/>
      <c r="R328" s="310"/>
      <c r="S328" s="310"/>
      <c r="T328" s="310"/>
      <c r="U328" s="310"/>
      <c r="V328" s="310"/>
      <c r="W328" s="310"/>
      <c r="X328" s="310"/>
      <c r="Y328" s="310"/>
      <c r="Z328" s="310"/>
      <c r="AA328" s="310"/>
      <c r="AB328" s="312"/>
      <c r="AC328" s="312"/>
      <c r="AD328" s="315"/>
    </row>
    <row r="329" spans="1:30" s="305" customFormat="1" outlineLevel="1" x14ac:dyDescent="0.35">
      <c r="A329" s="93"/>
      <c r="B329" s="298"/>
      <c r="C329" s="299"/>
      <c r="D329" s="299"/>
      <c r="E329" s="299"/>
      <c r="F329" s="78"/>
      <c r="G329" s="241"/>
      <c r="H329" s="241"/>
      <c r="I329" s="241"/>
      <c r="J329" s="241"/>
      <c r="K329" s="241"/>
      <c r="L329" s="241"/>
      <c r="M329" s="300">
        <v>25</v>
      </c>
      <c r="N329" s="301" t="s">
        <v>498</v>
      </c>
      <c r="O329" s="302">
        <v>120.5</v>
      </c>
      <c r="P329" s="303">
        <v>26986.9</v>
      </c>
      <c r="Q329" s="241"/>
      <c r="R329" s="241"/>
      <c r="S329" s="241"/>
      <c r="T329" s="241"/>
      <c r="U329" s="241"/>
      <c r="V329" s="241"/>
      <c r="W329" s="241"/>
      <c r="X329" s="241"/>
      <c r="Y329" s="241"/>
      <c r="Z329" s="241"/>
      <c r="AA329" s="241"/>
      <c r="AB329" s="301"/>
      <c r="AC329" s="301"/>
      <c r="AD329" s="304"/>
    </row>
    <row r="330" spans="1:30" s="11" customFormat="1" outlineLevel="1" x14ac:dyDescent="0.35">
      <c r="A330" s="93"/>
      <c r="B330" s="10"/>
      <c r="C330" s="80"/>
      <c r="D330" s="80"/>
      <c r="E330" s="80"/>
      <c r="F330" s="78"/>
      <c r="G330" s="28"/>
      <c r="H330" s="28"/>
      <c r="I330" s="28"/>
      <c r="J330" s="28"/>
      <c r="K330" s="28"/>
      <c r="L330" s="28"/>
      <c r="M330" s="285"/>
      <c r="N330" s="31"/>
      <c r="O330" s="31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31"/>
      <c r="AC330" s="31"/>
      <c r="AD330" s="12"/>
    </row>
    <row r="331" spans="1:30" s="11" customFormat="1" ht="3" customHeight="1" outlineLevel="1" x14ac:dyDescent="0.35">
      <c r="A331" s="93"/>
      <c r="B331" s="10"/>
      <c r="C331" s="80"/>
      <c r="D331" s="80"/>
      <c r="E331" s="80"/>
      <c r="F331" s="78"/>
      <c r="G331" s="28"/>
      <c r="H331" s="28"/>
      <c r="I331" s="28"/>
      <c r="J331" s="28"/>
      <c r="K331" s="28"/>
      <c r="L331" s="28"/>
      <c r="M331" s="291"/>
      <c r="N331" s="268"/>
      <c r="O331" s="268"/>
      <c r="P331" s="267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31"/>
      <c r="AC331" s="31"/>
      <c r="AD331" s="12"/>
    </row>
    <row r="332" spans="1:30" s="11" customFormat="1" outlineLevel="1" x14ac:dyDescent="0.35">
      <c r="A332" s="93"/>
      <c r="B332" s="10"/>
      <c r="C332" s="80"/>
      <c r="D332" s="80"/>
      <c r="E332" s="80"/>
      <c r="F332" s="78"/>
      <c r="G332" s="28"/>
      <c r="H332" s="28"/>
      <c r="I332" s="28"/>
      <c r="J332" s="28"/>
      <c r="K332" s="28"/>
      <c r="L332" s="28"/>
      <c r="M332" s="292"/>
      <c r="N332" s="204"/>
      <c r="O332" s="205">
        <f>TOTAL_EFFORT</f>
        <v>938</v>
      </c>
      <c r="P332" s="205">
        <f>TOTAL_COST</f>
        <v>210112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31"/>
      <c r="AC332" s="31"/>
      <c r="AD332" s="12"/>
    </row>
    <row r="333" spans="1:30" s="11" customFormat="1" outlineLevel="1" x14ac:dyDescent="0.35">
      <c r="A333" s="93"/>
      <c r="B333" s="10"/>
      <c r="C333" s="80"/>
      <c r="D333" s="80"/>
      <c r="E333" s="80"/>
      <c r="F333" s="78"/>
      <c r="G333" s="28"/>
      <c r="H333" s="28"/>
      <c r="I333" s="28"/>
      <c r="J333" s="28"/>
      <c r="K333" s="28"/>
      <c r="L333" s="28"/>
      <c r="M333" s="285"/>
      <c r="N333" s="31"/>
      <c r="O333" s="31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31"/>
      <c r="AC333" s="31"/>
      <c r="AD333" s="12"/>
    </row>
    <row r="334" spans="1:30" s="11" customFormat="1" ht="20.25" customHeight="1" outlineLevel="1" x14ac:dyDescent="0.35">
      <c r="A334" s="93"/>
      <c r="B334" s="10"/>
      <c r="C334" s="78"/>
      <c r="D334" s="78"/>
      <c r="E334" s="78"/>
      <c r="F334" s="78"/>
      <c r="G334" s="43"/>
      <c r="H334" s="43"/>
      <c r="I334" s="43"/>
      <c r="J334" s="43"/>
      <c r="K334" s="43"/>
      <c r="L334" s="43"/>
      <c r="M334" s="281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12"/>
    </row>
    <row r="335" spans="1:30" ht="15" customHeight="1" x14ac:dyDescent="0.35">
      <c r="F335" s="78"/>
    </row>
    <row r="336" spans="1:30" s="11" customFormat="1" ht="20.25" customHeight="1" x14ac:dyDescent="0.35">
      <c r="A336" s="93"/>
      <c r="B336" s="10"/>
      <c r="C336" s="78"/>
      <c r="D336" s="78"/>
      <c r="E336" s="78"/>
      <c r="F336" s="78"/>
      <c r="G336" s="317" t="s">
        <v>48</v>
      </c>
      <c r="H336" s="317"/>
      <c r="I336" s="178"/>
      <c r="J336" s="43"/>
      <c r="K336" s="43"/>
      <c r="L336" s="39"/>
      <c r="M336" s="289" t="s">
        <v>111</v>
      </c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12"/>
    </row>
    <row r="337" spans="2:29" outlineLevel="1" x14ac:dyDescent="0.35">
      <c r="F337" s="78"/>
      <c r="G337" s="63"/>
      <c r="H337" s="63"/>
      <c r="I337" s="63"/>
      <c r="J337" s="63"/>
      <c r="K337" s="63"/>
      <c r="L337" s="63"/>
      <c r="M337" s="294"/>
      <c r="N337" s="64"/>
      <c r="O337" s="64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4"/>
      <c r="AC337" s="31"/>
    </row>
    <row r="338" spans="2:29" outlineLevel="1" x14ac:dyDescent="0.35">
      <c r="F338" s="78"/>
      <c r="G338" s="68">
        <v>1</v>
      </c>
      <c r="H338" s="68"/>
      <c r="I338" s="68"/>
      <c r="J338" s="63"/>
      <c r="K338" s="63"/>
      <c r="L338" s="63"/>
      <c r="M338" s="294"/>
      <c r="N338" s="64"/>
      <c r="O338" s="64"/>
      <c r="P338" s="63"/>
      <c r="Q338" s="322" t="s">
        <v>79</v>
      </c>
      <c r="R338" s="322"/>
      <c r="S338" s="322"/>
      <c r="T338" s="322"/>
      <c r="U338" s="322"/>
      <c r="V338" s="322"/>
      <c r="W338" s="255"/>
      <c r="X338" s="222"/>
      <c r="Y338" s="63"/>
      <c r="Z338" s="63"/>
      <c r="AA338" s="63"/>
      <c r="AB338" s="64"/>
      <c r="AC338" s="31"/>
    </row>
    <row r="339" spans="2:29" ht="15" customHeight="1" outlineLevel="1" x14ac:dyDescent="0.35">
      <c r="B339" s="10" t="str">
        <f>IF(OR(COUNTBLANK(Q339:W339)&lt;&gt;0,SUM(Q339:W339)=0), ".", "")</f>
        <v/>
      </c>
      <c r="F339" s="78"/>
      <c r="G339" s="63">
        <v>2</v>
      </c>
      <c r="H339" s="68"/>
      <c r="I339" s="68"/>
      <c r="J339" s="63"/>
      <c r="K339" s="63"/>
      <c r="L339" s="63"/>
      <c r="M339" s="294"/>
      <c r="N339" s="100"/>
      <c r="O339" s="320" t="s">
        <v>29</v>
      </c>
      <c r="P339" s="320" t="s">
        <v>94</v>
      </c>
      <c r="Q339" s="53">
        <f>28 * 8</f>
        <v>224</v>
      </c>
      <c r="R339" s="53">
        <f t="shared" ref="R339:V339" si="15">28 * 8</f>
        <v>224</v>
      </c>
      <c r="S339" s="53">
        <f t="shared" si="15"/>
        <v>224</v>
      </c>
      <c r="T339" s="53">
        <f t="shared" si="15"/>
        <v>224</v>
      </c>
      <c r="U339" s="53">
        <f t="shared" si="15"/>
        <v>224</v>
      </c>
      <c r="V339" s="53">
        <f t="shared" si="15"/>
        <v>224</v>
      </c>
      <c r="W339" s="345" t="str">
        <f>CHOSEN_CURRENCY</f>
        <v>-</v>
      </c>
      <c r="X339" s="320"/>
      <c r="Y339" s="63"/>
      <c r="Z339" s="63"/>
      <c r="AA339" s="63"/>
      <c r="AB339" s="64"/>
      <c r="AC339" s="31"/>
    </row>
    <row r="340" spans="2:29" ht="15" customHeight="1" outlineLevel="1" x14ac:dyDescent="0.35">
      <c r="F340" s="78"/>
      <c r="G340" s="63">
        <v>3</v>
      </c>
      <c r="H340" s="68"/>
      <c r="I340" s="68"/>
      <c r="J340" s="63"/>
      <c r="K340" s="63"/>
      <c r="L340" s="63"/>
      <c r="M340" s="294"/>
      <c r="N340" s="100"/>
      <c r="O340" s="321"/>
      <c r="P340" s="321"/>
      <c r="Q340" s="295" t="s">
        <v>8</v>
      </c>
      <c r="R340" s="295" t="s">
        <v>9</v>
      </c>
      <c r="S340" s="295" t="s">
        <v>10</v>
      </c>
      <c r="T340" s="295" t="s">
        <v>12</v>
      </c>
      <c r="U340" s="295" t="s">
        <v>11</v>
      </c>
      <c r="V340" s="296" t="s">
        <v>13</v>
      </c>
      <c r="W340" s="346"/>
      <c r="X340" s="321"/>
      <c r="Y340" s="63"/>
      <c r="Z340" s="63"/>
      <c r="AA340" s="63"/>
      <c r="AB340" s="64"/>
      <c r="AC340" s="31"/>
    </row>
    <row r="341" spans="2:29" ht="15" customHeight="1" outlineLevel="1" x14ac:dyDescent="0.35">
      <c r="B341" s="10" t="str">
        <f t="shared" ref="B341:B346" si="16">IF(SUM(Q341:V341)&lt;&gt;1,".","")</f>
        <v/>
      </c>
      <c r="F341" s="78"/>
      <c r="G341" s="68">
        <v>4</v>
      </c>
      <c r="H341" s="68"/>
      <c r="I341" s="68"/>
      <c r="J341" s="63"/>
      <c r="K341" s="63"/>
      <c r="L341" s="67" t="s">
        <v>84</v>
      </c>
      <c r="M341" s="285" t="str">
        <f>$L$12</f>
        <v>A</v>
      </c>
      <c r="N341" s="31" t="str">
        <f>$M$12</f>
        <v>Discovery / Requirement Analysis</v>
      </c>
      <c r="O341" s="65">
        <f>S12</f>
        <v>150</v>
      </c>
      <c r="P341" s="104">
        <f>ROUND(REQ_EFFORT/5,0)</f>
        <v>30</v>
      </c>
      <c r="Q341" s="105">
        <v>0.85</v>
      </c>
      <c r="R341" s="269">
        <v>0.1</v>
      </c>
      <c r="S341" s="45"/>
      <c r="T341" s="45"/>
      <c r="U341" s="45"/>
      <c r="V341" s="46">
        <v>0.05</v>
      </c>
      <c r="W341" s="347">
        <f t="shared" ref="W341:W346" si="17">(($O341*Q341)*Q$339)+(($O341*R341)*R$339)+(($O341*S341)*S$339)+(($O341*T341)*T$339)+(($O341*U341)*U$339)+(($O341*V341)*V$339)</f>
        <v>33600</v>
      </c>
      <c r="X341" s="348"/>
      <c r="Y341" s="63"/>
      <c r="Z341" s="63"/>
      <c r="AA341" s="63"/>
      <c r="AB341" s="64"/>
      <c r="AC341" s="31"/>
    </row>
    <row r="342" spans="2:29" outlineLevel="1" x14ac:dyDescent="0.35">
      <c r="B342" s="10" t="str">
        <f t="shared" si="16"/>
        <v/>
      </c>
      <c r="F342" s="78"/>
      <c r="G342" s="63">
        <v>5</v>
      </c>
      <c r="H342" s="68"/>
      <c r="I342" s="68"/>
      <c r="J342" s="63"/>
      <c r="K342" s="63"/>
      <c r="L342" s="67" t="s">
        <v>85</v>
      </c>
      <c r="M342" s="285" t="str">
        <f>$L$59</f>
        <v>B</v>
      </c>
      <c r="N342" s="31" t="str">
        <f>$M$59</f>
        <v>System Design, Framework and Test Cases</v>
      </c>
      <c r="O342" s="65">
        <f>S59</f>
        <v>129</v>
      </c>
      <c r="P342" s="104">
        <f>ROUND(DESIGN_EFFORT/5,0)</f>
        <v>26</v>
      </c>
      <c r="Q342" s="45"/>
      <c r="R342" s="270">
        <v>0.7</v>
      </c>
      <c r="S342" s="44">
        <v>0.2</v>
      </c>
      <c r="T342" s="45"/>
      <c r="U342" s="44">
        <v>0.1</v>
      </c>
      <c r="V342" s="47"/>
      <c r="W342" s="347">
        <f t="shared" si="17"/>
        <v>28896</v>
      </c>
      <c r="X342" s="348"/>
      <c r="Y342" s="63"/>
      <c r="Z342" s="63"/>
      <c r="AA342" s="63"/>
      <c r="AB342" s="64"/>
      <c r="AC342" s="31"/>
    </row>
    <row r="343" spans="2:29" outlineLevel="1" x14ac:dyDescent="0.35">
      <c r="B343" s="10" t="str">
        <f t="shared" si="16"/>
        <v/>
      </c>
      <c r="F343" s="78"/>
      <c r="G343" s="63">
        <v>6</v>
      </c>
      <c r="H343" s="68"/>
      <c r="I343" s="68"/>
      <c r="J343" s="63"/>
      <c r="K343" s="63"/>
      <c r="L343" s="67" t="s">
        <v>87</v>
      </c>
      <c r="M343" s="285" t="str">
        <f>$L$90</f>
        <v>C</v>
      </c>
      <c r="N343" s="31" t="str">
        <f>$M$90</f>
        <v>Development and Unit Testing</v>
      </c>
      <c r="O343" s="65">
        <f>S90</f>
        <v>218</v>
      </c>
      <c r="P343" s="104">
        <f>ROUND(DEV_EFFORT/5,0)</f>
        <v>44</v>
      </c>
      <c r="Q343" s="45"/>
      <c r="R343" s="269"/>
      <c r="S343" s="44">
        <v>0.3</v>
      </c>
      <c r="T343" s="105">
        <v>0.7</v>
      </c>
      <c r="U343" s="45"/>
      <c r="V343" s="47"/>
      <c r="W343" s="347">
        <f t="shared" si="17"/>
        <v>48832</v>
      </c>
      <c r="X343" s="348"/>
      <c r="Y343" s="63"/>
      <c r="Z343" s="63"/>
      <c r="AA343" s="63"/>
      <c r="AB343" s="64"/>
      <c r="AC343" s="31"/>
    </row>
    <row r="344" spans="2:29" outlineLevel="1" x14ac:dyDescent="0.35">
      <c r="B344" s="10" t="str">
        <f t="shared" si="16"/>
        <v/>
      </c>
      <c r="F344" s="78"/>
      <c r="G344" s="68">
        <v>7</v>
      </c>
      <c r="H344" s="68"/>
      <c r="I344" s="68"/>
      <c r="J344" s="63"/>
      <c r="K344" s="63"/>
      <c r="L344" s="67" t="s">
        <v>11</v>
      </c>
      <c r="M344" s="285" t="str">
        <f>$L$220</f>
        <v>D</v>
      </c>
      <c r="N344" s="31" t="str">
        <f>$M$220</f>
        <v>System Testing and Stabilization</v>
      </c>
      <c r="O344" s="65">
        <f>S220</f>
        <v>266</v>
      </c>
      <c r="P344" s="104">
        <f>ROUND(QA_EFFORT/5,0)</f>
        <v>53</v>
      </c>
      <c r="Q344" s="45"/>
      <c r="R344" s="269"/>
      <c r="S344" s="44">
        <v>0.1</v>
      </c>
      <c r="T344" s="44">
        <v>0.1</v>
      </c>
      <c r="U344" s="105">
        <v>0.8</v>
      </c>
      <c r="V344" s="47"/>
      <c r="W344" s="347">
        <f t="shared" si="17"/>
        <v>59584.000000000007</v>
      </c>
      <c r="X344" s="348"/>
      <c r="Y344" s="63"/>
      <c r="Z344" s="63"/>
      <c r="AA344" s="63"/>
      <c r="AB344" s="64"/>
      <c r="AC344" s="31"/>
    </row>
    <row r="345" spans="2:29" outlineLevel="1" x14ac:dyDescent="0.35">
      <c r="B345" s="10" t="str">
        <f t="shared" si="16"/>
        <v/>
      </c>
      <c r="F345" s="78"/>
      <c r="G345" s="63">
        <v>8</v>
      </c>
      <c r="H345" s="68"/>
      <c r="I345" s="68"/>
      <c r="J345" s="63"/>
      <c r="K345" s="63"/>
      <c r="L345" s="67" t="s">
        <v>86</v>
      </c>
      <c r="M345" s="285" t="str">
        <f>$L$256</f>
        <v>E</v>
      </c>
      <c r="N345" s="31" t="str">
        <f>$M$256</f>
        <v>Deployment, UAT and Documentation</v>
      </c>
      <c r="O345" s="65">
        <f>S256</f>
        <v>89</v>
      </c>
      <c r="P345" s="104">
        <f>ROUND(UAT_EFFORT/5,0)</f>
        <v>18</v>
      </c>
      <c r="Q345" s="45"/>
      <c r="R345" s="269"/>
      <c r="S345" s="44">
        <v>0.4</v>
      </c>
      <c r="T345" s="105">
        <v>0.4</v>
      </c>
      <c r="U345" s="44">
        <v>0.2</v>
      </c>
      <c r="V345" s="47"/>
      <c r="W345" s="347">
        <f t="shared" si="17"/>
        <v>19936</v>
      </c>
      <c r="X345" s="348"/>
      <c r="Y345" s="63"/>
      <c r="Z345" s="63"/>
      <c r="AA345" s="63"/>
      <c r="AB345" s="64"/>
      <c r="AC345" s="31"/>
    </row>
    <row r="346" spans="2:29" outlineLevel="1" x14ac:dyDescent="0.35">
      <c r="B346" s="10" t="str">
        <f t="shared" si="16"/>
        <v/>
      </c>
      <c r="F346" s="78"/>
      <c r="G346" s="63">
        <v>9</v>
      </c>
      <c r="H346" s="68"/>
      <c r="I346" s="68"/>
      <c r="J346" s="63"/>
      <c r="K346" s="63"/>
      <c r="L346" s="67" t="s">
        <v>76</v>
      </c>
      <c r="M346" s="285" t="str">
        <f>$L$286</f>
        <v>F</v>
      </c>
      <c r="N346" s="31" t="str">
        <f>$M$286</f>
        <v>Others</v>
      </c>
      <c r="O346" s="65">
        <f>S286</f>
        <v>86</v>
      </c>
      <c r="P346" s="104">
        <f>ROUND(OTHER_EFFORT/5,0)</f>
        <v>17</v>
      </c>
      <c r="Q346" s="45"/>
      <c r="R346" s="269">
        <v>0.2</v>
      </c>
      <c r="S346" s="105">
        <v>0.8</v>
      </c>
      <c r="T346" s="45"/>
      <c r="U346" s="45"/>
      <c r="V346" s="47"/>
      <c r="W346" s="349">
        <f t="shared" si="17"/>
        <v>19264</v>
      </c>
      <c r="X346" s="350"/>
      <c r="Y346" s="63"/>
      <c r="Z346" s="63"/>
      <c r="AA346" s="63"/>
      <c r="AB346" s="64"/>
      <c r="AC346" s="31"/>
    </row>
    <row r="347" spans="2:29" ht="21" outlineLevel="1" x14ac:dyDescent="0.35">
      <c r="F347" s="78"/>
      <c r="G347" s="68">
        <v>10</v>
      </c>
      <c r="H347" s="68"/>
      <c r="I347" s="68"/>
      <c r="J347" s="63"/>
      <c r="K347" s="63"/>
      <c r="L347" s="63"/>
      <c r="M347" s="294"/>
      <c r="N347" s="100"/>
      <c r="O347" s="261">
        <f>SUM(O341:O346)</f>
        <v>938</v>
      </c>
      <c r="P347" s="262">
        <f>SUM(P341:P346)</f>
        <v>188</v>
      </c>
      <c r="Q347" s="352" t="s">
        <v>116</v>
      </c>
      <c r="R347" s="352"/>
      <c r="S347" s="352"/>
      <c r="T347" s="352"/>
      <c r="U347" s="352"/>
      <c r="V347" s="352"/>
      <c r="W347" s="351">
        <f>SUM(W341:W346)</f>
        <v>210112</v>
      </c>
      <c r="X347" s="351"/>
      <c r="Y347" s="63"/>
      <c r="Z347" s="63"/>
      <c r="AA347" s="63"/>
      <c r="AB347" s="64"/>
      <c r="AC347" s="31"/>
    </row>
    <row r="348" spans="2:29" outlineLevel="1" x14ac:dyDescent="0.35">
      <c r="F348" s="78"/>
      <c r="G348" s="63"/>
      <c r="H348" s="63"/>
      <c r="I348" s="63"/>
      <c r="J348" s="63"/>
      <c r="K348" s="63"/>
      <c r="L348" s="63"/>
      <c r="M348" s="294"/>
      <c r="N348" s="64"/>
      <c r="O348" s="64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4"/>
      <c r="AC348" s="31"/>
    </row>
    <row r="349" spans="2:29" ht="15" customHeight="1" outlineLevel="1" x14ac:dyDescent="0.35">
      <c r="F349" s="78"/>
      <c r="G349" s="63"/>
      <c r="H349" s="63"/>
      <c r="I349" s="63"/>
      <c r="J349" s="63"/>
      <c r="K349" s="63"/>
      <c r="L349" s="63"/>
      <c r="M349" s="294"/>
      <c r="N349" s="64"/>
      <c r="O349" s="64"/>
      <c r="P349" s="63"/>
      <c r="Q349" s="319" t="s">
        <v>114</v>
      </c>
      <c r="R349" s="319"/>
      <c r="S349" s="319"/>
      <c r="T349" s="319"/>
      <c r="U349" s="319"/>
      <c r="V349" s="319"/>
      <c r="W349" s="353" t="s">
        <v>452</v>
      </c>
      <c r="X349" s="353"/>
      <c r="Y349" s="222"/>
      <c r="Z349" s="222"/>
      <c r="AA349" s="222"/>
      <c r="AB349" s="64"/>
      <c r="AC349" s="31"/>
    </row>
    <row r="350" spans="2:29" ht="15" customHeight="1" outlineLevel="1" x14ac:dyDescent="0.35">
      <c r="F350" s="78"/>
      <c r="G350" s="63"/>
      <c r="H350" s="63"/>
      <c r="I350" s="63"/>
      <c r="J350" s="63"/>
      <c r="K350" s="63"/>
      <c r="L350" s="63"/>
      <c r="M350" s="285"/>
      <c r="N350" s="31"/>
      <c r="O350" s="107" t="s">
        <v>112</v>
      </c>
      <c r="P350" s="108" t="s">
        <v>113</v>
      </c>
      <c r="Q350" s="295" t="s">
        <v>8</v>
      </c>
      <c r="R350" s="295" t="s">
        <v>9</v>
      </c>
      <c r="S350" s="295" t="s">
        <v>10</v>
      </c>
      <c r="T350" s="295" t="s">
        <v>12</v>
      </c>
      <c r="U350" s="295" t="s">
        <v>11</v>
      </c>
      <c r="V350" s="296" t="s">
        <v>13</v>
      </c>
      <c r="W350" s="353"/>
      <c r="X350" s="353"/>
      <c r="Y350" s="63"/>
      <c r="Z350" s="102"/>
      <c r="AA350" s="102"/>
      <c r="AB350" s="102"/>
      <c r="AC350" s="102"/>
    </row>
    <row r="351" spans="2:29" ht="15" customHeight="1" outlineLevel="1" x14ac:dyDescent="0.35">
      <c r="F351" s="78"/>
      <c r="G351" s="63"/>
      <c r="H351" s="63"/>
      <c r="I351" s="63"/>
      <c r="J351" s="63"/>
      <c r="K351" s="63"/>
      <c r="L351" s="63"/>
      <c r="M351" s="285" t="str">
        <f>$L$12</f>
        <v>A</v>
      </c>
      <c r="N351" s="31" t="str">
        <f>$M$12</f>
        <v>Discovery / Requirement Analysis</v>
      </c>
      <c r="O351" s="112">
        <v>42583</v>
      </c>
      <c r="P351" s="109">
        <f>O351+(((P341*REQ_BA_PERCENT)/REQ_BA_COUNT)*7)</f>
        <v>42672.25</v>
      </c>
      <c r="Q351" s="106">
        <v>2</v>
      </c>
      <c r="R351" s="223">
        <v>1</v>
      </c>
      <c r="S351" s="101"/>
      <c r="T351" s="101"/>
      <c r="U351" s="101"/>
      <c r="V351" s="54">
        <v>1</v>
      </c>
      <c r="W351" s="259">
        <v>0.75</v>
      </c>
      <c r="X351" s="63"/>
      <c r="Y351" s="343" t="s">
        <v>194</v>
      </c>
      <c r="Z351" s="343"/>
      <c r="AA351" s="343"/>
      <c r="AB351" s="64"/>
      <c r="AC351" s="103"/>
    </row>
    <row r="352" spans="2:29" outlineLevel="1" x14ac:dyDescent="0.35">
      <c r="F352" s="78"/>
      <c r="G352" s="63"/>
      <c r="H352" s="63"/>
      <c r="I352" s="63"/>
      <c r="J352" s="63"/>
      <c r="K352" s="63"/>
      <c r="L352" s="63"/>
      <c r="M352" s="285" t="str">
        <f>$L$59</f>
        <v>B</v>
      </c>
      <c r="N352" s="31" t="str">
        <f>$M$59</f>
        <v>System Design, Framework and Test Cases</v>
      </c>
      <c r="O352" s="110">
        <f>O351+((P351-O351)*W351)+1</f>
        <v>42650.9375</v>
      </c>
      <c r="P352" s="109">
        <f>O352+(((P342*DESIGN_TA_PERCENT)/DESIGN_TA_COUNT)*7)</f>
        <v>42693.404166666667</v>
      </c>
      <c r="Q352" s="101">
        <v>1</v>
      </c>
      <c r="R352" s="224">
        <v>3</v>
      </c>
      <c r="S352" s="101">
        <v>1</v>
      </c>
      <c r="T352" s="101"/>
      <c r="U352" s="101">
        <v>1</v>
      </c>
      <c r="V352" s="54"/>
      <c r="W352" s="260">
        <v>0.75</v>
      </c>
      <c r="X352" s="63"/>
      <c r="Y352" s="343"/>
      <c r="Z352" s="343"/>
      <c r="AA352" s="343"/>
      <c r="AB352" s="64"/>
      <c r="AC352" s="31"/>
    </row>
    <row r="353" spans="1:30" outlineLevel="1" x14ac:dyDescent="0.35">
      <c r="F353" s="78"/>
      <c r="G353" s="63"/>
      <c r="H353" s="63"/>
      <c r="I353" s="63"/>
      <c r="J353" s="63"/>
      <c r="K353" s="63"/>
      <c r="L353" s="63"/>
      <c r="M353" s="285" t="str">
        <f>$L$90</f>
        <v>C</v>
      </c>
      <c r="N353" s="31" t="str">
        <f>$M$90</f>
        <v>Development and Unit Testing</v>
      </c>
      <c r="O353" s="110">
        <f>O352+((P352-O352)*W352)+1</f>
        <v>42683.787499999999</v>
      </c>
      <c r="P353" s="109">
        <f>O353+(((P343*DEV_DEV_PERCENT)/DEV_DEV_COUNT)*7)</f>
        <v>42791.587500000001</v>
      </c>
      <c r="Q353" s="101"/>
      <c r="R353" s="223"/>
      <c r="S353" s="101">
        <v>1</v>
      </c>
      <c r="T353" s="106">
        <v>2</v>
      </c>
      <c r="U353" s="101"/>
      <c r="V353" s="54"/>
      <c r="W353" s="259">
        <v>0.75</v>
      </c>
      <c r="X353" s="63"/>
      <c r="Y353" s="343"/>
      <c r="Z353" s="343"/>
      <c r="AA353" s="343"/>
      <c r="AB353" s="64"/>
      <c r="AC353" s="31"/>
    </row>
    <row r="354" spans="1:30" outlineLevel="1" x14ac:dyDescent="0.35">
      <c r="F354" s="78"/>
      <c r="G354" s="63"/>
      <c r="H354" s="63"/>
      <c r="I354" s="63"/>
      <c r="J354" s="63"/>
      <c r="K354" s="63"/>
      <c r="L354" s="63"/>
      <c r="M354" s="285" t="str">
        <f>$L$220</f>
        <v>D</v>
      </c>
      <c r="N354" s="31" t="str">
        <f>$M$220</f>
        <v>System Testing and Stabilization</v>
      </c>
      <c r="O354" s="110">
        <f>O353+((P353-O353)*W353)+1</f>
        <v>42765.637499999997</v>
      </c>
      <c r="P354" s="109">
        <f>O354+(((P344*TESTING_QA_PERCENT)/TESTING_QA_COUNT)*7)</f>
        <v>43062.4375</v>
      </c>
      <c r="Q354" s="101"/>
      <c r="R354" s="223"/>
      <c r="S354" s="101">
        <v>1</v>
      </c>
      <c r="T354" s="101">
        <v>2</v>
      </c>
      <c r="U354" s="106">
        <v>1</v>
      </c>
      <c r="V354" s="256"/>
      <c r="W354" s="259">
        <v>1</v>
      </c>
      <c r="X354" s="63"/>
      <c r="Y354" s="343"/>
      <c r="Z354" s="343"/>
      <c r="AA354" s="343"/>
      <c r="AB354" s="64"/>
      <c r="AC354" s="31"/>
    </row>
    <row r="355" spans="1:30" outlineLevel="1" x14ac:dyDescent="0.35">
      <c r="F355" s="78"/>
      <c r="G355" s="63"/>
      <c r="H355" s="63"/>
      <c r="I355" s="63"/>
      <c r="J355" s="63"/>
      <c r="K355" s="63"/>
      <c r="L355" s="63"/>
      <c r="M355" s="285" t="str">
        <f>$L$256</f>
        <v>E</v>
      </c>
      <c r="N355" s="31" t="str">
        <f>$M$256</f>
        <v>Deployment, UAT and Documentation</v>
      </c>
      <c r="O355" s="110">
        <f>O354+((P354-O354)*W354)+1</f>
        <v>43063.4375</v>
      </c>
      <c r="P355" s="109">
        <f>O355+(((P345*UAT_DEV_PERCENT)/UAT_DEV_COUNT)*7)</f>
        <v>43088.637499999997</v>
      </c>
      <c r="Q355" s="101"/>
      <c r="R355" s="223"/>
      <c r="S355" s="101">
        <v>1</v>
      </c>
      <c r="T355" s="106">
        <v>2</v>
      </c>
      <c r="U355" s="101">
        <v>1</v>
      </c>
      <c r="V355" s="54"/>
      <c r="W355" s="259">
        <v>1</v>
      </c>
      <c r="X355" s="63"/>
      <c r="Y355" s="343"/>
      <c r="Z355" s="343"/>
      <c r="AA355" s="343"/>
      <c r="AB355" s="64"/>
      <c r="AC355" s="31"/>
    </row>
    <row r="356" spans="1:30" outlineLevel="1" x14ac:dyDescent="0.35">
      <c r="F356" s="78"/>
      <c r="G356" s="63"/>
      <c r="H356" s="63"/>
      <c r="I356" s="63"/>
      <c r="J356" s="63"/>
      <c r="K356" s="63"/>
      <c r="L356" s="63"/>
      <c r="M356" s="285" t="str">
        <f>$L$286</f>
        <v>F</v>
      </c>
      <c r="N356" s="31" t="str">
        <f>$M$286</f>
        <v>Others</v>
      </c>
      <c r="O356" s="111">
        <f>O355+((P355-O355)*W355)+1</f>
        <v>43089.637499999997</v>
      </c>
      <c r="P356" s="118">
        <f>O356+(((P346*OTHER_TL_PERCENT)/OTHER_TL_COUNT)*7)</f>
        <v>43184.837499999994</v>
      </c>
      <c r="Q356" s="119"/>
      <c r="R356" s="225">
        <v>0.5</v>
      </c>
      <c r="S356" s="120">
        <v>1</v>
      </c>
      <c r="T356" s="119"/>
      <c r="U356" s="119"/>
      <c r="V356" s="121"/>
      <c r="W356" s="257"/>
      <c r="X356" s="63"/>
      <c r="Y356" s="63"/>
      <c r="Z356" s="63"/>
      <c r="AA356" s="63"/>
      <c r="AB356" s="64"/>
      <c r="AC356" s="31"/>
    </row>
    <row r="357" spans="1:30" ht="15.5" outlineLevel="1" x14ac:dyDescent="0.35">
      <c r="F357" s="78"/>
      <c r="G357" s="63">
        <v>1</v>
      </c>
      <c r="H357" s="63"/>
      <c r="I357" s="63"/>
      <c r="J357" s="63"/>
      <c r="K357" s="63"/>
      <c r="L357" s="28"/>
      <c r="M357" s="285"/>
      <c r="N357" s="28"/>
      <c r="O357" s="115" t="s">
        <v>118</v>
      </c>
      <c r="P357" s="124">
        <f>NETWORKDAYS(START_DATE,AUTOMATED_END_DATE)/5</f>
        <v>86</v>
      </c>
      <c r="Q357" s="123" t="s">
        <v>94</v>
      </c>
      <c r="R357" s="122"/>
      <c r="S357" s="117" t="s">
        <v>117</v>
      </c>
      <c r="T357" s="329">
        <f>AUTOMATED_END_DATE</f>
        <v>43184.837499999994</v>
      </c>
      <c r="U357" s="329"/>
      <c r="V357" s="258"/>
      <c r="W357" s="258"/>
      <c r="X357" s="258"/>
      <c r="Y357" s="28"/>
      <c r="Z357" s="28"/>
      <c r="AA357" s="28"/>
      <c r="AB357" s="31"/>
      <c r="AC357" s="31"/>
    </row>
    <row r="358" spans="1:30" ht="15.5" outlineLevel="1" x14ac:dyDescent="0.35">
      <c r="F358" s="78"/>
      <c r="G358" s="63">
        <v>2</v>
      </c>
      <c r="H358" s="63"/>
      <c r="I358" s="63"/>
      <c r="J358" s="63"/>
      <c r="K358" s="63"/>
      <c r="L358" s="28"/>
      <c r="M358" s="285"/>
      <c r="N358" s="28"/>
      <c r="O358" s="115" t="s">
        <v>119</v>
      </c>
      <c r="P358" s="124">
        <f>NETWORKDAYS(START_DATE,MANUAL_END_DATE)/5</f>
        <v>-143</v>
      </c>
      <c r="Q358" s="123" t="s">
        <v>94</v>
      </c>
      <c r="R358" s="116"/>
      <c r="S358" s="117" t="s">
        <v>117</v>
      </c>
      <c r="T358" s="329">
        <f>MANUAL_END_DATE</f>
        <v>41583</v>
      </c>
      <c r="U358" s="329"/>
      <c r="V358" s="258"/>
      <c r="W358" s="258"/>
      <c r="X358" s="258"/>
      <c r="Y358" s="28"/>
      <c r="Z358" s="28"/>
      <c r="AA358" s="28"/>
      <c r="AB358" s="31"/>
      <c r="AC358" s="31"/>
    </row>
    <row r="359" spans="1:30" ht="15" customHeight="1" outlineLevel="1" x14ac:dyDescent="0.35">
      <c r="F359" s="78"/>
      <c r="G359" s="63"/>
      <c r="H359" s="63"/>
      <c r="I359" s="63"/>
      <c r="J359" s="63"/>
      <c r="K359" s="63"/>
      <c r="L359" s="28"/>
      <c r="M359" s="285"/>
      <c r="N359" s="28"/>
      <c r="O359" s="113"/>
      <c r="P359" s="66"/>
      <c r="Q359" s="114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31"/>
      <c r="AC359" s="31"/>
    </row>
    <row r="360" spans="1:30" outlineLevel="1" x14ac:dyDescent="0.35">
      <c r="F360" s="78"/>
      <c r="G360" s="63">
        <v>3</v>
      </c>
      <c r="H360" s="63"/>
      <c r="I360" s="63"/>
      <c r="J360" s="63"/>
      <c r="K360" s="63"/>
      <c r="L360" s="28"/>
      <c r="M360" s="285"/>
      <c r="N360" s="31"/>
      <c r="O360" s="31"/>
      <c r="P360" s="28"/>
      <c r="Q360" s="28"/>
      <c r="R360" s="28"/>
      <c r="S360" s="75" t="s">
        <v>115</v>
      </c>
      <c r="T360" s="76" t="s">
        <v>92</v>
      </c>
      <c r="U360" s="28"/>
      <c r="V360" s="28"/>
      <c r="W360" s="28"/>
      <c r="X360" s="28"/>
      <c r="Y360" s="28"/>
      <c r="Z360" s="28"/>
      <c r="AA360" s="28"/>
      <c r="AB360" s="31"/>
      <c r="AC360" s="31"/>
    </row>
    <row r="361" spans="1:30" outlineLevel="1" x14ac:dyDescent="0.35">
      <c r="F361" s="78"/>
      <c r="G361" s="63"/>
      <c r="H361" s="63"/>
      <c r="I361" s="63"/>
      <c r="J361" s="63"/>
      <c r="K361" s="63"/>
      <c r="L361" s="28"/>
      <c r="M361" s="285"/>
      <c r="N361" s="31"/>
      <c r="O361" s="31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31"/>
      <c r="AC361" s="31"/>
    </row>
    <row r="362" spans="1:30" s="11" customFormat="1" ht="20.25" customHeight="1" outlineLevel="1" x14ac:dyDescent="0.35">
      <c r="A362" s="93"/>
      <c r="B362" s="10"/>
      <c r="C362" s="78"/>
      <c r="D362" s="78"/>
      <c r="E362" s="78"/>
      <c r="F362" s="78"/>
      <c r="G362" s="43"/>
      <c r="H362" s="43"/>
      <c r="I362" s="43"/>
      <c r="J362" s="43"/>
      <c r="K362" s="43"/>
      <c r="L362" s="43"/>
      <c r="M362" s="281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12"/>
    </row>
    <row r="363" spans="1:30" s="11" customFormat="1" x14ac:dyDescent="0.35">
      <c r="A363" s="93"/>
      <c r="B363" s="10"/>
      <c r="C363" s="80"/>
      <c r="D363" s="80"/>
      <c r="E363" s="80"/>
      <c r="F363" s="78"/>
      <c r="M363" s="275"/>
      <c r="N363" s="12"/>
      <c r="O363" s="12"/>
      <c r="AB363" s="12"/>
      <c r="AC363" s="12"/>
      <c r="AD363" s="12"/>
    </row>
    <row r="364" spans="1:30" s="11" customFormat="1" ht="20.25" customHeight="1" x14ac:dyDescent="0.35">
      <c r="A364" s="93"/>
      <c r="B364" s="10"/>
      <c r="C364" s="78"/>
      <c r="D364" s="78"/>
      <c r="E364" s="78"/>
      <c r="F364" s="78"/>
      <c r="G364" s="317" t="s">
        <v>48</v>
      </c>
      <c r="H364" s="317"/>
      <c r="I364" s="178"/>
      <c r="J364" s="43"/>
      <c r="K364" s="43"/>
      <c r="L364" s="39"/>
      <c r="M364" s="289" t="s">
        <v>185</v>
      </c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219" t="str">
        <f>TEMPLATE_NAME&amp;" "&amp;TEMPLATE_VER</f>
        <v>AG Estimation Template -  Version 2.0.4</v>
      </c>
      <c r="AC364" s="39"/>
      <c r="AD364" s="12"/>
    </row>
    <row r="365" spans="1:30" s="11" customFormat="1" outlineLevel="1" x14ac:dyDescent="0.35">
      <c r="A365" s="93"/>
      <c r="B365" s="10"/>
      <c r="C365" s="80"/>
      <c r="D365" s="80"/>
      <c r="E365" s="80"/>
      <c r="F365" s="78"/>
      <c r="G365" s="28"/>
      <c r="H365" s="28"/>
      <c r="I365" s="28"/>
      <c r="J365" s="28"/>
      <c r="K365" s="28"/>
      <c r="L365" s="28"/>
      <c r="M365" s="285"/>
      <c r="N365" s="31"/>
      <c r="O365" s="31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31"/>
      <c r="AC365" s="31"/>
      <c r="AD365" s="12"/>
    </row>
    <row r="366" spans="1:30" s="11" customFormat="1" ht="15" customHeight="1" outlineLevel="1" x14ac:dyDescent="0.35">
      <c r="A366" s="93"/>
      <c r="B366" s="10"/>
      <c r="C366" s="80"/>
      <c r="D366" s="80"/>
      <c r="E366" s="80"/>
      <c r="F366" s="78"/>
      <c r="G366" s="28"/>
      <c r="H366" s="28"/>
      <c r="I366" s="28"/>
      <c r="J366" s="28"/>
      <c r="K366" s="28"/>
      <c r="L366" s="28"/>
      <c r="M366" s="285"/>
      <c r="N366" s="142" t="s">
        <v>130</v>
      </c>
      <c r="O366" s="31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31"/>
      <c r="AC366" s="31"/>
      <c r="AD366" s="12"/>
    </row>
    <row r="367" spans="1:30" s="11" customFormat="1" ht="14.25" customHeight="1" outlineLevel="1" x14ac:dyDescent="0.35">
      <c r="A367" s="93"/>
      <c r="B367" s="10"/>
      <c r="C367" s="78"/>
      <c r="D367" s="78"/>
      <c r="E367" s="78"/>
      <c r="F367" s="78"/>
      <c r="G367" s="28"/>
      <c r="H367" s="28"/>
      <c r="I367" s="28"/>
      <c r="J367" s="28"/>
      <c r="K367" s="28"/>
      <c r="L367" s="28"/>
      <c r="M367" s="285"/>
      <c r="N367" s="157" t="s">
        <v>5</v>
      </c>
      <c r="O367" s="155" t="s">
        <v>5</v>
      </c>
      <c r="P367" s="187"/>
      <c r="Q367" s="187"/>
      <c r="R367" s="188"/>
      <c r="S367" s="189"/>
      <c r="T367" s="187"/>
      <c r="U367" s="187"/>
      <c r="V367" s="187"/>
      <c r="W367" s="187"/>
      <c r="X367" s="28"/>
      <c r="Y367" s="28"/>
      <c r="Z367" s="28"/>
      <c r="AA367" s="28"/>
      <c r="AB367" s="28"/>
      <c r="AC367" s="31"/>
      <c r="AD367" s="12"/>
    </row>
    <row r="368" spans="1:30" s="11" customFormat="1" ht="14.25" customHeight="1" outlineLevel="1" x14ac:dyDescent="0.35">
      <c r="A368" s="93"/>
      <c r="B368" s="10"/>
      <c r="C368" s="78"/>
      <c r="D368" s="78"/>
      <c r="E368" s="78"/>
      <c r="F368" s="78"/>
      <c r="G368" s="28"/>
      <c r="H368" s="28"/>
      <c r="I368" s="28"/>
      <c r="J368" s="28"/>
      <c r="K368" s="28"/>
      <c r="L368" s="28"/>
      <c r="M368" s="285"/>
      <c r="N368" s="157" t="s">
        <v>30</v>
      </c>
      <c r="O368" s="156" t="s">
        <v>30</v>
      </c>
      <c r="P368" s="187"/>
      <c r="Q368" s="187"/>
      <c r="R368" s="189"/>
      <c r="S368" s="189"/>
      <c r="T368" s="187"/>
      <c r="U368" s="187"/>
      <c r="V368" s="187"/>
      <c r="W368" s="187"/>
      <c r="X368" s="28"/>
      <c r="Y368" s="28"/>
      <c r="Z368" s="28"/>
      <c r="AA368" s="28"/>
      <c r="AB368" s="28"/>
      <c r="AC368" s="31"/>
      <c r="AD368" s="12"/>
    </row>
    <row r="369" spans="1:30" s="11" customFormat="1" ht="14.25" customHeight="1" outlineLevel="1" x14ac:dyDescent="0.35">
      <c r="A369" s="93"/>
      <c r="B369" s="10"/>
      <c r="C369" s="78"/>
      <c r="D369" s="78"/>
      <c r="E369" s="78"/>
      <c r="F369" s="78"/>
      <c r="G369" s="28"/>
      <c r="H369" s="28"/>
      <c r="I369" s="28"/>
      <c r="J369" s="28"/>
      <c r="K369" s="28"/>
      <c r="L369" s="28"/>
      <c r="M369" s="285"/>
      <c r="N369" s="157" t="s">
        <v>36</v>
      </c>
      <c r="O369" s="156" t="s">
        <v>23</v>
      </c>
      <c r="P369" s="187"/>
      <c r="Q369" s="187"/>
      <c r="R369" s="189"/>
      <c r="S369" s="140"/>
      <c r="T369" s="140"/>
      <c r="U369" s="140"/>
      <c r="V369" s="187"/>
      <c r="W369" s="187"/>
      <c r="X369" s="28"/>
      <c r="Y369" s="28"/>
      <c r="Z369" s="28"/>
      <c r="AA369" s="28"/>
      <c r="AB369" s="28"/>
      <c r="AC369" s="31"/>
      <c r="AD369" s="12"/>
    </row>
    <row r="370" spans="1:30" s="11" customFormat="1" ht="14.25" customHeight="1" outlineLevel="1" x14ac:dyDescent="0.35">
      <c r="A370" s="93"/>
      <c r="B370" s="10"/>
      <c r="C370" s="78"/>
      <c r="D370" s="78"/>
      <c r="E370" s="78"/>
      <c r="F370" s="78"/>
      <c r="G370" s="28"/>
      <c r="H370" s="28"/>
      <c r="I370" s="28"/>
      <c r="J370" s="28"/>
      <c r="K370" s="28"/>
      <c r="L370" s="28"/>
      <c r="M370" s="285"/>
      <c r="N370" s="157" t="s">
        <v>31</v>
      </c>
      <c r="O370" s="156" t="s">
        <v>23</v>
      </c>
      <c r="P370" s="187"/>
      <c r="Q370" s="187"/>
      <c r="R370" s="189"/>
      <c r="S370" s="140"/>
      <c r="T370" s="140"/>
      <c r="U370" s="140"/>
      <c r="V370" s="187"/>
      <c r="W370" s="187"/>
      <c r="X370" s="28"/>
      <c r="Y370" s="28"/>
      <c r="Z370" s="28"/>
      <c r="AA370" s="28"/>
      <c r="AB370" s="28"/>
      <c r="AC370" s="31"/>
      <c r="AD370" s="12"/>
    </row>
    <row r="371" spans="1:30" s="11" customFormat="1" ht="14.25" customHeight="1" outlineLevel="1" x14ac:dyDescent="0.35">
      <c r="A371" s="93"/>
      <c r="B371" s="10"/>
      <c r="C371" s="78"/>
      <c r="D371" s="78"/>
      <c r="E371" s="78"/>
      <c r="F371" s="78"/>
      <c r="G371" s="28"/>
      <c r="H371" s="28"/>
      <c r="I371" s="28"/>
      <c r="J371" s="28"/>
      <c r="K371" s="28"/>
      <c r="L371" s="28"/>
      <c r="M371" s="285"/>
      <c r="N371" s="157" t="s">
        <v>56</v>
      </c>
      <c r="O371" s="156" t="s">
        <v>56</v>
      </c>
      <c r="P371" s="187"/>
      <c r="Q371" s="187"/>
      <c r="R371" s="189"/>
      <c r="S371" s="140"/>
      <c r="T371" s="140"/>
      <c r="U371" s="140"/>
      <c r="V371" s="187"/>
      <c r="W371" s="187"/>
      <c r="X371" s="28"/>
      <c r="Y371" s="28"/>
      <c r="Z371" s="28"/>
      <c r="AA371" s="28"/>
      <c r="AB371" s="28"/>
      <c r="AC371" s="31"/>
      <c r="AD371" s="12"/>
    </row>
    <row r="372" spans="1:30" s="11" customFormat="1" ht="14.25" customHeight="1" outlineLevel="1" x14ac:dyDescent="0.35">
      <c r="A372" s="93"/>
      <c r="B372" s="10"/>
      <c r="C372" s="78"/>
      <c r="D372" s="78"/>
      <c r="E372" s="78"/>
      <c r="F372" s="78"/>
      <c r="G372" s="28"/>
      <c r="H372" s="28"/>
      <c r="I372" s="28"/>
      <c r="J372" s="28"/>
      <c r="K372" s="28"/>
      <c r="L372" s="28"/>
      <c r="M372" s="285"/>
      <c r="N372" s="157" t="s">
        <v>67</v>
      </c>
      <c r="O372" s="156" t="s">
        <v>23</v>
      </c>
      <c r="P372" s="187"/>
      <c r="Q372" s="187"/>
      <c r="R372" s="155"/>
      <c r="S372" s="140"/>
      <c r="T372" s="140"/>
      <c r="U372" s="140"/>
      <c r="V372" s="187"/>
      <c r="W372" s="187"/>
      <c r="X372" s="28"/>
      <c r="Y372" s="28"/>
      <c r="Z372" s="28"/>
      <c r="AA372" s="28"/>
      <c r="AB372" s="28"/>
      <c r="AC372" s="31"/>
      <c r="AD372" s="12"/>
    </row>
    <row r="373" spans="1:30" s="11" customFormat="1" ht="14.25" customHeight="1" outlineLevel="1" x14ac:dyDescent="0.35">
      <c r="A373" s="93"/>
      <c r="B373" s="10"/>
      <c r="C373" s="78"/>
      <c r="D373" s="78"/>
      <c r="E373" s="78"/>
      <c r="F373" s="78"/>
      <c r="G373" s="28"/>
      <c r="H373" s="28"/>
      <c r="I373" s="28"/>
      <c r="J373" s="28"/>
      <c r="K373" s="28"/>
      <c r="L373" s="28"/>
      <c r="M373" s="285"/>
      <c r="N373" s="157" t="s">
        <v>4</v>
      </c>
      <c r="O373" s="155" t="s">
        <v>23</v>
      </c>
      <c r="P373" s="187"/>
      <c r="Q373" s="187"/>
      <c r="R373" s="187"/>
      <c r="S373" s="140"/>
      <c r="T373" s="140"/>
      <c r="U373" s="140"/>
      <c r="V373" s="187"/>
      <c r="W373" s="187"/>
      <c r="X373" s="28"/>
      <c r="Y373" s="28"/>
      <c r="Z373" s="28"/>
      <c r="AA373" s="28"/>
      <c r="AB373" s="28"/>
      <c r="AC373" s="31"/>
      <c r="AD373" s="12"/>
    </row>
    <row r="374" spans="1:30" s="11" customFormat="1" ht="14.25" customHeight="1" outlineLevel="1" x14ac:dyDescent="0.35">
      <c r="A374" s="93"/>
      <c r="B374" s="10"/>
      <c r="C374" s="78"/>
      <c r="D374" s="78"/>
      <c r="E374" s="78"/>
      <c r="F374" s="78"/>
      <c r="G374" s="28"/>
      <c r="H374" s="28"/>
      <c r="I374" s="28"/>
      <c r="J374" s="28"/>
      <c r="K374" s="28"/>
      <c r="L374" s="28"/>
      <c r="M374" s="285"/>
      <c r="N374" s="157" t="s">
        <v>26</v>
      </c>
      <c r="O374" s="155" t="s">
        <v>23</v>
      </c>
      <c r="P374" s="187"/>
      <c r="Q374" s="187"/>
      <c r="R374" s="187"/>
      <c r="S374" s="140"/>
      <c r="T374" s="140"/>
      <c r="U374" s="140"/>
      <c r="V374" s="187"/>
      <c r="W374" s="187"/>
      <c r="X374" s="28"/>
      <c r="Y374" s="28"/>
      <c r="Z374" s="28"/>
      <c r="AA374" s="28"/>
      <c r="AB374" s="28"/>
      <c r="AC374" s="31"/>
      <c r="AD374" s="12"/>
    </row>
    <row r="375" spans="1:30" s="11" customFormat="1" ht="14.25" customHeight="1" outlineLevel="1" x14ac:dyDescent="0.35">
      <c r="A375" s="93"/>
      <c r="B375" s="10"/>
      <c r="C375" s="78"/>
      <c r="D375" s="78"/>
      <c r="E375" s="78"/>
      <c r="F375" s="78"/>
      <c r="G375" s="28"/>
      <c r="H375" s="28"/>
      <c r="I375" s="28"/>
      <c r="J375" s="28"/>
      <c r="K375" s="28"/>
      <c r="L375" s="28"/>
      <c r="M375" s="285"/>
      <c r="N375" s="157"/>
      <c r="O375" s="28"/>
      <c r="P375" s="28"/>
      <c r="Q375" s="28"/>
      <c r="R375" s="28"/>
      <c r="S375" s="139"/>
      <c r="T375" s="139"/>
      <c r="U375" s="139"/>
      <c r="V375" s="139"/>
      <c r="W375" s="139"/>
      <c r="X375" s="28"/>
      <c r="Y375" s="28"/>
      <c r="Z375" s="28"/>
      <c r="AA375" s="28"/>
      <c r="AB375" s="139"/>
      <c r="AC375" s="31"/>
      <c r="AD375" s="12"/>
    </row>
    <row r="376" spans="1:30" s="11" customFormat="1" ht="15" customHeight="1" outlineLevel="1" x14ac:dyDescent="0.35">
      <c r="A376" s="93"/>
      <c r="B376" s="10"/>
      <c r="C376" s="80"/>
      <c r="D376" s="80"/>
      <c r="E376" s="80"/>
      <c r="F376" s="78"/>
      <c r="G376" s="28"/>
      <c r="H376" s="28"/>
      <c r="I376" s="28"/>
      <c r="J376" s="28"/>
      <c r="K376" s="28"/>
      <c r="L376" s="28"/>
      <c r="M376" s="285"/>
      <c r="N376" s="323" t="str">
        <f>"Total effort is "&amp;TEXT(TOTAL_EFFORT,"##,##,###")&amp;" PDs. How much up or down it can safely be without being way off?"</f>
        <v>Total effort is 938 PDs. How much up or down it can safely be without being way off?</v>
      </c>
      <c r="O376" s="142" t="s">
        <v>128</v>
      </c>
      <c r="P376" s="142" t="s">
        <v>129</v>
      </c>
      <c r="Q376" s="28"/>
      <c r="R376" s="28"/>
      <c r="S376" s="139"/>
      <c r="T376" s="139"/>
      <c r="U376" s="139"/>
      <c r="V376" s="139"/>
      <c r="W376" s="139"/>
      <c r="X376" s="28"/>
      <c r="Y376" s="28"/>
      <c r="Z376" s="28"/>
      <c r="AA376" s="28"/>
      <c r="AB376" s="31"/>
      <c r="AC376" s="31"/>
      <c r="AD376" s="12"/>
    </row>
    <row r="377" spans="1:30" s="11" customFormat="1" ht="15" customHeight="1" outlineLevel="1" x14ac:dyDescent="0.35">
      <c r="A377" s="93"/>
      <c r="B377" s="10"/>
      <c r="C377" s="80"/>
      <c r="D377" s="80"/>
      <c r="E377" s="80"/>
      <c r="F377" s="78"/>
      <c r="G377" s="28"/>
      <c r="H377" s="28"/>
      <c r="I377" s="28"/>
      <c r="J377" s="28"/>
      <c r="K377" s="28"/>
      <c r="L377" s="28"/>
      <c r="M377" s="285"/>
      <c r="N377" s="323"/>
      <c r="O377" s="151">
        <v>-0.2</v>
      </c>
      <c r="P377" s="152">
        <v>0.2</v>
      </c>
      <c r="Q377" s="28"/>
      <c r="R377" s="28"/>
      <c r="S377" s="139"/>
      <c r="T377" s="139"/>
      <c r="U377" s="139"/>
      <c r="V377" s="139"/>
      <c r="W377" s="139"/>
      <c r="X377" s="28"/>
      <c r="Y377" s="28"/>
      <c r="Z377" s="28"/>
      <c r="AA377" s="28"/>
      <c r="AB377" s="31"/>
      <c r="AC377" s="31"/>
      <c r="AD377" s="12"/>
    </row>
    <row r="378" spans="1:30" s="11" customFormat="1" outlineLevel="1" x14ac:dyDescent="0.35">
      <c r="A378" s="93"/>
      <c r="B378" s="10"/>
      <c r="C378" s="80"/>
      <c r="D378" s="80"/>
      <c r="E378" s="80"/>
      <c r="F378" s="78"/>
      <c r="G378" s="28"/>
      <c r="H378" s="28"/>
      <c r="I378" s="28"/>
      <c r="J378" s="28"/>
      <c r="K378" s="28"/>
      <c r="L378" s="28"/>
      <c r="M378" s="285"/>
      <c r="N378" s="323"/>
      <c r="O378" s="31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31"/>
      <c r="AC378" s="31"/>
      <c r="AD378" s="12"/>
    </row>
    <row r="379" spans="1:30" s="11" customFormat="1" outlineLevel="1" x14ac:dyDescent="0.35">
      <c r="A379" s="93"/>
      <c r="B379" s="10"/>
      <c r="C379" s="80"/>
      <c r="D379" s="80"/>
      <c r="E379" s="80"/>
      <c r="F379" s="78"/>
      <c r="G379" s="28"/>
      <c r="H379" s="28"/>
      <c r="I379" s="28"/>
      <c r="J379" s="28"/>
      <c r="K379" s="28"/>
      <c r="L379" s="28"/>
      <c r="M379" s="285"/>
      <c r="N379" s="161" t="s">
        <v>453</v>
      </c>
      <c r="O379" s="139"/>
      <c r="P379" s="162" t="s">
        <v>96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31"/>
      <c r="AC379" s="31"/>
      <c r="AD379" s="12"/>
    </row>
    <row r="380" spans="1:30" s="11" customFormat="1" outlineLevel="1" x14ac:dyDescent="0.35">
      <c r="A380" s="93"/>
      <c r="B380" s="10"/>
      <c r="C380" s="80"/>
      <c r="D380" s="80"/>
      <c r="E380" s="80"/>
      <c r="F380" s="78"/>
      <c r="G380" s="28"/>
      <c r="H380" s="28"/>
      <c r="I380" s="28"/>
      <c r="J380" s="28"/>
      <c r="K380" s="28"/>
      <c r="L380" s="28"/>
      <c r="M380" s="285"/>
      <c r="N380" s="263" t="s">
        <v>156</v>
      </c>
      <c r="O380" s="28"/>
      <c r="P380" s="160" t="s">
        <v>78</v>
      </c>
      <c r="Q380" s="141" t="s">
        <v>193</v>
      </c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31"/>
      <c r="AD380" s="12"/>
    </row>
    <row r="381" spans="1:30" s="11" customFormat="1" outlineLevel="1" x14ac:dyDescent="0.35">
      <c r="A381" s="93"/>
      <c r="B381" s="10"/>
      <c r="C381" s="80"/>
      <c r="D381" s="80"/>
      <c r="E381" s="80"/>
      <c r="F381" s="78"/>
      <c r="G381" s="28"/>
      <c r="H381" s="28"/>
      <c r="I381" s="28"/>
      <c r="J381" s="28"/>
      <c r="K381" s="28"/>
      <c r="L381" s="28"/>
      <c r="M381" s="285"/>
      <c r="N381" s="263" t="s">
        <v>169</v>
      </c>
      <c r="O381" s="28"/>
      <c r="P381" s="160" t="s">
        <v>97</v>
      </c>
      <c r="Q381" s="141" t="s">
        <v>192</v>
      </c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31"/>
      <c r="AD381" s="12"/>
    </row>
    <row r="382" spans="1:30" s="11" customFormat="1" outlineLevel="1" x14ac:dyDescent="0.35">
      <c r="A382" s="93"/>
      <c r="B382" s="10"/>
      <c r="C382" s="80"/>
      <c r="D382" s="80"/>
      <c r="E382" s="80"/>
      <c r="F382" s="78"/>
      <c r="G382" s="28"/>
      <c r="H382" s="28"/>
      <c r="I382" s="28"/>
      <c r="J382" s="28"/>
      <c r="K382" s="28"/>
      <c r="L382" s="28"/>
      <c r="M382" s="285"/>
      <c r="N382" s="263" t="s">
        <v>170</v>
      </c>
      <c r="O382" s="28"/>
      <c r="P382" s="28"/>
      <c r="Q382" s="28"/>
      <c r="R382" s="28"/>
      <c r="S382" s="28"/>
      <c r="T382" s="28"/>
      <c r="U382" s="160"/>
      <c r="V382" s="28"/>
      <c r="W382" s="28"/>
      <c r="X382" s="28"/>
      <c r="Y382" s="28"/>
      <c r="Z382" s="28"/>
      <c r="AA382" s="28"/>
      <c r="AB382" s="28"/>
      <c r="AC382" s="31"/>
      <c r="AD382" s="12"/>
    </row>
    <row r="383" spans="1:30" s="11" customFormat="1" ht="15" customHeight="1" outlineLevel="1" x14ac:dyDescent="0.35">
      <c r="A383" s="93"/>
      <c r="B383" s="10"/>
      <c r="C383" s="80"/>
      <c r="D383" s="80"/>
      <c r="E383" s="80"/>
      <c r="F383" s="78"/>
      <c r="G383" s="28"/>
      <c r="H383" s="28"/>
      <c r="I383" s="28"/>
      <c r="J383" s="28"/>
      <c r="K383" s="28"/>
      <c r="L383" s="28"/>
      <c r="M383" s="285"/>
      <c r="N383" s="263" t="s">
        <v>171</v>
      </c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31"/>
      <c r="AD383" s="12"/>
    </row>
    <row r="384" spans="1:30" s="11" customFormat="1" outlineLevel="1" x14ac:dyDescent="0.35">
      <c r="A384" s="93"/>
      <c r="B384" s="10"/>
      <c r="C384" s="80"/>
      <c r="D384" s="80"/>
      <c r="E384" s="80"/>
      <c r="F384" s="78"/>
      <c r="G384" s="28"/>
      <c r="H384" s="28"/>
      <c r="I384" s="28"/>
      <c r="J384" s="28"/>
      <c r="K384" s="28"/>
      <c r="L384" s="28"/>
      <c r="M384" s="285"/>
      <c r="N384" s="263" t="s">
        <v>172</v>
      </c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31"/>
      <c r="AD384" s="12"/>
    </row>
    <row r="385" spans="1:30" s="11" customFormat="1" outlineLevel="1" x14ac:dyDescent="0.35">
      <c r="A385" s="93"/>
      <c r="B385" s="10"/>
      <c r="C385" s="80"/>
      <c r="D385" s="80"/>
      <c r="E385" s="80"/>
      <c r="F385" s="78"/>
      <c r="G385" s="28"/>
      <c r="H385" s="28"/>
      <c r="I385" s="28"/>
      <c r="J385" s="28"/>
      <c r="K385" s="28"/>
      <c r="L385" s="28"/>
      <c r="M385" s="285"/>
      <c r="N385" s="263" t="s">
        <v>173</v>
      </c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31"/>
      <c r="AD385" s="12"/>
    </row>
    <row r="386" spans="1:30" s="11" customFormat="1" outlineLevel="1" x14ac:dyDescent="0.35">
      <c r="A386" s="93"/>
      <c r="B386" s="10"/>
      <c r="C386" s="80"/>
      <c r="D386" s="80"/>
      <c r="E386" s="80"/>
      <c r="F386" s="78"/>
      <c r="G386" s="28"/>
      <c r="H386" s="28"/>
      <c r="I386" s="28"/>
      <c r="J386" s="28"/>
      <c r="K386" s="28"/>
      <c r="L386" s="28"/>
      <c r="M386" s="285"/>
      <c r="N386" s="263" t="s">
        <v>174</v>
      </c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31"/>
      <c r="AD386" s="12"/>
    </row>
    <row r="387" spans="1:30" s="11" customFormat="1" outlineLevel="1" x14ac:dyDescent="0.35">
      <c r="A387" s="93"/>
      <c r="B387" s="10"/>
      <c r="C387" s="80"/>
      <c r="D387" s="80"/>
      <c r="E387" s="80"/>
      <c r="F387" s="78"/>
      <c r="G387" s="28"/>
      <c r="H387" s="28"/>
      <c r="I387" s="28"/>
      <c r="J387" s="28"/>
      <c r="K387" s="28"/>
      <c r="L387" s="28"/>
      <c r="M387" s="285"/>
      <c r="N387" s="263" t="s">
        <v>155</v>
      </c>
      <c r="O387" s="31"/>
      <c r="P387" s="141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31"/>
      <c r="AD387" s="12"/>
    </row>
    <row r="388" spans="1:30" s="11" customFormat="1" outlineLevel="1" x14ac:dyDescent="0.35">
      <c r="A388" s="93"/>
      <c r="B388" s="10"/>
      <c r="C388" s="80"/>
      <c r="D388" s="80"/>
      <c r="E388" s="80"/>
      <c r="F388" s="78"/>
      <c r="G388" s="28"/>
      <c r="H388" s="28"/>
      <c r="I388" s="28"/>
      <c r="J388" s="28"/>
      <c r="K388" s="28"/>
      <c r="L388" s="28"/>
      <c r="M388" s="285"/>
      <c r="N388" s="263" t="s">
        <v>158</v>
      </c>
      <c r="O388" s="31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31"/>
      <c r="AD388" s="12"/>
    </row>
    <row r="389" spans="1:30" s="11" customFormat="1" outlineLevel="1" x14ac:dyDescent="0.35">
      <c r="A389" s="93"/>
      <c r="B389" s="10"/>
      <c r="C389" s="80"/>
      <c r="D389" s="80"/>
      <c r="E389" s="80"/>
      <c r="F389" s="78"/>
      <c r="G389" s="28"/>
      <c r="H389" s="28"/>
      <c r="I389" s="28"/>
      <c r="J389" s="28"/>
      <c r="K389" s="28"/>
      <c r="L389" s="28"/>
      <c r="M389" s="285"/>
      <c r="N389" s="263" t="s">
        <v>160</v>
      </c>
      <c r="O389" s="31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31"/>
      <c r="AD389" s="12"/>
    </row>
    <row r="390" spans="1:30" s="11" customFormat="1" outlineLevel="1" x14ac:dyDescent="0.35">
      <c r="A390" s="93"/>
      <c r="B390" s="10"/>
      <c r="C390" s="80"/>
      <c r="D390" s="80"/>
      <c r="E390" s="80"/>
      <c r="F390" s="78"/>
      <c r="G390" s="28"/>
      <c r="H390" s="28"/>
      <c r="I390" s="28"/>
      <c r="J390" s="28"/>
      <c r="K390" s="28"/>
      <c r="L390" s="28"/>
      <c r="M390" s="285"/>
      <c r="N390" s="263" t="s">
        <v>159</v>
      </c>
      <c r="O390" s="31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31"/>
      <c r="AD390" s="12"/>
    </row>
    <row r="391" spans="1:30" s="11" customFormat="1" outlineLevel="1" x14ac:dyDescent="0.35">
      <c r="A391" s="93"/>
      <c r="B391" s="10"/>
      <c r="C391" s="80"/>
      <c r="D391" s="80"/>
      <c r="E391" s="80"/>
      <c r="F391" s="78"/>
      <c r="G391" s="28"/>
      <c r="H391" s="28"/>
      <c r="I391" s="28"/>
      <c r="J391" s="28"/>
      <c r="K391" s="28"/>
      <c r="L391" s="28"/>
      <c r="M391" s="285"/>
      <c r="N391" s="263" t="s">
        <v>161</v>
      </c>
      <c r="O391" s="31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31"/>
      <c r="AD391" s="12"/>
    </row>
    <row r="392" spans="1:30" s="11" customFormat="1" outlineLevel="1" x14ac:dyDescent="0.35">
      <c r="A392" s="93"/>
      <c r="B392" s="10"/>
      <c r="C392" s="80"/>
      <c r="D392" s="80"/>
      <c r="E392" s="80"/>
      <c r="F392" s="78"/>
      <c r="G392" s="28"/>
      <c r="H392" s="28"/>
      <c r="I392" s="28"/>
      <c r="J392" s="28"/>
      <c r="K392" s="28"/>
      <c r="L392" s="28"/>
      <c r="M392" s="285"/>
      <c r="N392" s="263" t="s">
        <v>162</v>
      </c>
      <c r="O392" s="31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31"/>
      <c r="AD392" s="12"/>
    </row>
    <row r="393" spans="1:30" s="11" customFormat="1" outlineLevel="1" x14ac:dyDescent="0.35">
      <c r="A393" s="93"/>
      <c r="B393" s="10"/>
      <c r="C393" s="80"/>
      <c r="D393" s="80"/>
      <c r="E393" s="80"/>
      <c r="F393" s="78"/>
      <c r="G393" s="28"/>
      <c r="H393" s="28"/>
      <c r="I393" s="28"/>
      <c r="J393" s="28"/>
      <c r="K393" s="28"/>
      <c r="L393" s="28"/>
      <c r="M393" s="285"/>
      <c r="N393" s="263" t="s">
        <v>163</v>
      </c>
      <c r="O393" s="31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31"/>
      <c r="AD393" s="12"/>
    </row>
    <row r="394" spans="1:30" s="11" customFormat="1" outlineLevel="1" x14ac:dyDescent="0.35">
      <c r="A394" s="93"/>
      <c r="B394" s="10"/>
      <c r="C394" s="80"/>
      <c r="D394" s="80"/>
      <c r="E394" s="80"/>
      <c r="F394" s="78"/>
      <c r="G394" s="28"/>
      <c r="H394" s="28"/>
      <c r="I394" s="28"/>
      <c r="J394" s="28"/>
      <c r="K394" s="28"/>
      <c r="L394" s="28"/>
      <c r="M394" s="285"/>
      <c r="N394" s="263" t="s">
        <v>157</v>
      </c>
      <c r="O394" s="31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31"/>
      <c r="AD394" s="12"/>
    </row>
    <row r="395" spans="1:30" s="11" customFormat="1" outlineLevel="1" x14ac:dyDescent="0.35">
      <c r="A395" s="93"/>
      <c r="B395" s="10"/>
      <c r="C395" s="80"/>
      <c r="D395" s="80"/>
      <c r="E395" s="80"/>
      <c r="F395" s="78"/>
      <c r="G395" s="28"/>
      <c r="H395" s="28"/>
      <c r="I395" s="28"/>
      <c r="J395" s="28"/>
      <c r="K395" s="28"/>
      <c r="L395" s="28"/>
      <c r="M395" s="285"/>
      <c r="N395" s="263" t="s">
        <v>164</v>
      </c>
      <c r="O395" s="31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31"/>
      <c r="AD395" s="12"/>
    </row>
    <row r="396" spans="1:30" s="11" customFormat="1" outlineLevel="1" x14ac:dyDescent="0.35">
      <c r="A396" s="93"/>
      <c r="B396" s="10"/>
      <c r="C396" s="80"/>
      <c r="D396" s="80"/>
      <c r="E396" s="80"/>
      <c r="F396" s="78"/>
      <c r="G396" s="28"/>
      <c r="H396" s="28"/>
      <c r="I396" s="28"/>
      <c r="J396" s="28"/>
      <c r="K396" s="28"/>
      <c r="L396" s="28"/>
      <c r="M396" s="285"/>
      <c r="N396" s="263" t="s">
        <v>165</v>
      </c>
      <c r="O396" s="31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31"/>
      <c r="AD396" s="12"/>
    </row>
    <row r="397" spans="1:30" s="11" customFormat="1" outlineLevel="1" x14ac:dyDescent="0.35">
      <c r="A397" s="93"/>
      <c r="B397" s="10"/>
      <c r="C397" s="80"/>
      <c r="D397" s="80"/>
      <c r="E397" s="80"/>
      <c r="F397" s="78"/>
      <c r="G397" s="28"/>
      <c r="H397" s="28"/>
      <c r="I397" s="28"/>
      <c r="J397" s="28"/>
      <c r="K397" s="28"/>
      <c r="L397" s="28"/>
      <c r="M397" s="285"/>
      <c r="N397" s="263" t="s">
        <v>166</v>
      </c>
      <c r="O397" s="31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31"/>
      <c r="AD397" s="12"/>
    </row>
    <row r="398" spans="1:30" s="11" customFormat="1" outlineLevel="1" x14ac:dyDescent="0.35">
      <c r="A398" s="93"/>
      <c r="B398" s="10"/>
      <c r="C398" s="80"/>
      <c r="D398" s="80"/>
      <c r="E398" s="80"/>
      <c r="F398" s="78"/>
      <c r="G398" s="28"/>
      <c r="H398" s="28"/>
      <c r="I398" s="28"/>
      <c r="J398" s="28"/>
      <c r="K398" s="28"/>
      <c r="L398" s="28"/>
      <c r="M398" s="285"/>
      <c r="N398" s="263" t="s">
        <v>167</v>
      </c>
      <c r="O398" s="31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31"/>
      <c r="AD398" s="12"/>
    </row>
    <row r="399" spans="1:30" s="11" customFormat="1" outlineLevel="1" x14ac:dyDescent="0.35">
      <c r="A399" s="93"/>
      <c r="B399" s="10"/>
      <c r="C399" s="80"/>
      <c r="D399" s="80"/>
      <c r="E399" s="80"/>
      <c r="F399" s="78"/>
      <c r="G399" s="28"/>
      <c r="H399" s="28"/>
      <c r="I399" s="28"/>
      <c r="J399" s="28"/>
      <c r="K399" s="28"/>
      <c r="L399" s="28"/>
      <c r="M399" s="285"/>
      <c r="N399" s="263" t="s">
        <v>168</v>
      </c>
      <c r="O399" s="31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31"/>
      <c r="AD399" s="12"/>
    </row>
    <row r="400" spans="1:30" s="11" customFormat="1" outlineLevel="1" x14ac:dyDescent="0.35">
      <c r="A400" s="93"/>
      <c r="B400" s="10"/>
      <c r="C400" s="80"/>
      <c r="D400" s="80"/>
      <c r="E400" s="80"/>
      <c r="F400" s="78"/>
      <c r="G400" s="28"/>
      <c r="H400" s="28"/>
      <c r="I400" s="28"/>
      <c r="J400" s="28"/>
      <c r="K400" s="28"/>
      <c r="L400" s="28"/>
      <c r="M400" s="285"/>
      <c r="N400" s="139"/>
      <c r="O400" s="31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31"/>
      <c r="AD400" s="12"/>
    </row>
    <row r="401" spans="1:30" s="11" customFormat="1" ht="15" customHeight="1" outlineLevel="1" x14ac:dyDescent="0.3">
      <c r="A401" s="93"/>
      <c r="B401" s="10"/>
      <c r="C401" s="80"/>
      <c r="D401" s="80"/>
      <c r="E401" s="80"/>
      <c r="F401" s="78"/>
      <c r="G401" s="28"/>
      <c r="H401" s="28"/>
      <c r="I401" s="28"/>
      <c r="J401" s="28"/>
      <c r="K401" s="28"/>
      <c r="L401" s="28"/>
      <c r="M401" s="285"/>
      <c r="N401" s="165" t="s">
        <v>77</v>
      </c>
      <c r="O401" s="165" t="s">
        <v>144</v>
      </c>
      <c r="P401" s="28"/>
      <c r="Q401" s="186"/>
      <c r="R401" s="186"/>
      <c r="S401" s="28"/>
      <c r="T401" s="28"/>
      <c r="U401" s="28"/>
      <c r="V401" s="28"/>
      <c r="W401" s="28"/>
      <c r="X401" s="28"/>
      <c r="Y401" s="28"/>
      <c r="Z401" s="28"/>
      <c r="AA401" s="28"/>
      <c r="AB401" s="31"/>
      <c r="AC401" s="31"/>
      <c r="AD401" s="12"/>
    </row>
    <row r="402" spans="1:30" s="11" customFormat="1" ht="15" customHeight="1" outlineLevel="1" x14ac:dyDescent="0.35">
      <c r="A402" s="93"/>
      <c r="B402" s="10"/>
      <c r="C402" s="80"/>
      <c r="D402" s="80"/>
      <c r="E402" s="80"/>
      <c r="F402" s="78"/>
      <c r="G402" s="28"/>
      <c r="H402" s="28"/>
      <c r="I402" s="28"/>
      <c r="J402" s="28"/>
      <c r="K402" s="28"/>
      <c r="L402" s="28"/>
      <c r="M402" s="285"/>
      <c r="N402" s="159" t="s">
        <v>65</v>
      </c>
      <c r="O402" s="164">
        <v>0.5</v>
      </c>
      <c r="P402" s="324" t="s">
        <v>140</v>
      </c>
      <c r="Q402" s="324"/>
      <c r="R402" s="324"/>
      <c r="S402" s="28"/>
      <c r="T402" s="28"/>
      <c r="U402" s="28"/>
      <c r="V402" s="28"/>
      <c r="W402" s="28"/>
      <c r="X402" s="28"/>
      <c r="Y402" s="28"/>
      <c r="Z402" s="28"/>
      <c r="AA402" s="28"/>
      <c r="AB402" s="31"/>
      <c r="AC402" s="31"/>
      <c r="AD402" s="12"/>
    </row>
    <row r="403" spans="1:30" s="11" customFormat="1" outlineLevel="1" x14ac:dyDescent="0.35">
      <c r="A403" s="93"/>
      <c r="B403" s="10"/>
      <c r="C403" s="80"/>
      <c r="D403" s="80"/>
      <c r="E403" s="80"/>
      <c r="F403" s="78"/>
      <c r="G403" s="28"/>
      <c r="H403" s="28"/>
      <c r="I403" s="28"/>
      <c r="J403" s="28"/>
      <c r="K403" s="28"/>
      <c r="L403" s="28"/>
      <c r="M403" s="285"/>
      <c r="N403" s="159" t="s">
        <v>66</v>
      </c>
      <c r="O403" s="164">
        <v>0.25</v>
      </c>
      <c r="P403" s="324"/>
      <c r="Q403" s="324"/>
      <c r="R403" s="324"/>
      <c r="S403" s="28"/>
      <c r="T403" s="28"/>
      <c r="U403" s="28"/>
      <c r="V403" s="28"/>
      <c r="W403" s="28"/>
      <c r="X403" s="28"/>
      <c r="Y403" s="28"/>
      <c r="Z403" s="28"/>
      <c r="AA403" s="28"/>
      <c r="AB403" s="31"/>
      <c r="AC403" s="31"/>
      <c r="AD403" s="12"/>
    </row>
    <row r="404" spans="1:30" s="11" customFormat="1" outlineLevel="1" x14ac:dyDescent="0.35">
      <c r="A404" s="93"/>
      <c r="B404" s="10"/>
      <c r="C404" s="80"/>
      <c r="D404" s="80"/>
      <c r="E404" s="80"/>
      <c r="F404" s="78"/>
      <c r="G404" s="28"/>
      <c r="H404" s="28"/>
      <c r="I404" s="28"/>
      <c r="J404" s="28"/>
      <c r="K404" s="28"/>
      <c r="L404" s="28"/>
      <c r="M404" s="285"/>
      <c r="N404" s="31"/>
      <c r="O404" s="31"/>
      <c r="P404" s="324"/>
      <c r="Q404" s="324"/>
      <c r="R404" s="324"/>
      <c r="S404" s="28"/>
      <c r="T404" s="28"/>
      <c r="U404" s="28"/>
      <c r="V404" s="28"/>
      <c r="W404" s="28"/>
      <c r="X404" s="28"/>
      <c r="Y404" s="28"/>
      <c r="Z404" s="28"/>
      <c r="AA404" s="28"/>
      <c r="AB404" s="31"/>
      <c r="AC404" s="31"/>
      <c r="AD404" s="12"/>
    </row>
    <row r="405" spans="1:30" s="11" customFormat="1" outlineLevel="1" x14ac:dyDescent="0.35">
      <c r="A405" s="93"/>
      <c r="B405" s="10"/>
      <c r="C405" s="80"/>
      <c r="D405" s="80"/>
      <c r="E405" s="80"/>
      <c r="F405" s="78"/>
      <c r="G405" s="28"/>
      <c r="H405" s="28"/>
      <c r="I405" s="28"/>
      <c r="J405" s="28"/>
      <c r="K405" s="28"/>
      <c r="L405" s="28"/>
      <c r="M405" s="285"/>
      <c r="N405" s="31"/>
      <c r="O405" s="31"/>
      <c r="P405" s="324"/>
      <c r="Q405" s="324"/>
      <c r="R405" s="324"/>
      <c r="S405" s="28"/>
      <c r="T405" s="28"/>
      <c r="U405" s="28"/>
      <c r="V405" s="28"/>
      <c r="W405" s="28"/>
      <c r="X405" s="28"/>
      <c r="Y405" s="28"/>
      <c r="Z405" s="28"/>
      <c r="AA405" s="28"/>
      <c r="AB405" s="31"/>
      <c r="AC405" s="31"/>
      <c r="AD405" s="12"/>
    </row>
    <row r="406" spans="1:30" s="11" customFormat="1" outlineLevel="1" x14ac:dyDescent="0.3">
      <c r="A406" s="93"/>
      <c r="B406" s="10"/>
      <c r="C406" s="80"/>
      <c r="D406" s="80"/>
      <c r="E406" s="80"/>
      <c r="F406" s="78"/>
      <c r="G406" s="28"/>
      <c r="H406" s="28"/>
      <c r="I406" s="28"/>
      <c r="J406" s="28"/>
      <c r="K406" s="28"/>
      <c r="L406" s="28"/>
      <c r="M406" s="285"/>
      <c r="N406" s="161" t="s">
        <v>133</v>
      </c>
      <c r="O406" s="165" t="s">
        <v>144</v>
      </c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31"/>
      <c r="AC406" s="31"/>
      <c r="AD406" s="12"/>
    </row>
    <row r="407" spans="1:30" s="11" customFormat="1" outlineLevel="1" x14ac:dyDescent="0.35">
      <c r="A407" s="93"/>
      <c r="B407" s="10"/>
      <c r="C407" s="80"/>
      <c r="D407" s="80"/>
      <c r="E407" s="80"/>
      <c r="F407" s="78"/>
      <c r="G407" s="28"/>
      <c r="H407" s="28"/>
      <c r="I407" s="28"/>
      <c r="J407" s="28"/>
      <c r="K407" s="28"/>
      <c r="L407" s="28"/>
      <c r="M407" s="285"/>
      <c r="N407" s="271" t="s">
        <v>23</v>
      </c>
      <c r="O407" s="272">
        <v>0</v>
      </c>
      <c r="P407" s="324" t="s">
        <v>141</v>
      </c>
      <c r="Q407" s="324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31"/>
      <c r="AC407" s="31"/>
      <c r="AD407" s="12"/>
    </row>
    <row r="408" spans="1:30" s="11" customFormat="1" ht="15" customHeight="1" outlineLevel="1" x14ac:dyDescent="0.35">
      <c r="A408" s="93"/>
      <c r="B408" s="10"/>
      <c r="C408" s="80"/>
      <c r="D408" s="80"/>
      <c r="E408" s="80"/>
      <c r="F408" s="78"/>
      <c r="G408" s="28"/>
      <c r="H408" s="28"/>
      <c r="I408" s="28"/>
      <c r="J408" s="28"/>
      <c r="K408" s="28"/>
      <c r="L408" s="28"/>
      <c r="M408" s="285"/>
      <c r="N408" s="271" t="s">
        <v>134</v>
      </c>
      <c r="O408" s="272">
        <v>0.25</v>
      </c>
      <c r="P408" s="324"/>
      <c r="Q408" s="324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31"/>
      <c r="AC408" s="31"/>
      <c r="AD408" s="12"/>
    </row>
    <row r="409" spans="1:30" s="11" customFormat="1" outlineLevel="1" x14ac:dyDescent="0.35">
      <c r="A409" s="93"/>
      <c r="B409" s="10"/>
      <c r="C409" s="80"/>
      <c r="D409" s="80"/>
      <c r="E409" s="80"/>
      <c r="F409" s="78"/>
      <c r="G409" s="28"/>
      <c r="H409" s="28"/>
      <c r="I409" s="28"/>
      <c r="J409" s="28"/>
      <c r="K409" s="28"/>
      <c r="L409" s="28"/>
      <c r="M409" s="285"/>
      <c r="N409" s="271" t="s">
        <v>135</v>
      </c>
      <c r="O409" s="273">
        <v>0.1</v>
      </c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31"/>
      <c r="AC409" s="31"/>
      <c r="AD409" s="12"/>
    </row>
    <row r="410" spans="1:30" s="11" customFormat="1" outlineLevel="1" x14ac:dyDescent="0.35">
      <c r="A410" s="93"/>
      <c r="B410" s="10"/>
      <c r="C410" s="80"/>
      <c r="D410" s="80"/>
      <c r="E410" s="80"/>
      <c r="F410" s="78"/>
      <c r="G410" s="28"/>
      <c r="H410" s="28"/>
      <c r="I410" s="28"/>
      <c r="J410" s="28"/>
      <c r="K410" s="28"/>
      <c r="L410" s="28"/>
      <c r="M410" s="285"/>
      <c r="N410" s="271" t="s">
        <v>136</v>
      </c>
      <c r="O410" s="273">
        <v>0</v>
      </c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31"/>
      <c r="AC410" s="31"/>
      <c r="AD410" s="12"/>
    </row>
    <row r="411" spans="1:30" s="11" customFormat="1" outlineLevel="1" x14ac:dyDescent="0.35">
      <c r="A411" s="93"/>
      <c r="B411" s="10"/>
      <c r="C411" s="80"/>
      <c r="D411" s="80"/>
      <c r="E411" s="80"/>
      <c r="F411" s="78"/>
      <c r="G411" s="28"/>
      <c r="H411" s="28"/>
      <c r="I411" s="28"/>
      <c r="J411" s="28"/>
      <c r="K411" s="28"/>
      <c r="L411" s="28"/>
      <c r="M411" s="285"/>
      <c r="N411" s="271" t="s">
        <v>137</v>
      </c>
      <c r="O411" s="273">
        <v>0</v>
      </c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31"/>
      <c r="AC411" s="31"/>
      <c r="AD411" s="12"/>
    </row>
    <row r="412" spans="1:30" s="11" customFormat="1" outlineLevel="1" x14ac:dyDescent="0.35">
      <c r="A412" s="93"/>
      <c r="B412" s="10"/>
      <c r="C412" s="80"/>
      <c r="D412" s="80"/>
      <c r="E412" s="80"/>
      <c r="F412" s="78"/>
      <c r="G412" s="28"/>
      <c r="H412" s="28"/>
      <c r="I412" s="28"/>
      <c r="J412" s="28"/>
      <c r="K412" s="28"/>
      <c r="L412" s="28"/>
      <c r="M412" s="285"/>
      <c r="N412" s="271" t="s">
        <v>138</v>
      </c>
      <c r="O412" s="273">
        <v>0</v>
      </c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31"/>
      <c r="AC412" s="31"/>
      <c r="AD412" s="12"/>
    </row>
    <row r="413" spans="1:30" s="11" customFormat="1" outlineLevel="1" x14ac:dyDescent="0.35">
      <c r="A413" s="93"/>
      <c r="B413" s="10"/>
      <c r="C413" s="80"/>
      <c r="D413" s="80"/>
      <c r="E413" s="80"/>
      <c r="F413" s="78"/>
      <c r="G413" s="28"/>
      <c r="H413" s="28"/>
      <c r="I413" s="28"/>
      <c r="J413" s="28"/>
      <c r="K413" s="28"/>
      <c r="L413" s="28"/>
      <c r="M413" s="285"/>
      <c r="N413" s="31"/>
      <c r="O413" s="31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31"/>
      <c r="AC413" s="31"/>
      <c r="AD413" s="12"/>
    </row>
    <row r="414" spans="1:30" s="11" customFormat="1" outlineLevel="1" x14ac:dyDescent="0.3">
      <c r="A414" s="93"/>
      <c r="B414" s="10"/>
      <c r="C414" s="80"/>
      <c r="D414" s="80"/>
      <c r="E414" s="80"/>
      <c r="F414" s="78"/>
      <c r="G414" s="28"/>
      <c r="H414" s="28"/>
      <c r="I414" s="28"/>
      <c r="J414" s="28"/>
      <c r="K414" s="28"/>
      <c r="L414" s="28"/>
      <c r="M414" s="285"/>
      <c r="N414" s="161" t="s">
        <v>142</v>
      </c>
      <c r="O414" s="165" t="s">
        <v>144</v>
      </c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31"/>
      <c r="AC414" s="31"/>
      <c r="AD414" s="12"/>
    </row>
    <row r="415" spans="1:30" s="11" customFormat="1" ht="15" customHeight="1" outlineLevel="1" x14ac:dyDescent="0.35">
      <c r="A415" s="93"/>
      <c r="B415" s="10"/>
      <c r="C415" s="80"/>
      <c r="D415" s="80"/>
      <c r="E415" s="80"/>
      <c r="F415" s="78"/>
      <c r="G415" s="28"/>
      <c r="H415" s="28"/>
      <c r="I415" s="28"/>
      <c r="J415" s="28"/>
      <c r="K415" s="28"/>
      <c r="L415" s="28"/>
      <c r="M415" s="285"/>
      <c r="N415" s="158" t="str">
        <f>Lists!B46</f>
        <v>Low</v>
      </c>
      <c r="O415" s="164">
        <v>0.1</v>
      </c>
      <c r="P415" s="324" t="s">
        <v>143</v>
      </c>
      <c r="Q415" s="324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31"/>
      <c r="AC415" s="31"/>
      <c r="AD415" s="12"/>
    </row>
    <row r="416" spans="1:30" s="11" customFormat="1" outlineLevel="1" x14ac:dyDescent="0.35">
      <c r="A416" s="93"/>
      <c r="B416" s="10"/>
      <c r="C416" s="80"/>
      <c r="D416" s="80"/>
      <c r="E416" s="80"/>
      <c r="F416" s="78"/>
      <c r="G416" s="28"/>
      <c r="H416" s="28"/>
      <c r="I416" s="28"/>
      <c r="J416" s="28"/>
      <c r="K416" s="28"/>
      <c r="L416" s="28"/>
      <c r="M416" s="285"/>
      <c r="N416" s="158" t="str">
        <f>Lists!B47</f>
        <v>Medium</v>
      </c>
      <c r="O416" s="164">
        <v>0.15</v>
      </c>
      <c r="P416" s="324"/>
      <c r="Q416" s="324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31"/>
      <c r="AC416" s="31"/>
      <c r="AD416" s="12"/>
    </row>
    <row r="417" spans="1:30" s="11" customFormat="1" outlineLevel="1" x14ac:dyDescent="0.35">
      <c r="A417" s="93"/>
      <c r="B417" s="10"/>
      <c r="C417" s="80"/>
      <c r="D417" s="80"/>
      <c r="E417" s="80"/>
      <c r="F417" s="78"/>
      <c r="G417" s="28"/>
      <c r="H417" s="28"/>
      <c r="I417" s="28"/>
      <c r="J417" s="28"/>
      <c r="K417" s="28"/>
      <c r="L417" s="28"/>
      <c r="M417" s="285"/>
      <c r="N417" s="158" t="str">
        <f>Lists!B48</f>
        <v>High</v>
      </c>
      <c r="O417" s="164">
        <v>0.2</v>
      </c>
      <c r="P417" s="324"/>
      <c r="Q417" s="324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31"/>
      <c r="AC417" s="31"/>
      <c r="AD417" s="12"/>
    </row>
    <row r="418" spans="1:30" s="11" customFormat="1" outlineLevel="1" x14ac:dyDescent="0.35">
      <c r="A418" s="93"/>
      <c r="B418" s="10"/>
      <c r="C418" s="80"/>
      <c r="D418" s="80"/>
      <c r="E418" s="80"/>
      <c r="F418" s="78"/>
      <c r="G418" s="28"/>
      <c r="H418" s="28"/>
      <c r="I418" s="28"/>
      <c r="J418" s="28"/>
      <c r="K418" s="28"/>
      <c r="L418" s="28"/>
      <c r="M418" s="285"/>
      <c r="N418" s="31"/>
      <c r="O418" s="31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31"/>
      <c r="AC418" s="31"/>
      <c r="AD418" s="12"/>
    </row>
    <row r="419" spans="1:30" s="11" customFormat="1" ht="20.25" customHeight="1" outlineLevel="1" x14ac:dyDescent="0.35">
      <c r="A419" s="93"/>
      <c r="B419" s="10"/>
      <c r="C419" s="78"/>
      <c r="D419" s="78"/>
      <c r="E419" s="78"/>
      <c r="F419" s="78"/>
      <c r="G419" s="43"/>
      <c r="H419" s="43"/>
      <c r="I419" s="43"/>
      <c r="J419" s="43"/>
      <c r="K419" s="43"/>
      <c r="L419" s="43"/>
      <c r="M419" s="281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12"/>
    </row>
    <row r="420" spans="1:30" x14ac:dyDescent="0.35">
      <c r="F420" s="78"/>
    </row>
    <row r="484" spans="1:30" s="11" customFormat="1" ht="20.25" customHeight="1" x14ac:dyDescent="0.35">
      <c r="A484" s="93"/>
      <c r="B484" s="10"/>
      <c r="C484" s="78"/>
      <c r="D484" s="78"/>
      <c r="E484" s="78"/>
      <c r="F484" s="78"/>
      <c r="G484" s="317" t="s">
        <v>48</v>
      </c>
      <c r="H484" s="317"/>
      <c r="I484" s="178"/>
      <c r="J484" s="43"/>
      <c r="K484" s="43"/>
      <c r="L484" s="39"/>
      <c r="M484" s="289" t="s">
        <v>125</v>
      </c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12"/>
    </row>
    <row r="485" spans="1:30" hidden="1" x14ac:dyDescent="0.35"/>
    <row r="486" spans="1:30" s="17" customFormat="1" ht="18.5" hidden="1" x14ac:dyDescent="0.35">
      <c r="A486" s="93" t="s">
        <v>98</v>
      </c>
      <c r="B486" s="21"/>
      <c r="C486" s="81"/>
      <c r="D486" s="81"/>
      <c r="E486" s="81"/>
      <c r="F486" s="82"/>
      <c r="G486" s="55"/>
      <c r="H486" s="55"/>
      <c r="I486" s="55"/>
      <c r="J486" s="55"/>
      <c r="K486" s="55"/>
      <c r="L486" s="55" t="s">
        <v>105</v>
      </c>
      <c r="M486" s="284" t="s">
        <v>106</v>
      </c>
      <c r="N486" s="56"/>
      <c r="O486" s="57"/>
      <c r="P486" s="58"/>
      <c r="Q486" s="58"/>
      <c r="R486" s="58"/>
      <c r="S486" s="327">
        <f>CEILING(SUMIFS(T487:T492, J487:J492, "&lt;&gt;Yes", A487:A492,"T1"),1)</f>
        <v>0</v>
      </c>
      <c r="T486" s="327"/>
      <c r="U486" s="58"/>
      <c r="V486" s="58"/>
      <c r="W486" s="58"/>
      <c r="X486" s="58"/>
      <c r="Y486" s="58"/>
      <c r="Z486" s="58"/>
      <c r="AA486" s="58"/>
      <c r="AB486" s="58"/>
      <c r="AC486" s="58"/>
      <c r="AD486" s="26" t="str">
        <f>IF(M486="", "Section name cannot be empty.", "")</f>
        <v/>
      </c>
    </row>
    <row r="487" spans="1:30" s="11" customFormat="1" ht="1.5" customHeight="1" outlineLevel="1" x14ac:dyDescent="0.35">
      <c r="A487" s="93" t="s">
        <v>99</v>
      </c>
      <c r="B487" s="18"/>
      <c r="C487" s="78"/>
      <c r="D487" s="78"/>
      <c r="E487" s="78"/>
      <c r="F487" s="78"/>
      <c r="G487" s="28"/>
      <c r="H487" s="28"/>
      <c r="I487" s="28"/>
      <c r="J487" s="28"/>
      <c r="K487" s="28"/>
      <c r="L487" s="29">
        <v>0</v>
      </c>
      <c r="M487" s="285"/>
      <c r="N487" s="28"/>
      <c r="O487" s="28"/>
      <c r="P487" s="28"/>
      <c r="Q487" s="28"/>
      <c r="R487" s="28"/>
      <c r="S487" s="28"/>
      <c r="T487" s="30"/>
      <c r="U487" s="28"/>
      <c r="V487" s="28"/>
      <c r="W487" s="28"/>
      <c r="X487" s="30"/>
      <c r="Y487" s="28"/>
      <c r="Z487" s="28"/>
      <c r="AA487" s="28"/>
      <c r="AB487" s="31"/>
      <c r="AC487" s="31"/>
      <c r="AD487" s="12"/>
    </row>
    <row r="488" spans="1:30" s="17" customFormat="1" ht="15.5" outlineLevel="1" x14ac:dyDescent="0.35">
      <c r="A488" s="93" t="s">
        <v>100</v>
      </c>
      <c r="B488" s="21"/>
      <c r="C488" s="84"/>
      <c r="D488" s="84"/>
      <c r="E488" s="84"/>
      <c r="F488" s="83"/>
      <c r="G488" s="32"/>
      <c r="H488" s="32"/>
      <c r="I488" s="32"/>
      <c r="J488" s="32"/>
      <c r="K488" s="32"/>
      <c r="L488" s="20">
        <f ca="1">LOOKUP(1000,INDIRECT("L1:"&amp;CELL("address",INDIRECT("R[-1]C",FALSE))))+1</f>
        <v>1</v>
      </c>
      <c r="M488" s="326" t="s">
        <v>108</v>
      </c>
      <c r="N488" s="326"/>
      <c r="O488" s="5"/>
      <c r="P488" s="33"/>
      <c r="Q488" s="33"/>
      <c r="R488" s="33"/>
      <c r="S488" s="33"/>
      <c r="T488" s="167">
        <f>IF($S$6="Exclude", SUMIFS(S489:S491, J489:J491, "&lt;&gt;Yes", G489:G491, "&lt;&gt;Yes"), SUMIFS(S489:S491, J489:J491, "&lt;&gt;Yes"))</f>
        <v>0</v>
      </c>
      <c r="U488" s="33"/>
      <c r="V488" s="33"/>
      <c r="W488" s="33"/>
      <c r="X488" s="34"/>
      <c r="Y488" s="35"/>
      <c r="Z488" s="35"/>
      <c r="AA488" s="35"/>
      <c r="AB488" s="240" t="s">
        <v>443</v>
      </c>
      <c r="AC488" s="36"/>
      <c r="AD488" s="26" t="str">
        <f>IF(M488="", "Error: Task name cannot be empty.", "")</f>
        <v/>
      </c>
    </row>
    <row r="489" spans="1:30" s="15" customFormat="1" ht="1.5" customHeight="1" outlineLevel="2" x14ac:dyDescent="0.35">
      <c r="A489" s="93" t="s">
        <v>101</v>
      </c>
      <c r="B489" s="21"/>
      <c r="C489" s="84"/>
      <c r="D489" s="84"/>
      <c r="E489" s="84"/>
      <c r="F489" s="83"/>
      <c r="G489" s="32"/>
      <c r="H489" s="32"/>
      <c r="I489" s="32"/>
      <c r="J489" s="32"/>
      <c r="K489" s="32"/>
      <c r="L489" s="175">
        <f ca="1">L488</f>
        <v>1</v>
      </c>
      <c r="M489" s="176" t="s">
        <v>105</v>
      </c>
      <c r="N489" s="173"/>
      <c r="O489" s="174"/>
      <c r="P489" s="33"/>
      <c r="Q489" s="33"/>
      <c r="R489" s="33"/>
      <c r="S489" s="33"/>
      <c r="T489" s="167"/>
      <c r="U489" s="33"/>
      <c r="V489" s="33"/>
      <c r="W489" s="33"/>
      <c r="X489" s="34"/>
      <c r="Y489" s="35"/>
      <c r="Z489" s="35"/>
      <c r="AA489" s="35"/>
      <c r="AB489" s="36"/>
      <c r="AC489" s="36"/>
      <c r="AD489" s="26"/>
    </row>
    <row r="490" spans="1:30" ht="58" outlineLevel="2" x14ac:dyDescent="0.35">
      <c r="A490" s="93" t="s">
        <v>0</v>
      </c>
      <c r="B490" s="21"/>
      <c r="C490" s="85"/>
      <c r="D490" s="85"/>
      <c r="E490" s="85"/>
      <c r="F490" s="86"/>
      <c r="G490" s="22" t="s">
        <v>23</v>
      </c>
      <c r="H490" s="22" t="s">
        <v>23</v>
      </c>
      <c r="I490" s="23" t="s">
        <v>23</v>
      </c>
      <c r="J490" s="22" t="s">
        <v>23</v>
      </c>
      <c r="K490" s="38"/>
      <c r="L490" s="22"/>
      <c r="M490" s="286" t="str">
        <f ca="1">IFERROR(OFFSET(M490,-1,,1,1)+0.1,OFFSET(M490,-1,-1,1,1)&amp;".1")</f>
        <v>1.1</v>
      </c>
      <c r="N490" s="23" t="s">
        <v>442</v>
      </c>
      <c r="O490" s="23"/>
      <c r="P490" s="23"/>
      <c r="Q490" s="144"/>
      <c r="R490" s="137"/>
      <c r="S490" s="169">
        <f>CEILING((IF(J490="Yes", 0, IF(H490="-",AA490,AA490+AA490*VLOOKUP(H490,BUFFERS_BY_TYPE,2,FALSE)))) +
   (IF(J490="Yes", 0, IF(H490="-",AA490,AA490+AA490*VLOOKUP(H490,BUFFERS_BY_TYPE,2,FALSE))))*VLOOKUP($S$5, SALES_CALL_SCALE_ARRAY, 2,FALSE),0.25)</f>
        <v>0</v>
      </c>
      <c r="T490" s="170"/>
      <c r="U490" s="24">
        <v>0</v>
      </c>
      <c r="V490" s="24">
        <v>1</v>
      </c>
      <c r="W490" s="24">
        <v>0</v>
      </c>
      <c r="X490" s="168"/>
      <c r="Y490" s="169">
        <f>CEILING((IF(P490=AS_DEV_EFFORT, DEV_EFFORT*Q490%,
                           IF(P490=AS_DURATION_EFFORT, (MANUAL_DURATION*5)*Q490%,
                                    (IF(Q490&lt;=1,X490,
                                          IF(SUM(U490:W490)=0,(Q490*X490),
                                               (((Q490*U490)*(X490+(X490*EXTRA_FOR_H)))+
                                               ((Q490*V490)*X490)+
                                               ((Q490*W490)*(X490-(X490*LESS_FOR_L)))
                                    )*IF(R490=0,1,R490))))))+Z490), 0.25)</f>
        <v>0</v>
      </c>
      <c r="Z490" s="25"/>
      <c r="AA490" s="169">
        <f>Y490+Y490*VLOOKUP(I490,EXTRAS_ARRAY,2,FALSE)</f>
        <v>0</v>
      </c>
      <c r="AB490" s="23"/>
      <c r="AC490" s="37"/>
      <c r="AD490" s="26" t="str">
        <f>IF(J490&lt;&gt;"Yes",
IF(S490&lt;=0,"Error: Effort value is not defined or is invalid.",
IF(AND(SUM(U490:W490)&gt;0,SUM(U490:W490)&lt;&gt;1),"Error: Complexity % distribution should sum to 100%.",
IF(AND(P490=AS_DEV_EFFORT,X490&lt;&gt;0),"Error: PDs should not be defined when defining as dev effort %.",
IF(AND(P490=AS_DURATION_EFFORT,X490&lt;&gt;0),"Error: PDs should not be defined when defining as duration effort %.","")))))</f>
        <v>Error: Effort value is not defined or is invalid.</v>
      </c>
    </row>
    <row r="491" spans="1:30" s="11" customFormat="1" ht="7.5" customHeight="1" outlineLevel="2" x14ac:dyDescent="0.35">
      <c r="A491" s="93" t="s">
        <v>132</v>
      </c>
      <c r="B491" s="18"/>
      <c r="C491" s="78"/>
      <c r="D491" s="78"/>
      <c r="E491" s="78"/>
      <c r="F491" s="78"/>
      <c r="G491" s="10"/>
      <c r="H491" s="10"/>
      <c r="I491" s="10"/>
      <c r="J491" s="10"/>
      <c r="K491" s="10"/>
      <c r="L491" s="10"/>
      <c r="M491" s="287"/>
      <c r="N491" s="10"/>
      <c r="O491" s="10"/>
      <c r="P491" s="10"/>
      <c r="Q491" s="10"/>
      <c r="R491" s="10"/>
      <c r="S491" s="10"/>
      <c r="T491" s="18"/>
      <c r="U491" s="10"/>
      <c r="V491" s="10"/>
      <c r="W491" s="10"/>
      <c r="X491" s="18"/>
      <c r="Y491" s="10"/>
      <c r="Z491" s="10"/>
      <c r="AA491" s="10"/>
      <c r="AB491" s="60"/>
      <c r="AC491" s="60"/>
      <c r="AD491" s="12"/>
    </row>
    <row r="492" spans="1:30" s="11" customFormat="1" ht="1.5" customHeight="1" outlineLevel="1" x14ac:dyDescent="0.35">
      <c r="A492" s="93" t="s">
        <v>102</v>
      </c>
      <c r="B492" s="10"/>
      <c r="C492" s="78"/>
      <c r="D492" s="78"/>
      <c r="E492" s="78"/>
      <c r="F492" s="78"/>
      <c r="G492" s="59"/>
      <c r="H492" s="59"/>
      <c r="I492" s="59"/>
      <c r="J492" s="59"/>
      <c r="K492" s="59"/>
      <c r="L492" s="61"/>
      <c r="M492" s="288"/>
      <c r="N492" s="62"/>
      <c r="O492" s="62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2"/>
      <c r="AC492" s="62"/>
      <c r="AD492" s="12"/>
    </row>
    <row r="493" spans="1:30" hidden="1" x14ac:dyDescent="0.35"/>
    <row r="494" spans="1:30" s="17" customFormat="1" ht="15.5" outlineLevel="1" x14ac:dyDescent="0.35">
      <c r="A494" s="93" t="s">
        <v>107</v>
      </c>
      <c r="B494" s="21"/>
      <c r="C494" s="84"/>
      <c r="D494" s="84"/>
      <c r="E494" s="84"/>
      <c r="F494" s="83"/>
      <c r="G494" s="185"/>
      <c r="H494" s="185"/>
      <c r="I494" s="185"/>
      <c r="J494" s="185"/>
      <c r="K494" s="185"/>
      <c r="L494" s="92" t="s">
        <v>109</v>
      </c>
      <c r="M494" s="325" t="s">
        <v>124</v>
      </c>
      <c r="N494" s="325"/>
      <c r="O494" s="87"/>
      <c r="P494" s="88"/>
      <c r="Q494" s="88"/>
      <c r="R494" s="88"/>
      <c r="S494" s="328">
        <f>SUMGROUP(ROW(), "T")</f>
        <v>0</v>
      </c>
      <c r="T494" s="328"/>
      <c r="U494" s="318"/>
      <c r="V494" s="318"/>
      <c r="W494" s="318"/>
      <c r="X494" s="89"/>
      <c r="Y494" s="90"/>
      <c r="Z494" s="90"/>
      <c r="AA494" s="90"/>
      <c r="AB494" s="243"/>
      <c r="AC494" s="91"/>
      <c r="AD494" s="26" t="str">
        <f>IF(M494="", "Error: Module name cannot be empty.", "")</f>
        <v/>
      </c>
    </row>
    <row r="495" spans="1:30" hidden="1" x14ac:dyDescent="0.35"/>
    <row r="496" spans="1:30" s="11" customFormat="1" ht="20.25" customHeight="1" x14ac:dyDescent="0.35">
      <c r="A496" s="93"/>
      <c r="B496" s="10"/>
      <c r="C496" s="78"/>
      <c r="D496" s="78"/>
      <c r="E496" s="78"/>
      <c r="F496" s="78"/>
      <c r="G496" s="43"/>
      <c r="H496" s="43"/>
      <c r="I496" s="43"/>
      <c r="J496" s="43"/>
      <c r="K496" s="43"/>
      <c r="L496" s="43"/>
      <c r="M496" s="281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108">
    <mergeCell ref="M156:N156"/>
    <mergeCell ref="M161:N161"/>
    <mergeCell ref="M165:N165"/>
    <mergeCell ref="M124:N124"/>
    <mergeCell ref="M129:N129"/>
    <mergeCell ref="M133:N133"/>
    <mergeCell ref="M137:N137"/>
    <mergeCell ref="M142:N142"/>
    <mergeCell ref="M274:N274"/>
    <mergeCell ref="M192:N192"/>
    <mergeCell ref="M198:N198"/>
    <mergeCell ref="M202:N202"/>
    <mergeCell ref="M206:N206"/>
    <mergeCell ref="M169:N169"/>
    <mergeCell ref="M175:N175"/>
    <mergeCell ref="M179:N179"/>
    <mergeCell ref="M183:N183"/>
    <mergeCell ref="M187:N187"/>
    <mergeCell ref="M264:N264"/>
    <mergeCell ref="M269:N269"/>
    <mergeCell ref="M236:N236"/>
    <mergeCell ref="M229:N229"/>
    <mergeCell ref="M211:N211"/>
    <mergeCell ref="M210:N210"/>
    <mergeCell ref="U107:W107"/>
    <mergeCell ref="M92:N92"/>
    <mergeCell ref="M108:N108"/>
    <mergeCell ref="M99:N99"/>
    <mergeCell ref="M107:N107"/>
    <mergeCell ref="M115:N115"/>
    <mergeCell ref="M119:N119"/>
    <mergeCell ref="M146:N146"/>
    <mergeCell ref="M150:N150"/>
    <mergeCell ref="S210:T210"/>
    <mergeCell ref="M223:N223"/>
    <mergeCell ref="M222:N222"/>
    <mergeCell ref="S222:T222"/>
    <mergeCell ref="U222:W222"/>
    <mergeCell ref="M228:N228"/>
    <mergeCell ref="S228:T228"/>
    <mergeCell ref="U228:W228"/>
    <mergeCell ref="U210:W210"/>
    <mergeCell ref="Y351:AA355"/>
    <mergeCell ref="U10:W10"/>
    <mergeCell ref="M297:T298"/>
    <mergeCell ref="W339:X340"/>
    <mergeCell ref="W341:X341"/>
    <mergeCell ref="W342:X342"/>
    <mergeCell ref="W343:X343"/>
    <mergeCell ref="W344:X344"/>
    <mergeCell ref="W345:X345"/>
    <mergeCell ref="W346:X346"/>
    <mergeCell ref="W347:X347"/>
    <mergeCell ref="Q347:V347"/>
    <mergeCell ref="M14:N14"/>
    <mergeCell ref="M61:N61"/>
    <mergeCell ref="W349:X350"/>
    <mergeCell ref="S11:T11"/>
    <mergeCell ref="M20:N20"/>
    <mergeCell ref="M66:N66"/>
    <mergeCell ref="M71:N71"/>
    <mergeCell ref="M79:N79"/>
    <mergeCell ref="S59:T59"/>
    <mergeCell ref="M26:N26"/>
    <mergeCell ref="M33:N33"/>
    <mergeCell ref="M39:N39"/>
    <mergeCell ref="C2:F9"/>
    <mergeCell ref="C10:F10"/>
    <mergeCell ref="G9:J9"/>
    <mergeCell ref="G295:H295"/>
    <mergeCell ref="C11:F11"/>
    <mergeCell ref="C12:E12"/>
    <mergeCell ref="G3:J3"/>
    <mergeCell ref="J5:K5"/>
    <mergeCell ref="AB5:AB6"/>
    <mergeCell ref="P10:R10"/>
    <mergeCell ref="S12:T12"/>
    <mergeCell ref="S90:T90"/>
    <mergeCell ref="S220:T220"/>
    <mergeCell ref="S256:T256"/>
    <mergeCell ref="S107:T107"/>
    <mergeCell ref="M288:N288"/>
    <mergeCell ref="S286:T286"/>
    <mergeCell ref="S293:T293"/>
    <mergeCell ref="M45:N45"/>
    <mergeCell ref="M51:N51"/>
    <mergeCell ref="M278:N278"/>
    <mergeCell ref="M241:N241"/>
    <mergeCell ref="M248:N248"/>
    <mergeCell ref="M258:N258"/>
    <mergeCell ref="G336:H336"/>
    <mergeCell ref="U494:W494"/>
    <mergeCell ref="Q349:V349"/>
    <mergeCell ref="P339:P340"/>
    <mergeCell ref="G364:H364"/>
    <mergeCell ref="G484:H484"/>
    <mergeCell ref="Q338:V338"/>
    <mergeCell ref="O339:O340"/>
    <mergeCell ref="N376:N378"/>
    <mergeCell ref="P402:R405"/>
    <mergeCell ref="P407:Q408"/>
    <mergeCell ref="P415:Q417"/>
    <mergeCell ref="M494:N494"/>
    <mergeCell ref="M488:N488"/>
    <mergeCell ref="S486:T486"/>
    <mergeCell ref="S494:T494"/>
    <mergeCell ref="T358:U358"/>
    <mergeCell ref="T357:U357"/>
  </mergeCells>
  <conditionalFormatting sqref="B341">
    <cfRule type="cellIs" dxfId="1500" priority="10834" operator="equal">
      <formula>"."</formula>
    </cfRule>
  </conditionalFormatting>
  <conditionalFormatting sqref="C338:E338 C357:E360">
    <cfRule type="expression" dxfId="1499" priority="10714">
      <formula>$H338&lt;&gt;""</formula>
    </cfRule>
  </conditionalFormatting>
  <conditionalFormatting sqref="C339:E347">
    <cfRule type="expression" dxfId="1498" priority="10712">
      <formula>$H339&lt;&gt;""</formula>
    </cfRule>
  </conditionalFormatting>
  <conditionalFormatting sqref="B339">
    <cfRule type="cellIs" dxfId="1497" priority="10708" operator="equal">
      <formula>"."</formula>
    </cfRule>
  </conditionalFormatting>
  <conditionalFormatting sqref="B490">
    <cfRule type="expression" dxfId="1496" priority="10603">
      <formula>AD490&lt;&gt;""</formula>
    </cfRule>
  </conditionalFormatting>
  <conditionalFormatting sqref="Z490">
    <cfRule type="cellIs" dxfId="1495" priority="10601" operator="greaterThan">
      <formula>0</formula>
    </cfRule>
    <cfRule type="cellIs" dxfId="1494" priority="10602" operator="lessThan">
      <formula>0</formula>
    </cfRule>
  </conditionalFormatting>
  <conditionalFormatting sqref="S490">
    <cfRule type="cellIs" dxfId="1493" priority="10600" operator="lessThan">
      <formula>0</formula>
    </cfRule>
  </conditionalFormatting>
  <conditionalFormatting sqref="T488:T489">
    <cfRule type="expression" dxfId="1492" priority="10604">
      <formula>#REF!="Yes"</formula>
    </cfRule>
  </conditionalFormatting>
  <conditionalFormatting sqref="P490">
    <cfRule type="cellIs" dxfId="1491" priority="10597" operator="equal">
      <formula>AS_DURATION_EFFORT</formula>
    </cfRule>
    <cfRule type="cellIs" dxfId="1490" priority="10598" operator="equal">
      <formula>AS_DEV_EFFORT</formula>
    </cfRule>
  </conditionalFormatting>
  <conditionalFormatting sqref="S494">
    <cfRule type="expression" dxfId="1489" priority="10413">
      <formula>#REF!="Yes"</formula>
    </cfRule>
  </conditionalFormatting>
  <conditionalFormatting sqref="B486">
    <cfRule type="expression" dxfId="1488" priority="10405">
      <formula>AD486&lt;&gt;""</formula>
    </cfRule>
  </conditionalFormatting>
  <conditionalFormatting sqref="B488:B489">
    <cfRule type="expression" dxfId="1487" priority="10404">
      <formula>AD488&lt;&gt;""</formula>
    </cfRule>
  </conditionalFormatting>
  <conditionalFormatting sqref="B494">
    <cfRule type="expression" dxfId="1486" priority="10403">
      <formula>AD494&lt;&gt;""</formula>
    </cfRule>
  </conditionalFormatting>
  <conditionalFormatting sqref="L28:M28 L35:M35 O28:AC28 O35:AC35 L36:AC37 L47:AC49 L53:AC56 L77:O77 L94:AC97 L73:AC74 L75:O75 Q75:AC75 Q77:AC77 L16:AC17 L23:AC24 L41:AC43 L68:AC68 L81:AC85 L231:AC234 L225:AC226 L238:AC239 L213:AC217 L131:AC131 L135:AC135 L139:AC140 L144:AC144 L148:AC148 L152:AC154 L158:AC159 L163:AC163 L167:AC167 L171:AC173 L177:AC177 L181:AC181 L185:AC185 L194:AC196 L200:AC200 L110:AC113 L117:AC117 L121:AC122 L126:AC127 L189:AC190 L204:AC204 L101:AC105 L243:AC246 L280:AC283 L290:AC290 L250:AC252 L260:AC262 L266:AC267 L271:AC272 L63:AC64 L490:AC490">
    <cfRule type="expression" dxfId="1485" priority="12692">
      <formula>AND($G16="Yes", $S$6="Exclude")</formula>
    </cfRule>
    <cfRule type="expression" dxfId="1484" priority="12693">
      <formula>$J16="Yes"</formula>
    </cfRule>
  </conditionalFormatting>
  <conditionalFormatting sqref="T5">
    <cfRule type="expression" dxfId="1483" priority="9986">
      <formula>OR($S$5="Reduce by:", $S$5="Increase by:")</formula>
    </cfRule>
  </conditionalFormatting>
  <conditionalFormatting sqref="F490">
    <cfRule type="expression" dxfId="1482" priority="7236">
      <formula>$K490&lt;&gt;""</formula>
    </cfRule>
  </conditionalFormatting>
  <conditionalFormatting sqref="C490">
    <cfRule type="expression" dxfId="1481" priority="7192">
      <formula>$G490&lt;&gt;"-"</formula>
    </cfRule>
  </conditionalFormatting>
  <conditionalFormatting sqref="D490">
    <cfRule type="expression" dxfId="1480" priority="7190">
      <formula>$H490&lt;&gt;"-"</formula>
    </cfRule>
  </conditionalFormatting>
  <conditionalFormatting sqref="E490">
    <cfRule type="expression" dxfId="1479" priority="7189">
      <formula>$I490&lt;&gt;"-"</formula>
    </cfRule>
  </conditionalFormatting>
  <conditionalFormatting sqref="B342">
    <cfRule type="cellIs" dxfId="1478" priority="3633" operator="equal">
      <formula>"."</formula>
    </cfRule>
  </conditionalFormatting>
  <conditionalFormatting sqref="B343">
    <cfRule type="cellIs" dxfId="1477" priority="3632" operator="equal">
      <formula>"."</formula>
    </cfRule>
  </conditionalFormatting>
  <conditionalFormatting sqref="B344">
    <cfRule type="cellIs" dxfId="1476" priority="3631" operator="equal">
      <formula>"."</formula>
    </cfRule>
  </conditionalFormatting>
  <conditionalFormatting sqref="B345">
    <cfRule type="cellIs" dxfId="1475" priority="3630" operator="equal">
      <formula>"."</formula>
    </cfRule>
  </conditionalFormatting>
  <conditionalFormatting sqref="B346">
    <cfRule type="cellIs" dxfId="1474" priority="3629" operator="equal">
      <formula>"."</formula>
    </cfRule>
  </conditionalFormatting>
  <conditionalFormatting sqref="B16">
    <cfRule type="expression" dxfId="1473" priority="3625">
      <formula>AD16&lt;&gt;""</formula>
    </cfRule>
  </conditionalFormatting>
  <conditionalFormatting sqref="Z16">
    <cfRule type="cellIs" dxfId="1472" priority="3623" operator="greaterThan">
      <formula>0</formula>
    </cfRule>
    <cfRule type="cellIs" dxfId="1471" priority="3624" operator="lessThan">
      <formula>0</formula>
    </cfRule>
  </conditionalFormatting>
  <conditionalFormatting sqref="S16">
    <cfRule type="cellIs" dxfId="1470" priority="3622" operator="lessThan">
      <formula>0</formula>
    </cfRule>
  </conditionalFormatting>
  <conditionalFormatting sqref="T14:T15">
    <cfRule type="expression" dxfId="1469" priority="3626">
      <formula>#REF!="Yes"</formula>
    </cfRule>
  </conditionalFormatting>
  <conditionalFormatting sqref="P16">
    <cfRule type="cellIs" dxfId="1468" priority="3620" operator="equal">
      <formula>AS_DURATION_EFFORT</formula>
    </cfRule>
    <cfRule type="cellIs" dxfId="1467" priority="3621" operator="equal">
      <formula>AS_DEV_EFFORT</formula>
    </cfRule>
  </conditionalFormatting>
  <conditionalFormatting sqref="B14:B15">
    <cfRule type="expression" dxfId="1466" priority="3619">
      <formula>AD14&lt;&gt;""</formula>
    </cfRule>
  </conditionalFormatting>
  <conditionalFormatting sqref="F16">
    <cfRule type="expression" dxfId="1465" priority="3618">
      <formula>$K16&lt;&gt;""</formula>
    </cfRule>
  </conditionalFormatting>
  <conditionalFormatting sqref="C16">
    <cfRule type="expression" dxfId="1464" priority="3617">
      <formula>$G16&lt;&gt;"-"</formula>
    </cfRule>
  </conditionalFormatting>
  <conditionalFormatting sqref="D16">
    <cfRule type="expression" dxfId="1463" priority="3616">
      <formula>$H16&lt;&gt;"-"</formula>
    </cfRule>
  </conditionalFormatting>
  <conditionalFormatting sqref="E16">
    <cfRule type="expression" dxfId="1462" priority="3615">
      <formula>$I16&lt;&gt;"-"</formula>
    </cfRule>
  </conditionalFormatting>
  <conditionalFormatting sqref="B17">
    <cfRule type="expression" dxfId="1461" priority="3612">
      <formula>AD17&lt;&gt;""</formula>
    </cfRule>
  </conditionalFormatting>
  <conditionalFormatting sqref="Z17">
    <cfRule type="cellIs" dxfId="1460" priority="3610" operator="greaterThan">
      <formula>0</formula>
    </cfRule>
    <cfRule type="cellIs" dxfId="1459" priority="3611" operator="lessThan">
      <formula>0</formula>
    </cfRule>
  </conditionalFormatting>
  <conditionalFormatting sqref="S17">
    <cfRule type="cellIs" dxfId="1458" priority="3609" operator="lessThan">
      <formula>0</formula>
    </cfRule>
  </conditionalFormatting>
  <conditionalFormatting sqref="P17">
    <cfRule type="cellIs" dxfId="1457" priority="3607" operator="equal">
      <formula>AS_DURATION_EFFORT</formula>
    </cfRule>
    <cfRule type="cellIs" dxfId="1456" priority="3608" operator="equal">
      <formula>AS_DEV_EFFORT</formula>
    </cfRule>
  </conditionalFormatting>
  <conditionalFormatting sqref="F17">
    <cfRule type="expression" dxfId="1455" priority="3606">
      <formula>$K17&lt;&gt;""</formula>
    </cfRule>
  </conditionalFormatting>
  <conditionalFormatting sqref="C17">
    <cfRule type="expression" dxfId="1454" priority="3605">
      <formula>$G17&lt;&gt;"-"</formula>
    </cfRule>
  </conditionalFormatting>
  <conditionalFormatting sqref="D17">
    <cfRule type="expression" dxfId="1453" priority="3604">
      <formula>$H17&lt;&gt;"-"</formula>
    </cfRule>
  </conditionalFormatting>
  <conditionalFormatting sqref="E17">
    <cfRule type="expression" dxfId="1452" priority="3603">
      <formula>$I17&lt;&gt;"-"</formula>
    </cfRule>
  </conditionalFormatting>
  <conditionalFormatting sqref="B63">
    <cfRule type="expression" dxfId="1451" priority="3599">
      <formula>AD63&lt;&gt;""</formula>
    </cfRule>
  </conditionalFormatting>
  <conditionalFormatting sqref="Z63">
    <cfRule type="cellIs" dxfId="1450" priority="3597" operator="greaterThan">
      <formula>0</formula>
    </cfRule>
    <cfRule type="cellIs" dxfId="1449" priority="3598" operator="lessThan">
      <formula>0</formula>
    </cfRule>
  </conditionalFormatting>
  <conditionalFormatting sqref="S63">
    <cfRule type="cellIs" dxfId="1448" priority="3596" operator="lessThan">
      <formula>0</formula>
    </cfRule>
  </conditionalFormatting>
  <conditionalFormatting sqref="T61:T62">
    <cfRule type="expression" dxfId="1447" priority="3600">
      <formula>#REF!="Yes"</formula>
    </cfRule>
  </conditionalFormatting>
  <conditionalFormatting sqref="P63">
    <cfRule type="cellIs" dxfId="1446" priority="3594" operator="equal">
      <formula>AS_DURATION_EFFORT</formula>
    </cfRule>
    <cfRule type="cellIs" dxfId="1445" priority="3595" operator="equal">
      <formula>AS_DEV_EFFORT</formula>
    </cfRule>
  </conditionalFormatting>
  <conditionalFormatting sqref="B61:B62">
    <cfRule type="expression" dxfId="1444" priority="3593">
      <formula>AD61&lt;&gt;""</formula>
    </cfRule>
  </conditionalFormatting>
  <conditionalFormatting sqref="F63">
    <cfRule type="expression" dxfId="1443" priority="3592">
      <formula>$K63&lt;&gt;""</formula>
    </cfRule>
  </conditionalFormatting>
  <conditionalFormatting sqref="C63">
    <cfRule type="expression" dxfId="1442" priority="3591">
      <formula>$G63&lt;&gt;"-"</formula>
    </cfRule>
  </conditionalFormatting>
  <conditionalFormatting sqref="D63">
    <cfRule type="expression" dxfId="1441" priority="3590">
      <formula>$H63&lt;&gt;"-"</formula>
    </cfRule>
  </conditionalFormatting>
  <conditionalFormatting sqref="E63">
    <cfRule type="expression" dxfId="1440" priority="3589">
      <formula>$I63&lt;&gt;"-"</formula>
    </cfRule>
  </conditionalFormatting>
  <conditionalFormatting sqref="B94">
    <cfRule type="expression" dxfId="1439" priority="3529">
      <formula>AD94&lt;&gt;""</formula>
    </cfRule>
  </conditionalFormatting>
  <conditionalFormatting sqref="Z94">
    <cfRule type="cellIs" dxfId="1438" priority="3527" operator="greaterThan">
      <formula>0</formula>
    </cfRule>
    <cfRule type="cellIs" dxfId="1437" priority="3528" operator="lessThan">
      <formula>0</formula>
    </cfRule>
  </conditionalFormatting>
  <conditionalFormatting sqref="S94">
    <cfRule type="cellIs" dxfId="1436" priority="3526" operator="lessThan">
      <formula>0</formula>
    </cfRule>
  </conditionalFormatting>
  <conditionalFormatting sqref="T92:T93">
    <cfRule type="expression" dxfId="1435" priority="3530">
      <formula>#REF!="Yes"</formula>
    </cfRule>
  </conditionalFormatting>
  <conditionalFormatting sqref="P94">
    <cfRule type="cellIs" dxfId="1434" priority="3524" operator="equal">
      <formula>AS_DURATION_EFFORT</formula>
    </cfRule>
    <cfRule type="cellIs" dxfId="1433" priority="3525" operator="equal">
      <formula>AS_DEV_EFFORT</formula>
    </cfRule>
  </conditionalFormatting>
  <conditionalFormatting sqref="B92:B93">
    <cfRule type="expression" dxfId="1432" priority="3523">
      <formula>AD92&lt;&gt;""</formula>
    </cfRule>
  </conditionalFormatting>
  <conditionalFormatting sqref="F94">
    <cfRule type="expression" dxfId="1431" priority="3522">
      <formula>$K94&lt;&gt;""</formula>
    </cfRule>
  </conditionalFormatting>
  <conditionalFormatting sqref="C94">
    <cfRule type="expression" dxfId="1430" priority="3521">
      <formula>$G94&lt;&gt;"-"</formula>
    </cfRule>
  </conditionalFormatting>
  <conditionalFormatting sqref="D94">
    <cfRule type="expression" dxfId="1429" priority="3520">
      <formula>$H94&lt;&gt;"-"</formula>
    </cfRule>
  </conditionalFormatting>
  <conditionalFormatting sqref="E94">
    <cfRule type="expression" dxfId="1428" priority="3519">
      <formula>$I94&lt;&gt;"-"</formula>
    </cfRule>
  </conditionalFormatting>
  <conditionalFormatting sqref="B110">
    <cfRule type="expression" dxfId="1427" priority="3501">
      <formula>AD110&lt;&gt;""</formula>
    </cfRule>
  </conditionalFormatting>
  <conditionalFormatting sqref="Z110">
    <cfRule type="cellIs" dxfId="1426" priority="3499" operator="greaterThan">
      <formula>0</formula>
    </cfRule>
    <cfRule type="cellIs" dxfId="1425" priority="3500" operator="lessThan">
      <formula>0</formula>
    </cfRule>
  </conditionalFormatting>
  <conditionalFormatting sqref="S110">
    <cfRule type="cellIs" dxfId="1424" priority="3498" operator="lessThan">
      <formula>0</formula>
    </cfRule>
  </conditionalFormatting>
  <conditionalFormatting sqref="T108:T109">
    <cfRule type="expression" dxfId="1423" priority="3502">
      <formula>#REF!="Yes"</formula>
    </cfRule>
  </conditionalFormatting>
  <conditionalFormatting sqref="P110">
    <cfRule type="cellIs" dxfId="1422" priority="3496" operator="equal">
      <formula>AS_DURATION_EFFORT</formula>
    </cfRule>
    <cfRule type="cellIs" dxfId="1421" priority="3497" operator="equal">
      <formula>AS_DEV_EFFORT</formula>
    </cfRule>
  </conditionalFormatting>
  <conditionalFormatting sqref="B108:B109">
    <cfRule type="expression" dxfId="1420" priority="3495">
      <formula>AD108&lt;&gt;""</formula>
    </cfRule>
  </conditionalFormatting>
  <conditionalFormatting sqref="F110">
    <cfRule type="expression" dxfId="1419" priority="3494">
      <formula>$K110&lt;&gt;""</formula>
    </cfRule>
  </conditionalFormatting>
  <conditionalFormatting sqref="C110">
    <cfRule type="expression" dxfId="1418" priority="3493">
      <formula>$G110&lt;&gt;"-"</formula>
    </cfRule>
  </conditionalFormatting>
  <conditionalFormatting sqref="D110">
    <cfRule type="expression" dxfId="1417" priority="3492">
      <formula>$H110&lt;&gt;"-"</formula>
    </cfRule>
  </conditionalFormatting>
  <conditionalFormatting sqref="E110">
    <cfRule type="expression" dxfId="1416" priority="3491">
      <formula>$I110&lt;&gt;"-"</formula>
    </cfRule>
  </conditionalFormatting>
  <conditionalFormatting sqref="B101">
    <cfRule type="expression" dxfId="1415" priority="3487">
      <formula>AD101&lt;&gt;""</formula>
    </cfRule>
  </conditionalFormatting>
  <conditionalFormatting sqref="Z101">
    <cfRule type="cellIs" dxfId="1414" priority="3485" operator="greaterThan">
      <formula>0</formula>
    </cfRule>
    <cfRule type="cellIs" dxfId="1413" priority="3486" operator="lessThan">
      <formula>0</formula>
    </cfRule>
  </conditionalFormatting>
  <conditionalFormatting sqref="S101">
    <cfRule type="cellIs" dxfId="1412" priority="3484" operator="lessThan">
      <formula>0</formula>
    </cfRule>
  </conditionalFormatting>
  <conditionalFormatting sqref="T99:T100">
    <cfRule type="expression" dxfId="1411" priority="3488">
      <formula>#REF!="Yes"</formula>
    </cfRule>
  </conditionalFormatting>
  <conditionalFormatting sqref="P101">
    <cfRule type="cellIs" dxfId="1410" priority="3482" operator="equal">
      <formula>AS_DURATION_EFFORT</formula>
    </cfRule>
    <cfRule type="cellIs" dxfId="1409" priority="3483" operator="equal">
      <formula>AS_DEV_EFFORT</formula>
    </cfRule>
  </conditionalFormatting>
  <conditionalFormatting sqref="B99:B100">
    <cfRule type="expression" dxfId="1408" priority="3481">
      <formula>AD99&lt;&gt;""</formula>
    </cfRule>
  </conditionalFormatting>
  <conditionalFormatting sqref="F101">
    <cfRule type="expression" dxfId="1407" priority="3480">
      <formula>$K101&lt;&gt;""</formula>
    </cfRule>
  </conditionalFormatting>
  <conditionalFormatting sqref="C101">
    <cfRule type="expression" dxfId="1406" priority="3479">
      <formula>$G101&lt;&gt;"-"</formula>
    </cfRule>
  </conditionalFormatting>
  <conditionalFormatting sqref="D101">
    <cfRule type="expression" dxfId="1405" priority="3478">
      <formula>$H101&lt;&gt;"-"</formula>
    </cfRule>
  </conditionalFormatting>
  <conditionalFormatting sqref="E101">
    <cfRule type="expression" dxfId="1404" priority="3477">
      <formula>$I101&lt;&gt;"-"</formula>
    </cfRule>
  </conditionalFormatting>
  <conditionalFormatting sqref="S107">
    <cfRule type="expression" dxfId="1403" priority="3472">
      <formula>#REF!="Yes"</formula>
    </cfRule>
  </conditionalFormatting>
  <conditionalFormatting sqref="B107">
    <cfRule type="expression" dxfId="1402" priority="3471">
      <formula>AD107&lt;&gt;""</formula>
    </cfRule>
  </conditionalFormatting>
  <conditionalFormatting sqref="B23">
    <cfRule type="expression" dxfId="1401" priority="3467">
      <formula>AD23&lt;&gt;""</formula>
    </cfRule>
  </conditionalFormatting>
  <conditionalFormatting sqref="Z23">
    <cfRule type="cellIs" dxfId="1400" priority="3465" operator="greaterThan">
      <formula>0</formula>
    </cfRule>
    <cfRule type="cellIs" dxfId="1399" priority="3466" operator="lessThan">
      <formula>0</formula>
    </cfRule>
  </conditionalFormatting>
  <conditionalFormatting sqref="S23">
    <cfRule type="cellIs" dxfId="1398" priority="3464" operator="lessThan">
      <formula>0</formula>
    </cfRule>
  </conditionalFormatting>
  <conditionalFormatting sqref="T20:T21">
    <cfRule type="expression" dxfId="1397" priority="3468">
      <formula>#REF!="Yes"</formula>
    </cfRule>
  </conditionalFormatting>
  <conditionalFormatting sqref="P23">
    <cfRule type="cellIs" dxfId="1396" priority="3462" operator="equal">
      <formula>AS_DURATION_EFFORT</formula>
    </cfRule>
    <cfRule type="cellIs" dxfId="1395" priority="3463" operator="equal">
      <formula>AS_DEV_EFFORT</formula>
    </cfRule>
  </conditionalFormatting>
  <conditionalFormatting sqref="B20:B21">
    <cfRule type="expression" dxfId="1394" priority="3461">
      <formula>AD20&lt;&gt;""</formula>
    </cfRule>
  </conditionalFormatting>
  <conditionalFormatting sqref="F23">
    <cfRule type="expression" dxfId="1393" priority="3460">
      <formula>$K23&lt;&gt;""</formula>
    </cfRule>
  </conditionalFormatting>
  <conditionalFormatting sqref="C23">
    <cfRule type="expression" dxfId="1392" priority="3459">
      <formula>$G23&lt;&gt;"-"</formula>
    </cfRule>
  </conditionalFormatting>
  <conditionalFormatting sqref="D23">
    <cfRule type="expression" dxfId="1391" priority="3458">
      <formula>$H23&lt;&gt;"-"</formula>
    </cfRule>
  </conditionalFormatting>
  <conditionalFormatting sqref="E23">
    <cfRule type="expression" dxfId="1390" priority="3457">
      <formula>$I23&lt;&gt;"-"</formula>
    </cfRule>
  </conditionalFormatting>
  <conditionalFormatting sqref="B24">
    <cfRule type="expression" dxfId="1389" priority="3454">
      <formula>AD24&lt;&gt;""</formula>
    </cfRule>
  </conditionalFormatting>
  <conditionalFormatting sqref="Z24">
    <cfRule type="cellIs" dxfId="1388" priority="3452" operator="greaterThan">
      <formula>0</formula>
    </cfRule>
    <cfRule type="cellIs" dxfId="1387" priority="3453" operator="lessThan">
      <formula>0</formula>
    </cfRule>
  </conditionalFormatting>
  <conditionalFormatting sqref="S24">
    <cfRule type="cellIs" dxfId="1386" priority="3451" operator="lessThan">
      <formula>0</formula>
    </cfRule>
  </conditionalFormatting>
  <conditionalFormatting sqref="P24">
    <cfRule type="cellIs" dxfId="1385" priority="3449" operator="equal">
      <formula>AS_DURATION_EFFORT</formula>
    </cfRule>
    <cfRule type="cellIs" dxfId="1384" priority="3450" operator="equal">
      <formula>AS_DEV_EFFORT</formula>
    </cfRule>
  </conditionalFormatting>
  <conditionalFormatting sqref="F24">
    <cfRule type="expression" dxfId="1383" priority="3448">
      <formula>$K24&lt;&gt;""</formula>
    </cfRule>
  </conditionalFormatting>
  <conditionalFormatting sqref="C24">
    <cfRule type="expression" dxfId="1382" priority="3447">
      <formula>$G24&lt;&gt;"-"</formula>
    </cfRule>
  </conditionalFormatting>
  <conditionalFormatting sqref="D24">
    <cfRule type="expression" dxfId="1381" priority="3446">
      <formula>$H24&lt;&gt;"-"</formula>
    </cfRule>
  </conditionalFormatting>
  <conditionalFormatting sqref="E24">
    <cfRule type="expression" dxfId="1380" priority="3445">
      <formula>$I24&lt;&gt;"-"</formula>
    </cfRule>
  </conditionalFormatting>
  <conditionalFormatting sqref="B68">
    <cfRule type="expression" dxfId="1379" priority="3391">
      <formula>AD68&lt;&gt;""</formula>
    </cfRule>
  </conditionalFormatting>
  <conditionalFormatting sqref="Z68">
    <cfRule type="cellIs" dxfId="1378" priority="3389" operator="greaterThan">
      <formula>0</formula>
    </cfRule>
    <cfRule type="cellIs" dxfId="1377" priority="3390" operator="lessThan">
      <formula>0</formula>
    </cfRule>
  </conditionalFormatting>
  <conditionalFormatting sqref="S68">
    <cfRule type="cellIs" dxfId="1376" priority="3388" operator="lessThan">
      <formula>0</formula>
    </cfRule>
  </conditionalFormatting>
  <conditionalFormatting sqref="T66:T67">
    <cfRule type="expression" dxfId="1375" priority="3392">
      <formula>#REF!="Yes"</formula>
    </cfRule>
  </conditionalFormatting>
  <conditionalFormatting sqref="P68">
    <cfRule type="cellIs" dxfId="1374" priority="3386" operator="equal">
      <formula>AS_DURATION_EFFORT</formula>
    </cfRule>
    <cfRule type="cellIs" dxfId="1373" priority="3387" operator="equal">
      <formula>AS_DEV_EFFORT</formula>
    </cfRule>
  </conditionalFormatting>
  <conditionalFormatting sqref="B66:B67">
    <cfRule type="expression" dxfId="1372" priority="3385">
      <formula>AD66&lt;&gt;""</formula>
    </cfRule>
  </conditionalFormatting>
  <conditionalFormatting sqref="F68">
    <cfRule type="expression" dxfId="1371" priority="3384">
      <formula>$K68&lt;&gt;""</formula>
    </cfRule>
  </conditionalFormatting>
  <conditionalFormatting sqref="C68">
    <cfRule type="expression" dxfId="1370" priority="3383">
      <formula>$G68&lt;&gt;"-"</formula>
    </cfRule>
  </conditionalFormatting>
  <conditionalFormatting sqref="D68">
    <cfRule type="expression" dxfId="1369" priority="3382">
      <formula>$H68&lt;&gt;"-"</formula>
    </cfRule>
  </conditionalFormatting>
  <conditionalFormatting sqref="E68">
    <cfRule type="expression" dxfId="1368" priority="3381">
      <formula>$I68&lt;&gt;"-"</formula>
    </cfRule>
  </conditionalFormatting>
  <conditionalFormatting sqref="B73">
    <cfRule type="expression" dxfId="1367" priority="3377">
      <formula>AD73&lt;&gt;""</formula>
    </cfRule>
  </conditionalFormatting>
  <conditionalFormatting sqref="Z73">
    <cfRule type="cellIs" dxfId="1366" priority="3375" operator="greaterThan">
      <formula>0</formula>
    </cfRule>
    <cfRule type="cellIs" dxfId="1365" priority="3376" operator="lessThan">
      <formula>0</formula>
    </cfRule>
  </conditionalFormatting>
  <conditionalFormatting sqref="S73">
    <cfRule type="cellIs" dxfId="1364" priority="3374" operator="lessThan">
      <formula>0</formula>
    </cfRule>
  </conditionalFormatting>
  <conditionalFormatting sqref="T71:T72">
    <cfRule type="expression" dxfId="1363" priority="3378">
      <formula>#REF!="Yes"</formula>
    </cfRule>
  </conditionalFormatting>
  <conditionalFormatting sqref="P73">
    <cfRule type="cellIs" dxfId="1362" priority="3372" operator="equal">
      <formula>AS_DURATION_EFFORT</formula>
    </cfRule>
    <cfRule type="cellIs" dxfId="1361" priority="3373" operator="equal">
      <formula>AS_DEV_EFFORT</formula>
    </cfRule>
  </conditionalFormatting>
  <conditionalFormatting sqref="B71:B72">
    <cfRule type="expression" dxfId="1360" priority="3371">
      <formula>AD71&lt;&gt;""</formula>
    </cfRule>
  </conditionalFormatting>
  <conditionalFormatting sqref="F73">
    <cfRule type="expression" dxfId="1359" priority="3370">
      <formula>$K73&lt;&gt;""</formula>
    </cfRule>
  </conditionalFormatting>
  <conditionalFormatting sqref="C73">
    <cfRule type="expression" dxfId="1358" priority="3369">
      <formula>$G73&lt;&gt;"-"</formula>
    </cfRule>
  </conditionalFormatting>
  <conditionalFormatting sqref="D73">
    <cfRule type="expression" dxfId="1357" priority="3368">
      <formula>$H73&lt;&gt;"-"</formula>
    </cfRule>
  </conditionalFormatting>
  <conditionalFormatting sqref="E73">
    <cfRule type="expression" dxfId="1356" priority="3367">
      <formula>$I73&lt;&gt;"-"</formula>
    </cfRule>
  </conditionalFormatting>
  <conditionalFormatting sqref="B81">
    <cfRule type="expression" dxfId="1355" priority="3363">
      <formula>AD81&lt;&gt;""</formula>
    </cfRule>
  </conditionalFormatting>
  <conditionalFormatting sqref="Z81">
    <cfRule type="cellIs" dxfId="1354" priority="3361" operator="greaterThan">
      <formula>0</formula>
    </cfRule>
    <cfRule type="cellIs" dxfId="1353" priority="3362" operator="lessThan">
      <formula>0</formula>
    </cfRule>
  </conditionalFormatting>
  <conditionalFormatting sqref="S81">
    <cfRule type="cellIs" dxfId="1352" priority="3360" operator="lessThan">
      <formula>0</formula>
    </cfRule>
  </conditionalFormatting>
  <conditionalFormatting sqref="T79:T80">
    <cfRule type="expression" dxfId="1351" priority="3364">
      <formula>#REF!="Yes"</formula>
    </cfRule>
  </conditionalFormatting>
  <conditionalFormatting sqref="P81">
    <cfRule type="cellIs" dxfId="1350" priority="3358" operator="equal">
      <formula>AS_DURATION_EFFORT</formula>
    </cfRule>
    <cfRule type="cellIs" dxfId="1349" priority="3359" operator="equal">
      <formula>AS_DEV_EFFORT</formula>
    </cfRule>
  </conditionalFormatting>
  <conditionalFormatting sqref="B79:B80">
    <cfRule type="expression" dxfId="1348" priority="3357">
      <formula>AD79&lt;&gt;""</formula>
    </cfRule>
  </conditionalFormatting>
  <conditionalFormatting sqref="F81">
    <cfRule type="expression" dxfId="1347" priority="3356">
      <formula>$K81&lt;&gt;""</formula>
    </cfRule>
  </conditionalFormatting>
  <conditionalFormatting sqref="C81">
    <cfRule type="expression" dxfId="1346" priority="3355">
      <formula>$G81&lt;&gt;"-"</formula>
    </cfRule>
  </conditionalFormatting>
  <conditionalFormatting sqref="D81">
    <cfRule type="expression" dxfId="1345" priority="3354">
      <formula>$H81&lt;&gt;"-"</formula>
    </cfRule>
  </conditionalFormatting>
  <conditionalFormatting sqref="E81">
    <cfRule type="expression" dxfId="1344" priority="3353">
      <formula>$I81&lt;&gt;"-"</formula>
    </cfRule>
  </conditionalFormatting>
  <conditionalFormatting sqref="B64">
    <cfRule type="expression" dxfId="1343" priority="3322">
      <formula>AD64&lt;&gt;""</formula>
    </cfRule>
  </conditionalFormatting>
  <conditionalFormatting sqref="Z64">
    <cfRule type="cellIs" dxfId="1342" priority="3320" operator="greaterThan">
      <formula>0</formula>
    </cfRule>
    <cfRule type="cellIs" dxfId="1341" priority="3321" operator="lessThan">
      <formula>0</formula>
    </cfRule>
  </conditionalFormatting>
  <conditionalFormatting sqref="S64">
    <cfRule type="cellIs" dxfId="1340" priority="3319" operator="lessThan">
      <formula>0</formula>
    </cfRule>
  </conditionalFormatting>
  <conditionalFormatting sqref="P64">
    <cfRule type="cellIs" dxfId="1339" priority="3317" operator="equal">
      <formula>AS_DURATION_EFFORT</formula>
    </cfRule>
    <cfRule type="cellIs" dxfId="1338" priority="3318" operator="equal">
      <formula>AS_DEV_EFFORT</formula>
    </cfRule>
  </conditionalFormatting>
  <conditionalFormatting sqref="F64">
    <cfRule type="expression" dxfId="1337" priority="3316">
      <formula>$K64&lt;&gt;""</formula>
    </cfRule>
  </conditionalFormatting>
  <conditionalFormatting sqref="C64">
    <cfRule type="expression" dxfId="1336" priority="3315">
      <formula>$G64&lt;&gt;"-"</formula>
    </cfRule>
  </conditionalFormatting>
  <conditionalFormatting sqref="D64">
    <cfRule type="expression" dxfId="1335" priority="3314">
      <formula>$H64&lt;&gt;"-"</formula>
    </cfRule>
  </conditionalFormatting>
  <conditionalFormatting sqref="E64">
    <cfRule type="expression" dxfId="1334" priority="3313">
      <formula>$I64&lt;&gt;"-"</formula>
    </cfRule>
  </conditionalFormatting>
  <conditionalFormatting sqref="B74">
    <cfRule type="expression" dxfId="1333" priority="3310">
      <formula>AD74&lt;&gt;""</formula>
    </cfRule>
  </conditionalFormatting>
  <conditionalFormatting sqref="Z74">
    <cfRule type="cellIs" dxfId="1332" priority="3308" operator="greaterThan">
      <formula>0</formula>
    </cfRule>
    <cfRule type="cellIs" dxfId="1331" priority="3309" operator="lessThan">
      <formula>0</formula>
    </cfRule>
  </conditionalFormatting>
  <conditionalFormatting sqref="S74">
    <cfRule type="cellIs" dxfId="1330" priority="3307" operator="lessThan">
      <formula>0</formula>
    </cfRule>
  </conditionalFormatting>
  <conditionalFormatting sqref="P74">
    <cfRule type="cellIs" dxfId="1329" priority="3305" operator="equal">
      <formula>AS_DURATION_EFFORT</formula>
    </cfRule>
    <cfRule type="cellIs" dxfId="1328" priority="3306" operator="equal">
      <formula>AS_DEV_EFFORT</formula>
    </cfRule>
  </conditionalFormatting>
  <conditionalFormatting sqref="F74">
    <cfRule type="expression" dxfId="1327" priority="3304">
      <formula>$K74&lt;&gt;""</formula>
    </cfRule>
  </conditionalFormatting>
  <conditionalFormatting sqref="C74">
    <cfRule type="expression" dxfId="1326" priority="3303">
      <formula>$G74&lt;&gt;"-"</formula>
    </cfRule>
  </conditionalFormatting>
  <conditionalFormatting sqref="D74">
    <cfRule type="expression" dxfId="1325" priority="3302">
      <formula>$H74&lt;&gt;"-"</formula>
    </cfRule>
  </conditionalFormatting>
  <conditionalFormatting sqref="E74">
    <cfRule type="expression" dxfId="1324" priority="3301">
      <formula>$I74&lt;&gt;"-"</formula>
    </cfRule>
  </conditionalFormatting>
  <conditionalFormatting sqref="B75">
    <cfRule type="expression" dxfId="1323" priority="3298">
      <formula>AD75&lt;&gt;""</formula>
    </cfRule>
  </conditionalFormatting>
  <conditionalFormatting sqref="Z75">
    <cfRule type="cellIs" dxfId="1322" priority="3296" operator="greaterThan">
      <formula>0</formula>
    </cfRule>
    <cfRule type="cellIs" dxfId="1321" priority="3297" operator="lessThan">
      <formula>0</formula>
    </cfRule>
  </conditionalFormatting>
  <conditionalFormatting sqref="S75">
    <cfRule type="cellIs" dxfId="1320" priority="3295" operator="lessThan">
      <formula>0</formula>
    </cfRule>
  </conditionalFormatting>
  <conditionalFormatting sqref="F75">
    <cfRule type="expression" dxfId="1319" priority="3292">
      <formula>$K75&lt;&gt;""</formula>
    </cfRule>
  </conditionalFormatting>
  <conditionalFormatting sqref="C75">
    <cfRule type="expression" dxfId="1318" priority="3291">
      <formula>$G75&lt;&gt;"-"</formula>
    </cfRule>
  </conditionalFormatting>
  <conditionalFormatting sqref="D75">
    <cfRule type="expression" dxfId="1317" priority="3290">
      <formula>$H75&lt;&gt;"-"</formula>
    </cfRule>
  </conditionalFormatting>
  <conditionalFormatting sqref="E75">
    <cfRule type="expression" dxfId="1316" priority="3289">
      <formula>$I75&lt;&gt;"-"</formula>
    </cfRule>
  </conditionalFormatting>
  <conditionalFormatting sqref="B77">
    <cfRule type="expression" dxfId="1315" priority="3286">
      <formula>AD77&lt;&gt;""</formula>
    </cfRule>
  </conditionalFormatting>
  <conditionalFormatting sqref="Z77">
    <cfRule type="cellIs" dxfId="1314" priority="3284" operator="greaterThan">
      <formula>0</formula>
    </cfRule>
    <cfRule type="cellIs" dxfId="1313" priority="3285" operator="lessThan">
      <formula>0</formula>
    </cfRule>
  </conditionalFormatting>
  <conditionalFormatting sqref="S77">
    <cfRule type="cellIs" dxfId="1312" priority="3283" operator="lessThan">
      <formula>0</formula>
    </cfRule>
  </conditionalFormatting>
  <conditionalFormatting sqref="F77">
    <cfRule type="expression" dxfId="1311" priority="3280">
      <formula>$K77&lt;&gt;""</formula>
    </cfRule>
  </conditionalFormatting>
  <conditionalFormatting sqref="C77">
    <cfRule type="expression" dxfId="1310" priority="3279">
      <formula>$G77&lt;&gt;"-"</formula>
    </cfRule>
  </conditionalFormatting>
  <conditionalFormatting sqref="D77">
    <cfRule type="expression" dxfId="1309" priority="3278">
      <formula>$H77&lt;&gt;"-"</formula>
    </cfRule>
  </conditionalFormatting>
  <conditionalFormatting sqref="E77">
    <cfRule type="expression" dxfId="1308" priority="3277">
      <formula>$I77&lt;&gt;"-"</formula>
    </cfRule>
  </conditionalFormatting>
  <conditionalFormatting sqref="B85">
    <cfRule type="expression" dxfId="1307" priority="3226">
      <formula>AD85&lt;&gt;""</formula>
    </cfRule>
  </conditionalFormatting>
  <conditionalFormatting sqref="Z85">
    <cfRule type="cellIs" dxfId="1306" priority="3224" operator="greaterThan">
      <formula>0</formula>
    </cfRule>
    <cfRule type="cellIs" dxfId="1305" priority="3225" operator="lessThan">
      <formula>0</formula>
    </cfRule>
  </conditionalFormatting>
  <conditionalFormatting sqref="S85">
    <cfRule type="cellIs" dxfId="1304" priority="3223" operator="lessThan">
      <formula>0</formula>
    </cfRule>
  </conditionalFormatting>
  <conditionalFormatting sqref="P85">
    <cfRule type="cellIs" dxfId="1303" priority="3221" operator="equal">
      <formula>AS_DURATION_EFFORT</formula>
    </cfRule>
    <cfRule type="cellIs" dxfId="1302" priority="3222" operator="equal">
      <formula>AS_DEV_EFFORT</formula>
    </cfRule>
  </conditionalFormatting>
  <conditionalFormatting sqref="F85">
    <cfRule type="expression" dxfId="1301" priority="3220">
      <formula>$K85&lt;&gt;""</formula>
    </cfRule>
  </conditionalFormatting>
  <conditionalFormatting sqref="C85">
    <cfRule type="expression" dxfId="1300" priority="3219">
      <formula>$G85&lt;&gt;"-"</formula>
    </cfRule>
  </conditionalFormatting>
  <conditionalFormatting sqref="D85">
    <cfRule type="expression" dxfId="1299" priority="3218">
      <formula>$H85&lt;&gt;"-"</formula>
    </cfRule>
  </conditionalFormatting>
  <conditionalFormatting sqref="E85">
    <cfRule type="expression" dxfId="1298" priority="3217">
      <formula>$I85&lt;&gt;"-"</formula>
    </cfRule>
  </conditionalFormatting>
  <conditionalFormatting sqref="B84">
    <cfRule type="expression" dxfId="1297" priority="3202">
      <formula>AD84&lt;&gt;""</formula>
    </cfRule>
  </conditionalFormatting>
  <conditionalFormatting sqref="Z84">
    <cfRule type="cellIs" dxfId="1296" priority="3200" operator="greaterThan">
      <formula>0</formula>
    </cfRule>
    <cfRule type="cellIs" dxfId="1295" priority="3201" operator="lessThan">
      <formula>0</formula>
    </cfRule>
  </conditionalFormatting>
  <conditionalFormatting sqref="S84">
    <cfRule type="cellIs" dxfId="1294" priority="3199" operator="lessThan">
      <formula>0</formula>
    </cfRule>
  </conditionalFormatting>
  <conditionalFormatting sqref="P84">
    <cfRule type="cellIs" dxfId="1293" priority="3197" operator="equal">
      <formula>AS_DURATION_EFFORT</formula>
    </cfRule>
    <cfRule type="cellIs" dxfId="1292" priority="3198" operator="equal">
      <formula>AS_DEV_EFFORT</formula>
    </cfRule>
  </conditionalFormatting>
  <conditionalFormatting sqref="F84">
    <cfRule type="expression" dxfId="1291" priority="3196">
      <formula>$K84&lt;&gt;""</formula>
    </cfRule>
  </conditionalFormatting>
  <conditionalFormatting sqref="C84">
    <cfRule type="expression" dxfId="1290" priority="3195">
      <formula>$G84&lt;&gt;"-"</formula>
    </cfRule>
  </conditionalFormatting>
  <conditionalFormatting sqref="D84">
    <cfRule type="expression" dxfId="1289" priority="3194">
      <formula>$H84&lt;&gt;"-"</formula>
    </cfRule>
  </conditionalFormatting>
  <conditionalFormatting sqref="E84">
    <cfRule type="expression" dxfId="1288" priority="3193">
      <formula>$I84&lt;&gt;"-"</formula>
    </cfRule>
  </conditionalFormatting>
  <conditionalFormatting sqref="B83">
    <cfRule type="expression" dxfId="1287" priority="3178">
      <formula>AD83&lt;&gt;""</formula>
    </cfRule>
  </conditionalFormatting>
  <conditionalFormatting sqref="Z83">
    <cfRule type="cellIs" dxfId="1286" priority="3176" operator="greaterThan">
      <formula>0</formula>
    </cfRule>
    <cfRule type="cellIs" dxfId="1285" priority="3177" operator="lessThan">
      <formula>0</formula>
    </cfRule>
  </conditionalFormatting>
  <conditionalFormatting sqref="S83">
    <cfRule type="cellIs" dxfId="1284" priority="3175" operator="lessThan">
      <formula>0</formula>
    </cfRule>
  </conditionalFormatting>
  <conditionalFormatting sqref="P83">
    <cfRule type="cellIs" dxfId="1283" priority="3173" operator="equal">
      <formula>AS_DURATION_EFFORT</formula>
    </cfRule>
    <cfRule type="cellIs" dxfId="1282" priority="3174" operator="equal">
      <formula>AS_DEV_EFFORT</formula>
    </cfRule>
  </conditionalFormatting>
  <conditionalFormatting sqref="F83">
    <cfRule type="expression" dxfId="1281" priority="3172">
      <formula>$K83&lt;&gt;""</formula>
    </cfRule>
  </conditionalFormatting>
  <conditionalFormatting sqref="C83">
    <cfRule type="expression" dxfId="1280" priority="3171">
      <formula>$G83&lt;&gt;"-"</formula>
    </cfRule>
  </conditionalFormatting>
  <conditionalFormatting sqref="D83">
    <cfRule type="expression" dxfId="1279" priority="3170">
      <formula>$H83&lt;&gt;"-"</formula>
    </cfRule>
  </conditionalFormatting>
  <conditionalFormatting sqref="E83">
    <cfRule type="expression" dxfId="1278" priority="3169">
      <formula>$I83&lt;&gt;"-"</formula>
    </cfRule>
  </conditionalFormatting>
  <conditionalFormatting sqref="B82">
    <cfRule type="expression" dxfId="1277" priority="3166">
      <formula>AD82&lt;&gt;""</formula>
    </cfRule>
  </conditionalFormatting>
  <conditionalFormatting sqref="Z82">
    <cfRule type="cellIs" dxfId="1276" priority="3164" operator="greaterThan">
      <formula>0</formula>
    </cfRule>
    <cfRule type="cellIs" dxfId="1275" priority="3165" operator="lessThan">
      <formula>0</formula>
    </cfRule>
  </conditionalFormatting>
  <conditionalFormatting sqref="S82">
    <cfRule type="cellIs" dxfId="1274" priority="3163" operator="lessThan">
      <formula>0</formula>
    </cfRule>
  </conditionalFormatting>
  <conditionalFormatting sqref="P82">
    <cfRule type="cellIs" dxfId="1273" priority="3161" operator="equal">
      <formula>AS_DURATION_EFFORT</formula>
    </cfRule>
    <cfRule type="cellIs" dxfId="1272" priority="3162" operator="equal">
      <formula>AS_DEV_EFFORT</formula>
    </cfRule>
  </conditionalFormatting>
  <conditionalFormatting sqref="F82">
    <cfRule type="expression" dxfId="1271" priority="3160">
      <formula>$K82&lt;&gt;""</formula>
    </cfRule>
  </conditionalFormatting>
  <conditionalFormatting sqref="C82">
    <cfRule type="expression" dxfId="1270" priority="3159">
      <formula>$G82&lt;&gt;"-"</formula>
    </cfRule>
  </conditionalFormatting>
  <conditionalFormatting sqref="D82">
    <cfRule type="expression" dxfId="1269" priority="3158">
      <formula>$H82&lt;&gt;"-"</formula>
    </cfRule>
  </conditionalFormatting>
  <conditionalFormatting sqref="E82">
    <cfRule type="expression" dxfId="1268" priority="3157">
      <formula>$I82&lt;&gt;"-"</formula>
    </cfRule>
  </conditionalFormatting>
  <conditionalFormatting sqref="B97">
    <cfRule type="expression" dxfId="1267" priority="3118">
      <formula>AD97&lt;&gt;""</formula>
    </cfRule>
  </conditionalFormatting>
  <conditionalFormatting sqref="Z97">
    <cfRule type="cellIs" dxfId="1266" priority="3116" operator="greaterThan">
      <formula>0</formula>
    </cfRule>
    <cfRule type="cellIs" dxfId="1265" priority="3117" operator="lessThan">
      <formula>0</formula>
    </cfRule>
  </conditionalFormatting>
  <conditionalFormatting sqref="S97">
    <cfRule type="cellIs" dxfId="1264" priority="3115" operator="lessThan">
      <formula>0</formula>
    </cfRule>
  </conditionalFormatting>
  <conditionalFormatting sqref="P97">
    <cfRule type="cellIs" dxfId="1263" priority="3113" operator="equal">
      <formula>AS_DURATION_EFFORT</formula>
    </cfRule>
    <cfRule type="cellIs" dxfId="1262" priority="3114" operator="equal">
      <formula>AS_DEV_EFFORT</formula>
    </cfRule>
  </conditionalFormatting>
  <conditionalFormatting sqref="F97">
    <cfRule type="expression" dxfId="1261" priority="3112">
      <formula>$K97&lt;&gt;""</formula>
    </cfRule>
  </conditionalFormatting>
  <conditionalFormatting sqref="C97">
    <cfRule type="expression" dxfId="1260" priority="3111">
      <formula>$G97&lt;&gt;"-"</formula>
    </cfRule>
  </conditionalFormatting>
  <conditionalFormatting sqref="D97">
    <cfRule type="expression" dxfId="1259" priority="3110">
      <formula>$H97&lt;&gt;"-"</formula>
    </cfRule>
  </conditionalFormatting>
  <conditionalFormatting sqref="E97">
    <cfRule type="expression" dxfId="1258" priority="3109">
      <formula>$I97&lt;&gt;"-"</formula>
    </cfRule>
  </conditionalFormatting>
  <conditionalFormatting sqref="B96">
    <cfRule type="expression" dxfId="1257" priority="3106">
      <formula>AD96&lt;&gt;""</formula>
    </cfRule>
  </conditionalFormatting>
  <conditionalFormatting sqref="Z96">
    <cfRule type="cellIs" dxfId="1256" priority="3104" operator="greaterThan">
      <formula>0</formula>
    </cfRule>
    <cfRule type="cellIs" dxfId="1255" priority="3105" operator="lessThan">
      <formula>0</formula>
    </cfRule>
  </conditionalFormatting>
  <conditionalFormatting sqref="S96">
    <cfRule type="cellIs" dxfId="1254" priority="3103" operator="lessThan">
      <formula>0</formula>
    </cfRule>
  </conditionalFormatting>
  <conditionalFormatting sqref="P96">
    <cfRule type="cellIs" dxfId="1253" priority="3101" operator="equal">
      <formula>AS_DURATION_EFFORT</formula>
    </cfRule>
    <cfRule type="cellIs" dxfId="1252" priority="3102" operator="equal">
      <formula>AS_DEV_EFFORT</formula>
    </cfRule>
  </conditionalFormatting>
  <conditionalFormatting sqref="F96">
    <cfRule type="expression" dxfId="1251" priority="3100">
      <formula>$K96&lt;&gt;""</formula>
    </cfRule>
  </conditionalFormatting>
  <conditionalFormatting sqref="C96">
    <cfRule type="expression" dxfId="1250" priority="3099">
      <formula>$G96&lt;&gt;"-"</formula>
    </cfRule>
  </conditionalFormatting>
  <conditionalFormatting sqref="D96">
    <cfRule type="expression" dxfId="1249" priority="3098">
      <formula>$H96&lt;&gt;"-"</formula>
    </cfRule>
  </conditionalFormatting>
  <conditionalFormatting sqref="E96">
    <cfRule type="expression" dxfId="1248" priority="3097">
      <formula>$I96&lt;&gt;"-"</formula>
    </cfRule>
  </conditionalFormatting>
  <conditionalFormatting sqref="B95">
    <cfRule type="expression" dxfId="1247" priority="3094">
      <formula>AD95&lt;&gt;""</formula>
    </cfRule>
  </conditionalFormatting>
  <conditionalFormatting sqref="Z95">
    <cfRule type="cellIs" dxfId="1246" priority="3092" operator="greaterThan">
      <formula>0</formula>
    </cfRule>
    <cfRule type="cellIs" dxfId="1245" priority="3093" operator="lessThan">
      <formula>0</formula>
    </cfRule>
  </conditionalFormatting>
  <conditionalFormatting sqref="S95">
    <cfRule type="cellIs" dxfId="1244" priority="3091" operator="lessThan">
      <formula>0</formula>
    </cfRule>
  </conditionalFormatting>
  <conditionalFormatting sqref="P95">
    <cfRule type="cellIs" dxfId="1243" priority="3089" operator="equal">
      <formula>AS_DURATION_EFFORT</formula>
    </cfRule>
    <cfRule type="cellIs" dxfId="1242" priority="3090" operator="equal">
      <formula>AS_DEV_EFFORT</formula>
    </cfRule>
  </conditionalFormatting>
  <conditionalFormatting sqref="F95">
    <cfRule type="expression" dxfId="1241" priority="3088">
      <formula>$K95&lt;&gt;""</formula>
    </cfRule>
  </conditionalFormatting>
  <conditionalFormatting sqref="C95">
    <cfRule type="expression" dxfId="1240" priority="3087">
      <formula>$G95&lt;&gt;"-"</formula>
    </cfRule>
  </conditionalFormatting>
  <conditionalFormatting sqref="D95">
    <cfRule type="expression" dxfId="1239" priority="3086">
      <formula>$H95&lt;&gt;"-"</formula>
    </cfRule>
  </conditionalFormatting>
  <conditionalFormatting sqref="E95">
    <cfRule type="expression" dxfId="1238" priority="3085">
      <formula>$I95&lt;&gt;"-"</formula>
    </cfRule>
  </conditionalFormatting>
  <conditionalFormatting sqref="B105">
    <cfRule type="expression" dxfId="1237" priority="3082">
      <formula>AD105&lt;&gt;""</formula>
    </cfRule>
  </conditionalFormatting>
  <conditionalFormatting sqref="Z105">
    <cfRule type="cellIs" dxfId="1236" priority="3080" operator="greaterThan">
      <formula>0</formula>
    </cfRule>
    <cfRule type="cellIs" dxfId="1235" priority="3081" operator="lessThan">
      <formula>0</formula>
    </cfRule>
  </conditionalFormatting>
  <conditionalFormatting sqref="S105">
    <cfRule type="cellIs" dxfId="1234" priority="3079" operator="lessThan">
      <formula>0</formula>
    </cfRule>
  </conditionalFormatting>
  <conditionalFormatting sqref="P105">
    <cfRule type="cellIs" dxfId="1233" priority="3077" operator="equal">
      <formula>AS_DURATION_EFFORT</formula>
    </cfRule>
    <cfRule type="cellIs" dxfId="1232" priority="3078" operator="equal">
      <formula>AS_DEV_EFFORT</formula>
    </cfRule>
  </conditionalFormatting>
  <conditionalFormatting sqref="F105">
    <cfRule type="expression" dxfId="1231" priority="3076">
      <formula>$K105&lt;&gt;""</formula>
    </cfRule>
  </conditionalFormatting>
  <conditionalFormatting sqref="C105">
    <cfRule type="expression" dxfId="1230" priority="3075">
      <formula>$G105&lt;&gt;"-"</formula>
    </cfRule>
  </conditionalFormatting>
  <conditionalFormatting sqref="D105">
    <cfRule type="expression" dxfId="1229" priority="3074">
      <formula>$H105&lt;&gt;"-"</formula>
    </cfRule>
  </conditionalFormatting>
  <conditionalFormatting sqref="E105">
    <cfRule type="expression" dxfId="1228" priority="3073">
      <formula>$I105&lt;&gt;"-"</formula>
    </cfRule>
  </conditionalFormatting>
  <conditionalFormatting sqref="B104">
    <cfRule type="expression" dxfId="1227" priority="3070">
      <formula>AD104&lt;&gt;""</formula>
    </cfRule>
  </conditionalFormatting>
  <conditionalFormatting sqref="Z104">
    <cfRule type="cellIs" dxfId="1226" priority="3068" operator="greaterThan">
      <formula>0</formula>
    </cfRule>
    <cfRule type="cellIs" dxfId="1225" priority="3069" operator="lessThan">
      <formula>0</formula>
    </cfRule>
  </conditionalFormatting>
  <conditionalFormatting sqref="S104">
    <cfRule type="cellIs" dxfId="1224" priority="3067" operator="lessThan">
      <formula>0</formula>
    </cfRule>
  </conditionalFormatting>
  <conditionalFormatting sqref="P104">
    <cfRule type="cellIs" dxfId="1223" priority="3065" operator="equal">
      <formula>AS_DURATION_EFFORT</formula>
    </cfRule>
    <cfRule type="cellIs" dxfId="1222" priority="3066" operator="equal">
      <formula>AS_DEV_EFFORT</formula>
    </cfRule>
  </conditionalFormatting>
  <conditionalFormatting sqref="F104">
    <cfRule type="expression" dxfId="1221" priority="3064">
      <formula>$K104&lt;&gt;""</formula>
    </cfRule>
  </conditionalFormatting>
  <conditionalFormatting sqref="C104">
    <cfRule type="expression" dxfId="1220" priority="3063">
      <formula>$G104&lt;&gt;"-"</formula>
    </cfRule>
  </conditionalFormatting>
  <conditionalFormatting sqref="D104">
    <cfRule type="expression" dxfId="1219" priority="3062">
      <formula>$H104&lt;&gt;"-"</formula>
    </cfRule>
  </conditionalFormatting>
  <conditionalFormatting sqref="E104">
    <cfRule type="expression" dxfId="1218" priority="3061">
      <formula>$I104&lt;&gt;"-"</formula>
    </cfRule>
  </conditionalFormatting>
  <conditionalFormatting sqref="B103">
    <cfRule type="expression" dxfId="1217" priority="3058">
      <formula>AD103&lt;&gt;""</formula>
    </cfRule>
  </conditionalFormatting>
  <conditionalFormatting sqref="Z103">
    <cfRule type="cellIs" dxfId="1216" priority="3056" operator="greaterThan">
      <formula>0</formula>
    </cfRule>
    <cfRule type="cellIs" dxfId="1215" priority="3057" operator="lessThan">
      <formula>0</formula>
    </cfRule>
  </conditionalFormatting>
  <conditionalFormatting sqref="S103">
    <cfRule type="cellIs" dxfId="1214" priority="3055" operator="lessThan">
      <formula>0</formula>
    </cfRule>
  </conditionalFormatting>
  <conditionalFormatting sqref="P103">
    <cfRule type="cellIs" dxfId="1213" priority="3053" operator="equal">
      <formula>AS_DURATION_EFFORT</formula>
    </cfRule>
    <cfRule type="cellIs" dxfId="1212" priority="3054" operator="equal">
      <formula>AS_DEV_EFFORT</formula>
    </cfRule>
  </conditionalFormatting>
  <conditionalFormatting sqref="F103">
    <cfRule type="expression" dxfId="1211" priority="3052">
      <formula>$K103&lt;&gt;""</formula>
    </cfRule>
  </conditionalFormatting>
  <conditionalFormatting sqref="C103">
    <cfRule type="expression" dxfId="1210" priority="3051">
      <formula>$G103&lt;&gt;"-"</formula>
    </cfRule>
  </conditionalFormatting>
  <conditionalFormatting sqref="D103">
    <cfRule type="expression" dxfId="1209" priority="3050">
      <formula>$H103&lt;&gt;"-"</formula>
    </cfRule>
  </conditionalFormatting>
  <conditionalFormatting sqref="E103">
    <cfRule type="expression" dxfId="1208" priority="3049">
      <formula>$I103&lt;&gt;"-"</formula>
    </cfRule>
  </conditionalFormatting>
  <conditionalFormatting sqref="B102">
    <cfRule type="expression" dxfId="1207" priority="3046">
      <formula>AD102&lt;&gt;""</formula>
    </cfRule>
  </conditionalFormatting>
  <conditionalFormatting sqref="Z102">
    <cfRule type="cellIs" dxfId="1206" priority="3044" operator="greaterThan">
      <formula>0</formula>
    </cfRule>
    <cfRule type="cellIs" dxfId="1205" priority="3045" operator="lessThan">
      <formula>0</formula>
    </cfRule>
  </conditionalFormatting>
  <conditionalFormatting sqref="S102">
    <cfRule type="cellIs" dxfId="1204" priority="3043" operator="lessThan">
      <formula>0</formula>
    </cfRule>
  </conditionalFormatting>
  <conditionalFormatting sqref="P102">
    <cfRule type="cellIs" dxfId="1203" priority="3041" operator="equal">
      <formula>AS_DURATION_EFFORT</formula>
    </cfRule>
    <cfRule type="cellIs" dxfId="1202" priority="3042" operator="equal">
      <formula>AS_DEV_EFFORT</formula>
    </cfRule>
  </conditionalFormatting>
  <conditionalFormatting sqref="F102">
    <cfRule type="expression" dxfId="1201" priority="3040">
      <formula>$K102&lt;&gt;""</formula>
    </cfRule>
  </conditionalFormatting>
  <conditionalFormatting sqref="C102">
    <cfRule type="expression" dxfId="1200" priority="3039">
      <formula>$G102&lt;&gt;"-"</formula>
    </cfRule>
  </conditionalFormatting>
  <conditionalFormatting sqref="D102">
    <cfRule type="expression" dxfId="1199" priority="3038">
      <formula>$H102&lt;&gt;"-"</formula>
    </cfRule>
  </conditionalFormatting>
  <conditionalFormatting sqref="E102">
    <cfRule type="expression" dxfId="1198" priority="3037">
      <formula>$I102&lt;&gt;"-"</formula>
    </cfRule>
  </conditionalFormatting>
  <conditionalFormatting sqref="B111">
    <cfRule type="expression" dxfId="1197" priority="3034">
      <formula>AD111&lt;&gt;""</formula>
    </cfRule>
  </conditionalFormatting>
  <conditionalFormatting sqref="Z111">
    <cfRule type="cellIs" dxfId="1196" priority="3032" operator="greaterThan">
      <formula>0</formula>
    </cfRule>
    <cfRule type="cellIs" dxfId="1195" priority="3033" operator="lessThan">
      <formula>0</formula>
    </cfRule>
  </conditionalFormatting>
  <conditionalFormatting sqref="S111">
    <cfRule type="cellIs" dxfId="1194" priority="3031" operator="lessThan">
      <formula>0</formula>
    </cfRule>
  </conditionalFormatting>
  <conditionalFormatting sqref="P111">
    <cfRule type="cellIs" dxfId="1193" priority="3029" operator="equal">
      <formula>AS_DURATION_EFFORT</formula>
    </cfRule>
    <cfRule type="cellIs" dxfId="1192" priority="3030" operator="equal">
      <formula>AS_DEV_EFFORT</formula>
    </cfRule>
  </conditionalFormatting>
  <conditionalFormatting sqref="F111">
    <cfRule type="expression" dxfId="1191" priority="3028">
      <formula>$K111&lt;&gt;""</formula>
    </cfRule>
  </conditionalFormatting>
  <conditionalFormatting sqref="C111">
    <cfRule type="expression" dxfId="1190" priority="3027">
      <formula>$G111&lt;&gt;"-"</formula>
    </cfRule>
  </conditionalFormatting>
  <conditionalFormatting sqref="D111">
    <cfRule type="expression" dxfId="1189" priority="3026">
      <formula>$H111&lt;&gt;"-"</formula>
    </cfRule>
  </conditionalFormatting>
  <conditionalFormatting sqref="E111">
    <cfRule type="expression" dxfId="1188" priority="3025">
      <formula>$I111&lt;&gt;"-"</formula>
    </cfRule>
  </conditionalFormatting>
  <conditionalFormatting sqref="B238">
    <cfRule type="expression" dxfId="1187" priority="2989">
      <formula>AD238&lt;&gt;""</formula>
    </cfRule>
  </conditionalFormatting>
  <conditionalFormatting sqref="Z238">
    <cfRule type="cellIs" dxfId="1186" priority="2987" operator="greaterThan">
      <formula>0</formula>
    </cfRule>
    <cfRule type="cellIs" dxfId="1185" priority="2988" operator="lessThan">
      <formula>0</formula>
    </cfRule>
  </conditionalFormatting>
  <conditionalFormatting sqref="S238">
    <cfRule type="cellIs" dxfId="1184" priority="2986" operator="lessThan">
      <formula>0</formula>
    </cfRule>
  </conditionalFormatting>
  <conditionalFormatting sqref="T236:T237">
    <cfRule type="expression" dxfId="1183" priority="2990">
      <formula>#REF!="Yes"</formula>
    </cfRule>
  </conditionalFormatting>
  <conditionalFormatting sqref="P238">
    <cfRule type="cellIs" dxfId="1182" priority="2984" operator="equal">
      <formula>AS_DURATION_EFFORT</formula>
    </cfRule>
    <cfRule type="cellIs" dxfId="1181" priority="2985" operator="equal">
      <formula>AS_DEV_EFFORT</formula>
    </cfRule>
  </conditionalFormatting>
  <conditionalFormatting sqref="B236:B237">
    <cfRule type="expression" dxfId="1180" priority="2983">
      <formula>AD236&lt;&gt;""</formula>
    </cfRule>
  </conditionalFormatting>
  <conditionalFormatting sqref="F238">
    <cfRule type="expression" dxfId="1179" priority="2982">
      <formula>$K238&lt;&gt;""</formula>
    </cfRule>
  </conditionalFormatting>
  <conditionalFormatting sqref="C238">
    <cfRule type="expression" dxfId="1178" priority="2981">
      <formula>$G238&lt;&gt;"-"</formula>
    </cfRule>
  </conditionalFormatting>
  <conditionalFormatting sqref="D238">
    <cfRule type="expression" dxfId="1177" priority="2980">
      <formula>$H238&lt;&gt;"-"</formula>
    </cfRule>
  </conditionalFormatting>
  <conditionalFormatting sqref="E238">
    <cfRule type="expression" dxfId="1176" priority="2979">
      <formula>$I238&lt;&gt;"-"</formula>
    </cfRule>
  </conditionalFormatting>
  <conditionalFormatting sqref="B239">
    <cfRule type="expression" dxfId="1175" priority="2976">
      <formula>AD239&lt;&gt;""</formula>
    </cfRule>
  </conditionalFormatting>
  <conditionalFormatting sqref="Z239">
    <cfRule type="cellIs" dxfId="1174" priority="2974" operator="greaterThan">
      <formula>0</formula>
    </cfRule>
    <cfRule type="cellIs" dxfId="1173" priority="2975" operator="lessThan">
      <formula>0</formula>
    </cfRule>
  </conditionalFormatting>
  <conditionalFormatting sqref="S239">
    <cfRule type="cellIs" dxfId="1172" priority="2973" operator="lessThan">
      <formula>0</formula>
    </cfRule>
  </conditionalFormatting>
  <conditionalFormatting sqref="F239">
    <cfRule type="expression" dxfId="1171" priority="2970">
      <formula>$K239&lt;&gt;""</formula>
    </cfRule>
  </conditionalFormatting>
  <conditionalFormatting sqref="C239">
    <cfRule type="expression" dxfId="1170" priority="2969">
      <formula>$G239&lt;&gt;"-"</formula>
    </cfRule>
  </conditionalFormatting>
  <conditionalFormatting sqref="D239">
    <cfRule type="expression" dxfId="1169" priority="2968">
      <formula>$H239&lt;&gt;"-"</formula>
    </cfRule>
  </conditionalFormatting>
  <conditionalFormatting sqref="E239">
    <cfRule type="expression" dxfId="1168" priority="2967">
      <formula>$I239&lt;&gt;"-"</formula>
    </cfRule>
  </conditionalFormatting>
  <conditionalFormatting sqref="B243">
    <cfRule type="expression" dxfId="1167" priority="2963">
      <formula>AD243&lt;&gt;""</formula>
    </cfRule>
  </conditionalFormatting>
  <conditionalFormatting sqref="Z243">
    <cfRule type="cellIs" dxfId="1166" priority="2961" operator="greaterThan">
      <formula>0</formula>
    </cfRule>
    <cfRule type="cellIs" dxfId="1165" priority="2962" operator="lessThan">
      <formula>0</formula>
    </cfRule>
  </conditionalFormatting>
  <conditionalFormatting sqref="S243">
    <cfRule type="cellIs" dxfId="1164" priority="2960" operator="lessThan">
      <formula>0</formula>
    </cfRule>
  </conditionalFormatting>
  <conditionalFormatting sqref="T241:T242">
    <cfRule type="expression" dxfId="1163" priority="2964">
      <formula>#REF!="Yes"</formula>
    </cfRule>
  </conditionalFormatting>
  <conditionalFormatting sqref="P250">
    <cfRule type="cellIs" dxfId="1162" priority="2900" operator="equal">
      <formula>AS_DURATION_EFFORT</formula>
    </cfRule>
    <cfRule type="cellIs" dxfId="1161" priority="2901" operator="equal">
      <formula>AS_DEV_EFFORT</formula>
    </cfRule>
  </conditionalFormatting>
  <conditionalFormatting sqref="B241:B242">
    <cfRule type="expression" dxfId="1160" priority="2957">
      <formula>AD241&lt;&gt;""</formula>
    </cfRule>
  </conditionalFormatting>
  <conditionalFormatting sqref="F243">
    <cfRule type="expression" dxfId="1159" priority="2956">
      <formula>$K243&lt;&gt;""</formula>
    </cfRule>
  </conditionalFormatting>
  <conditionalFormatting sqref="C243">
    <cfRule type="expression" dxfId="1158" priority="2955">
      <formula>$G243&lt;&gt;"-"</formula>
    </cfRule>
  </conditionalFormatting>
  <conditionalFormatting sqref="D243">
    <cfRule type="expression" dxfId="1157" priority="2954">
      <formula>$H243&lt;&gt;"-"</formula>
    </cfRule>
  </conditionalFormatting>
  <conditionalFormatting sqref="E243">
    <cfRule type="expression" dxfId="1156" priority="2953">
      <formula>$I243&lt;&gt;"-"</formula>
    </cfRule>
  </conditionalFormatting>
  <conditionalFormatting sqref="B244">
    <cfRule type="expression" dxfId="1155" priority="2950">
      <formula>AD244&lt;&gt;""</formula>
    </cfRule>
  </conditionalFormatting>
  <conditionalFormatting sqref="Z244">
    <cfRule type="cellIs" dxfId="1154" priority="2948" operator="greaterThan">
      <formula>0</formula>
    </cfRule>
    <cfRule type="cellIs" dxfId="1153" priority="2949" operator="lessThan">
      <formula>0</formula>
    </cfRule>
  </conditionalFormatting>
  <conditionalFormatting sqref="S244">
    <cfRule type="cellIs" dxfId="1152" priority="2947" operator="lessThan">
      <formula>0</formula>
    </cfRule>
  </conditionalFormatting>
  <conditionalFormatting sqref="P245">
    <cfRule type="cellIs" dxfId="1151" priority="2911" operator="equal">
      <formula>AS_DURATION_EFFORT</formula>
    </cfRule>
    <cfRule type="cellIs" dxfId="1150" priority="2912" operator="equal">
      <formula>AS_DEV_EFFORT</formula>
    </cfRule>
  </conditionalFormatting>
  <conditionalFormatting sqref="F244">
    <cfRule type="expression" dxfId="1149" priority="2944">
      <formula>$K244&lt;&gt;""</formula>
    </cfRule>
  </conditionalFormatting>
  <conditionalFormatting sqref="C244">
    <cfRule type="expression" dxfId="1148" priority="2943">
      <formula>$G244&lt;&gt;"-"</formula>
    </cfRule>
  </conditionalFormatting>
  <conditionalFormatting sqref="D244">
    <cfRule type="expression" dxfId="1147" priority="2942">
      <formula>$H244&lt;&gt;"-"</formula>
    </cfRule>
  </conditionalFormatting>
  <conditionalFormatting sqref="E244">
    <cfRule type="expression" dxfId="1146" priority="2941">
      <formula>$I244&lt;&gt;"-"</formula>
    </cfRule>
  </conditionalFormatting>
  <conditionalFormatting sqref="B246">
    <cfRule type="expression" dxfId="1145" priority="2938">
      <formula>AD246&lt;&gt;""</formula>
    </cfRule>
  </conditionalFormatting>
  <conditionalFormatting sqref="Z246">
    <cfRule type="cellIs" dxfId="1144" priority="2936" operator="greaterThan">
      <formula>0</formula>
    </cfRule>
    <cfRule type="cellIs" dxfId="1143" priority="2937" operator="lessThan">
      <formula>0</formula>
    </cfRule>
  </conditionalFormatting>
  <conditionalFormatting sqref="S246">
    <cfRule type="cellIs" dxfId="1142" priority="2935" operator="lessThan">
      <formula>0</formula>
    </cfRule>
  </conditionalFormatting>
  <conditionalFormatting sqref="P246">
    <cfRule type="cellIs" dxfId="1141" priority="2933" operator="equal">
      <formula>AS_DURATION_EFFORT</formula>
    </cfRule>
    <cfRule type="cellIs" dxfId="1140" priority="2934" operator="equal">
      <formula>AS_DEV_EFFORT</formula>
    </cfRule>
  </conditionalFormatting>
  <conditionalFormatting sqref="F246">
    <cfRule type="expression" dxfId="1139" priority="2932">
      <formula>$K246&lt;&gt;""</formula>
    </cfRule>
  </conditionalFormatting>
  <conditionalFormatting sqref="C246">
    <cfRule type="expression" dxfId="1138" priority="2931">
      <formula>$G246&lt;&gt;"-"</formula>
    </cfRule>
  </conditionalFormatting>
  <conditionalFormatting sqref="D246">
    <cfRule type="expression" dxfId="1137" priority="2930">
      <formula>$H246&lt;&gt;"-"</formula>
    </cfRule>
  </conditionalFormatting>
  <conditionalFormatting sqref="E246">
    <cfRule type="expression" dxfId="1136" priority="2929">
      <formula>$I246&lt;&gt;"-"</formula>
    </cfRule>
  </conditionalFormatting>
  <conditionalFormatting sqref="B245">
    <cfRule type="expression" dxfId="1135" priority="2926">
      <formula>AD245&lt;&gt;""</formula>
    </cfRule>
  </conditionalFormatting>
  <conditionalFormatting sqref="Z245">
    <cfRule type="cellIs" dxfId="1134" priority="2924" operator="greaterThan">
      <formula>0</formula>
    </cfRule>
    <cfRule type="cellIs" dxfId="1133" priority="2925" operator="lessThan">
      <formula>0</formula>
    </cfRule>
  </conditionalFormatting>
  <conditionalFormatting sqref="S245">
    <cfRule type="cellIs" dxfId="1132" priority="2923" operator="lessThan">
      <formula>0</formula>
    </cfRule>
  </conditionalFormatting>
  <conditionalFormatting sqref="P243">
    <cfRule type="cellIs" dxfId="1131" priority="2913" operator="equal">
      <formula>AS_DURATION_EFFORT</formula>
    </cfRule>
    <cfRule type="cellIs" dxfId="1130" priority="2914" operator="equal">
      <formula>AS_DEV_EFFORT</formula>
    </cfRule>
  </conditionalFormatting>
  <conditionalFormatting sqref="F245">
    <cfRule type="expression" dxfId="1129" priority="2920">
      <formula>$K245&lt;&gt;""</formula>
    </cfRule>
  </conditionalFormatting>
  <conditionalFormatting sqref="C245">
    <cfRule type="expression" dxfId="1128" priority="2919">
      <formula>$G245&lt;&gt;"-"</formula>
    </cfRule>
  </conditionalFormatting>
  <conditionalFormatting sqref="D245">
    <cfRule type="expression" dxfId="1127" priority="2918">
      <formula>$H245&lt;&gt;"-"</formula>
    </cfRule>
  </conditionalFormatting>
  <conditionalFormatting sqref="E245">
    <cfRule type="expression" dxfId="1126" priority="2917">
      <formula>$I245&lt;&gt;"-"</formula>
    </cfRule>
  </conditionalFormatting>
  <conditionalFormatting sqref="P244:P245">
    <cfRule type="cellIs" dxfId="1125" priority="2909" operator="equal">
      <formula>AS_DURATION_EFFORT</formula>
    </cfRule>
    <cfRule type="cellIs" dxfId="1124" priority="2910" operator="equal">
      <formula>AS_DEV_EFFORT</formula>
    </cfRule>
  </conditionalFormatting>
  <conditionalFormatting sqref="B250">
    <cfRule type="expression" dxfId="1123" priority="2905">
      <formula>AD250&lt;&gt;""</formula>
    </cfRule>
  </conditionalFormatting>
  <conditionalFormatting sqref="Z250">
    <cfRule type="cellIs" dxfId="1122" priority="2903" operator="greaterThan">
      <formula>0</formula>
    </cfRule>
    <cfRule type="cellIs" dxfId="1121" priority="2904" operator="lessThan">
      <formula>0</formula>
    </cfRule>
  </conditionalFormatting>
  <conditionalFormatting sqref="S250">
    <cfRule type="cellIs" dxfId="1120" priority="2902" operator="lessThan">
      <formula>0</formula>
    </cfRule>
  </conditionalFormatting>
  <conditionalFormatting sqref="T248:T249">
    <cfRule type="expression" dxfId="1119" priority="2906">
      <formula>#REF!="Yes"</formula>
    </cfRule>
  </conditionalFormatting>
  <conditionalFormatting sqref="B248:B249">
    <cfRule type="expression" dxfId="1118" priority="2899">
      <formula>AD248&lt;&gt;""</formula>
    </cfRule>
  </conditionalFormatting>
  <conditionalFormatting sqref="F250">
    <cfRule type="expression" dxfId="1117" priority="2898">
      <formula>$K250&lt;&gt;""</formula>
    </cfRule>
  </conditionalFormatting>
  <conditionalFormatting sqref="C250">
    <cfRule type="expression" dxfId="1116" priority="2897">
      <formula>$G250&lt;&gt;"-"</formula>
    </cfRule>
  </conditionalFormatting>
  <conditionalFormatting sqref="D250">
    <cfRule type="expression" dxfId="1115" priority="2896">
      <formula>$H250&lt;&gt;"-"</formula>
    </cfRule>
  </conditionalFormatting>
  <conditionalFormatting sqref="E250">
    <cfRule type="expression" dxfId="1114" priority="2895">
      <formula>$I250&lt;&gt;"-"</formula>
    </cfRule>
  </conditionalFormatting>
  <conditionalFormatting sqref="P251">
    <cfRule type="cellIs" dxfId="1113" priority="2863" operator="equal">
      <formula>AS_DURATION_EFFORT</formula>
    </cfRule>
    <cfRule type="cellIs" dxfId="1112" priority="2864" operator="equal">
      <formula>AS_DEV_EFFORT</formula>
    </cfRule>
  </conditionalFormatting>
  <conditionalFormatting sqref="B251">
    <cfRule type="expression" dxfId="1111" priority="2868">
      <formula>AD251&lt;&gt;""</formula>
    </cfRule>
  </conditionalFormatting>
  <conditionalFormatting sqref="Z251">
    <cfRule type="cellIs" dxfId="1110" priority="2866" operator="greaterThan">
      <formula>0</formula>
    </cfRule>
    <cfRule type="cellIs" dxfId="1109" priority="2867" operator="lessThan">
      <formula>0</formula>
    </cfRule>
  </conditionalFormatting>
  <conditionalFormatting sqref="S251">
    <cfRule type="cellIs" dxfId="1108" priority="2865" operator="lessThan">
      <formula>0</formula>
    </cfRule>
  </conditionalFormatting>
  <conditionalFormatting sqref="F251">
    <cfRule type="expression" dxfId="1107" priority="2862">
      <formula>$K251&lt;&gt;""</formula>
    </cfRule>
  </conditionalFormatting>
  <conditionalFormatting sqref="C251">
    <cfRule type="expression" dxfId="1106" priority="2861">
      <formula>$G251&lt;&gt;"-"</formula>
    </cfRule>
  </conditionalFormatting>
  <conditionalFormatting sqref="D251">
    <cfRule type="expression" dxfId="1105" priority="2860">
      <formula>$H251&lt;&gt;"-"</formula>
    </cfRule>
  </conditionalFormatting>
  <conditionalFormatting sqref="E251">
    <cfRule type="expression" dxfId="1104" priority="2859">
      <formula>$I251&lt;&gt;"-"</formula>
    </cfRule>
  </conditionalFormatting>
  <conditionalFormatting sqref="B261">
    <cfRule type="expression" dxfId="1103" priority="2827">
      <formula>AD261&lt;&gt;""</formula>
    </cfRule>
  </conditionalFormatting>
  <conditionalFormatting sqref="Z261">
    <cfRule type="cellIs" dxfId="1102" priority="2825" operator="greaterThan">
      <formula>0</formula>
    </cfRule>
    <cfRule type="cellIs" dxfId="1101" priority="2826" operator="lessThan">
      <formula>0</formula>
    </cfRule>
  </conditionalFormatting>
  <conditionalFormatting sqref="S261">
    <cfRule type="cellIs" dxfId="1100" priority="2824" operator="lessThan">
      <formula>0</formula>
    </cfRule>
  </conditionalFormatting>
  <conditionalFormatting sqref="T258:T259">
    <cfRule type="expression" dxfId="1099" priority="2828">
      <formula>#REF!="Yes"</formula>
    </cfRule>
  </conditionalFormatting>
  <conditionalFormatting sqref="P261">
    <cfRule type="cellIs" dxfId="1098" priority="2822" operator="equal">
      <formula>AS_DURATION_EFFORT</formula>
    </cfRule>
    <cfRule type="cellIs" dxfId="1097" priority="2823" operator="equal">
      <formula>AS_DEV_EFFORT</formula>
    </cfRule>
  </conditionalFormatting>
  <conditionalFormatting sqref="B258:B259">
    <cfRule type="expression" dxfId="1096" priority="2821">
      <formula>AD258&lt;&gt;""</formula>
    </cfRule>
  </conditionalFormatting>
  <conditionalFormatting sqref="F261">
    <cfRule type="expression" dxfId="1095" priority="2820">
      <formula>$K261&lt;&gt;""</formula>
    </cfRule>
  </conditionalFormatting>
  <conditionalFormatting sqref="C261">
    <cfRule type="expression" dxfId="1094" priority="2819">
      <formula>$G261&lt;&gt;"-"</formula>
    </cfRule>
  </conditionalFormatting>
  <conditionalFormatting sqref="D261">
    <cfRule type="expression" dxfId="1093" priority="2818">
      <formula>$H261&lt;&gt;"-"</formula>
    </cfRule>
  </conditionalFormatting>
  <conditionalFormatting sqref="E261">
    <cfRule type="expression" dxfId="1092" priority="2817">
      <formula>$I261&lt;&gt;"-"</formula>
    </cfRule>
  </conditionalFormatting>
  <conditionalFormatting sqref="B262">
    <cfRule type="expression" dxfId="1091" priority="2814">
      <formula>AD262&lt;&gt;""</formula>
    </cfRule>
  </conditionalFormatting>
  <conditionalFormatting sqref="Z262">
    <cfRule type="cellIs" dxfId="1090" priority="2812" operator="greaterThan">
      <formula>0</formula>
    </cfRule>
    <cfRule type="cellIs" dxfId="1089" priority="2813" operator="lessThan">
      <formula>0</formula>
    </cfRule>
  </conditionalFormatting>
  <conditionalFormatting sqref="S262">
    <cfRule type="cellIs" dxfId="1088" priority="2811" operator="lessThan">
      <formula>0</formula>
    </cfRule>
  </conditionalFormatting>
  <conditionalFormatting sqref="P262">
    <cfRule type="cellIs" dxfId="1087" priority="2809" operator="equal">
      <formula>AS_DURATION_EFFORT</formula>
    </cfRule>
    <cfRule type="cellIs" dxfId="1086" priority="2810" operator="equal">
      <formula>AS_DEV_EFFORT</formula>
    </cfRule>
  </conditionalFormatting>
  <conditionalFormatting sqref="F262">
    <cfRule type="expression" dxfId="1085" priority="2808">
      <formula>$K262&lt;&gt;""</formula>
    </cfRule>
  </conditionalFormatting>
  <conditionalFormatting sqref="C262">
    <cfRule type="expression" dxfId="1084" priority="2807">
      <formula>$G262&lt;&gt;"-"</formula>
    </cfRule>
  </conditionalFormatting>
  <conditionalFormatting sqref="D262">
    <cfRule type="expression" dxfId="1083" priority="2806">
      <formula>$H262&lt;&gt;"-"</formula>
    </cfRule>
  </conditionalFormatting>
  <conditionalFormatting sqref="E262">
    <cfRule type="expression" dxfId="1082" priority="2805">
      <formula>$I262&lt;&gt;"-"</formula>
    </cfRule>
  </conditionalFormatting>
  <conditionalFormatting sqref="B267">
    <cfRule type="expression" dxfId="1081" priority="2801">
      <formula>AD267&lt;&gt;""</formula>
    </cfRule>
  </conditionalFormatting>
  <conditionalFormatting sqref="Z267">
    <cfRule type="cellIs" dxfId="1080" priority="2799" operator="greaterThan">
      <formula>0</formula>
    </cfRule>
    <cfRule type="cellIs" dxfId="1079" priority="2800" operator="lessThan">
      <formula>0</formula>
    </cfRule>
  </conditionalFormatting>
  <conditionalFormatting sqref="S267">
    <cfRule type="cellIs" dxfId="1078" priority="2798" operator="lessThan">
      <formula>0</formula>
    </cfRule>
  </conditionalFormatting>
  <conditionalFormatting sqref="T264:T265">
    <cfRule type="expression" dxfId="1077" priority="2802">
      <formula>#REF!="Yes"</formula>
    </cfRule>
  </conditionalFormatting>
  <conditionalFormatting sqref="P267">
    <cfRule type="cellIs" dxfId="1076" priority="2796" operator="equal">
      <formula>AS_DURATION_EFFORT</formula>
    </cfRule>
    <cfRule type="cellIs" dxfId="1075" priority="2797" operator="equal">
      <formula>AS_DEV_EFFORT</formula>
    </cfRule>
  </conditionalFormatting>
  <conditionalFormatting sqref="B264:B265">
    <cfRule type="expression" dxfId="1074" priority="2795">
      <formula>AD264&lt;&gt;""</formula>
    </cfRule>
  </conditionalFormatting>
  <conditionalFormatting sqref="F267">
    <cfRule type="expression" dxfId="1073" priority="2794">
      <formula>$K267&lt;&gt;""</formula>
    </cfRule>
  </conditionalFormatting>
  <conditionalFormatting sqref="C267">
    <cfRule type="expression" dxfId="1072" priority="2793">
      <formula>$G267&lt;&gt;"-"</formula>
    </cfRule>
  </conditionalFormatting>
  <conditionalFormatting sqref="D267">
    <cfRule type="expression" dxfId="1071" priority="2792">
      <formula>$H267&lt;&gt;"-"</formula>
    </cfRule>
  </conditionalFormatting>
  <conditionalFormatting sqref="E267">
    <cfRule type="expression" dxfId="1070" priority="2791">
      <formula>$I267&lt;&gt;"-"</formula>
    </cfRule>
  </conditionalFormatting>
  <conditionalFormatting sqref="B272">
    <cfRule type="expression" dxfId="1069" priority="2763">
      <formula>AD272&lt;&gt;""</formula>
    </cfRule>
  </conditionalFormatting>
  <conditionalFormatting sqref="Z272">
    <cfRule type="cellIs" dxfId="1068" priority="2761" operator="greaterThan">
      <formula>0</formula>
    </cfRule>
    <cfRule type="cellIs" dxfId="1067" priority="2762" operator="lessThan">
      <formula>0</formula>
    </cfRule>
  </conditionalFormatting>
  <conditionalFormatting sqref="S272">
    <cfRule type="cellIs" dxfId="1066" priority="2760" operator="lessThan">
      <formula>0</formula>
    </cfRule>
  </conditionalFormatting>
  <conditionalFormatting sqref="T269:T270">
    <cfRule type="expression" dxfId="1065" priority="2764">
      <formula>#REF!="Yes"</formula>
    </cfRule>
  </conditionalFormatting>
  <conditionalFormatting sqref="P272">
    <cfRule type="cellIs" dxfId="1064" priority="2758" operator="equal">
      <formula>AS_DURATION_EFFORT</formula>
    </cfRule>
    <cfRule type="cellIs" dxfId="1063" priority="2759" operator="equal">
      <formula>AS_DEV_EFFORT</formula>
    </cfRule>
  </conditionalFormatting>
  <conditionalFormatting sqref="B269:B270">
    <cfRule type="expression" dxfId="1062" priority="2757">
      <formula>AD269&lt;&gt;""</formula>
    </cfRule>
  </conditionalFormatting>
  <conditionalFormatting sqref="F272">
    <cfRule type="expression" dxfId="1061" priority="2756">
      <formula>$K272&lt;&gt;""</formula>
    </cfRule>
  </conditionalFormatting>
  <conditionalFormatting sqref="C272">
    <cfRule type="expression" dxfId="1060" priority="2755">
      <formula>$G272&lt;&gt;"-"</formula>
    </cfRule>
  </conditionalFormatting>
  <conditionalFormatting sqref="D272">
    <cfRule type="expression" dxfId="1059" priority="2754">
      <formula>$H272&lt;&gt;"-"</formula>
    </cfRule>
  </conditionalFormatting>
  <conditionalFormatting sqref="E272">
    <cfRule type="expression" dxfId="1058" priority="2753">
      <formula>$I272&lt;&gt;"-"</formula>
    </cfRule>
  </conditionalFormatting>
  <conditionalFormatting sqref="B280">
    <cfRule type="expression" dxfId="1057" priority="2737">
      <formula>AD280&lt;&gt;""</formula>
    </cfRule>
  </conditionalFormatting>
  <conditionalFormatting sqref="Z280">
    <cfRule type="cellIs" dxfId="1056" priority="2735" operator="greaterThan">
      <formula>0</formula>
    </cfRule>
    <cfRule type="cellIs" dxfId="1055" priority="2736" operator="lessThan">
      <formula>0</formula>
    </cfRule>
  </conditionalFormatting>
  <conditionalFormatting sqref="S280">
    <cfRule type="cellIs" dxfId="1054" priority="2734" operator="lessThan">
      <formula>0</formula>
    </cfRule>
  </conditionalFormatting>
  <conditionalFormatting sqref="T278:T279">
    <cfRule type="expression" dxfId="1053" priority="2738">
      <formula>#REF!="Yes"</formula>
    </cfRule>
  </conditionalFormatting>
  <conditionalFormatting sqref="P280">
    <cfRule type="cellIs" dxfId="1052" priority="2732" operator="equal">
      <formula>AS_DURATION_EFFORT</formula>
    </cfRule>
    <cfRule type="cellIs" dxfId="1051" priority="2733" operator="equal">
      <formula>AS_DEV_EFFORT</formula>
    </cfRule>
  </conditionalFormatting>
  <conditionalFormatting sqref="B278:B279">
    <cfRule type="expression" dxfId="1050" priority="2731">
      <formula>AD278&lt;&gt;""</formula>
    </cfRule>
  </conditionalFormatting>
  <conditionalFormatting sqref="F280">
    <cfRule type="expression" dxfId="1049" priority="2730">
      <formula>$K280&lt;&gt;""</formula>
    </cfRule>
  </conditionalFormatting>
  <conditionalFormatting sqref="C280">
    <cfRule type="expression" dxfId="1048" priority="2729">
      <formula>$G280&lt;&gt;"-"</formula>
    </cfRule>
  </conditionalFormatting>
  <conditionalFormatting sqref="D280">
    <cfRule type="expression" dxfId="1047" priority="2728">
      <formula>$H280&lt;&gt;"-"</formula>
    </cfRule>
  </conditionalFormatting>
  <conditionalFormatting sqref="E280">
    <cfRule type="expression" dxfId="1046" priority="2727">
      <formula>$I280&lt;&gt;"-"</formula>
    </cfRule>
  </conditionalFormatting>
  <conditionalFormatting sqref="B283">
    <cfRule type="expression" dxfId="1045" priority="2724">
      <formula>AD283&lt;&gt;""</formula>
    </cfRule>
  </conditionalFormatting>
  <conditionalFormatting sqref="Z283">
    <cfRule type="cellIs" dxfId="1044" priority="2722" operator="greaterThan">
      <formula>0</formula>
    </cfRule>
    <cfRule type="cellIs" dxfId="1043" priority="2723" operator="lessThan">
      <formula>0</formula>
    </cfRule>
  </conditionalFormatting>
  <conditionalFormatting sqref="S283">
    <cfRule type="cellIs" dxfId="1042" priority="2721" operator="lessThan">
      <formula>0</formula>
    </cfRule>
  </conditionalFormatting>
  <conditionalFormatting sqref="P283">
    <cfRule type="cellIs" dxfId="1041" priority="2719" operator="equal">
      <formula>AS_DURATION_EFFORT</formula>
    </cfRule>
    <cfRule type="cellIs" dxfId="1040" priority="2720" operator="equal">
      <formula>AS_DEV_EFFORT</formula>
    </cfRule>
  </conditionalFormatting>
  <conditionalFormatting sqref="F283">
    <cfRule type="expression" dxfId="1039" priority="2718">
      <formula>$K283&lt;&gt;""</formula>
    </cfRule>
  </conditionalFormatting>
  <conditionalFormatting sqref="C283">
    <cfRule type="expression" dxfId="1038" priority="2717">
      <formula>$G283&lt;&gt;"-"</formula>
    </cfRule>
  </conditionalFormatting>
  <conditionalFormatting sqref="D283">
    <cfRule type="expression" dxfId="1037" priority="2716">
      <formula>$H283&lt;&gt;"-"</formula>
    </cfRule>
  </conditionalFormatting>
  <conditionalFormatting sqref="E283">
    <cfRule type="expression" dxfId="1036" priority="2715">
      <formula>$I283&lt;&gt;"-"</formula>
    </cfRule>
  </conditionalFormatting>
  <conditionalFormatting sqref="B282">
    <cfRule type="expression" dxfId="1035" priority="2712">
      <formula>AD282&lt;&gt;""</formula>
    </cfRule>
  </conditionalFormatting>
  <conditionalFormatting sqref="Z282">
    <cfRule type="cellIs" dxfId="1034" priority="2710" operator="greaterThan">
      <formula>0</formula>
    </cfRule>
    <cfRule type="cellIs" dxfId="1033" priority="2711" operator="lessThan">
      <formula>0</formula>
    </cfRule>
  </conditionalFormatting>
  <conditionalFormatting sqref="S282">
    <cfRule type="cellIs" dxfId="1032" priority="2709" operator="lessThan">
      <formula>0</formula>
    </cfRule>
  </conditionalFormatting>
  <conditionalFormatting sqref="P282">
    <cfRule type="cellIs" dxfId="1031" priority="2707" operator="equal">
      <formula>AS_DURATION_EFFORT</formula>
    </cfRule>
    <cfRule type="cellIs" dxfId="1030" priority="2708" operator="equal">
      <formula>AS_DEV_EFFORT</formula>
    </cfRule>
  </conditionalFormatting>
  <conditionalFormatting sqref="F282">
    <cfRule type="expression" dxfId="1029" priority="2706">
      <formula>$K282&lt;&gt;""</formula>
    </cfRule>
  </conditionalFormatting>
  <conditionalFormatting sqref="C282">
    <cfRule type="expression" dxfId="1028" priority="2705">
      <formula>$G282&lt;&gt;"-"</formula>
    </cfRule>
  </conditionalFormatting>
  <conditionalFormatting sqref="D282">
    <cfRule type="expression" dxfId="1027" priority="2704">
      <formula>$H282&lt;&gt;"-"</formula>
    </cfRule>
  </conditionalFormatting>
  <conditionalFormatting sqref="E282">
    <cfRule type="expression" dxfId="1026" priority="2703">
      <formula>$I282&lt;&gt;"-"</formula>
    </cfRule>
  </conditionalFormatting>
  <conditionalFormatting sqref="B281">
    <cfRule type="expression" dxfId="1025" priority="2700">
      <formula>AD281&lt;&gt;""</formula>
    </cfRule>
  </conditionalFormatting>
  <conditionalFormatting sqref="Z281">
    <cfRule type="cellIs" dxfId="1024" priority="2698" operator="greaterThan">
      <formula>0</formula>
    </cfRule>
    <cfRule type="cellIs" dxfId="1023" priority="2699" operator="lessThan">
      <formula>0</formula>
    </cfRule>
  </conditionalFormatting>
  <conditionalFormatting sqref="S281">
    <cfRule type="cellIs" dxfId="1022" priority="2697" operator="lessThan">
      <formula>0</formula>
    </cfRule>
  </conditionalFormatting>
  <conditionalFormatting sqref="P281">
    <cfRule type="cellIs" dxfId="1021" priority="2695" operator="equal">
      <formula>AS_DURATION_EFFORT</formula>
    </cfRule>
    <cfRule type="cellIs" dxfId="1020" priority="2696" operator="equal">
      <formula>AS_DEV_EFFORT</formula>
    </cfRule>
  </conditionalFormatting>
  <conditionalFormatting sqref="F281">
    <cfRule type="expression" dxfId="1019" priority="2694">
      <formula>$K281&lt;&gt;""</formula>
    </cfRule>
  </conditionalFormatting>
  <conditionalFormatting sqref="C281">
    <cfRule type="expression" dxfId="1018" priority="2693">
      <formula>$G281&lt;&gt;"-"</formula>
    </cfRule>
  </conditionalFormatting>
  <conditionalFormatting sqref="D281">
    <cfRule type="expression" dxfId="1017" priority="2692">
      <formula>$H281&lt;&gt;"-"</formula>
    </cfRule>
  </conditionalFormatting>
  <conditionalFormatting sqref="E281">
    <cfRule type="expression" dxfId="1016" priority="2691">
      <formula>$I281&lt;&gt;"-"</formula>
    </cfRule>
  </conditionalFormatting>
  <conditionalFormatting sqref="B290">
    <cfRule type="expression" dxfId="1015" priority="2681">
      <formula>AD290&lt;&gt;""</formula>
    </cfRule>
  </conditionalFormatting>
  <conditionalFormatting sqref="Z290">
    <cfRule type="cellIs" dxfId="1014" priority="2679" operator="greaterThan">
      <formula>0</formula>
    </cfRule>
    <cfRule type="cellIs" dxfId="1013" priority="2680" operator="lessThan">
      <formula>0</formula>
    </cfRule>
  </conditionalFormatting>
  <conditionalFormatting sqref="S290">
    <cfRule type="cellIs" dxfId="1012" priority="2678" operator="lessThan">
      <formula>0</formula>
    </cfRule>
  </conditionalFormatting>
  <conditionalFormatting sqref="T288:T289">
    <cfRule type="expression" dxfId="1011" priority="2682">
      <formula>#REF!="Yes"</formula>
    </cfRule>
  </conditionalFormatting>
  <conditionalFormatting sqref="P290">
    <cfRule type="cellIs" dxfId="1010" priority="2676" operator="equal">
      <formula>AS_DURATION_EFFORT</formula>
    </cfRule>
    <cfRule type="cellIs" dxfId="1009" priority="2677" operator="equal">
      <formula>AS_DEV_EFFORT</formula>
    </cfRule>
  </conditionalFormatting>
  <conditionalFormatting sqref="B288:B289">
    <cfRule type="expression" dxfId="1008" priority="2675">
      <formula>AD288&lt;&gt;""</formula>
    </cfRule>
  </conditionalFormatting>
  <conditionalFormatting sqref="F290">
    <cfRule type="expression" dxfId="1007" priority="2674">
      <formula>$K290&lt;&gt;""</formula>
    </cfRule>
  </conditionalFormatting>
  <conditionalFormatting sqref="C290">
    <cfRule type="expression" dxfId="1006" priority="2673">
      <formula>$G290&lt;&gt;"-"</formula>
    </cfRule>
  </conditionalFormatting>
  <conditionalFormatting sqref="D290">
    <cfRule type="expression" dxfId="1005" priority="2672">
      <formula>$H290&lt;&gt;"-"</formula>
    </cfRule>
  </conditionalFormatting>
  <conditionalFormatting sqref="E290">
    <cfRule type="expression" dxfId="1004" priority="2671">
      <formula>$I290&lt;&gt;"-"</formula>
    </cfRule>
  </conditionalFormatting>
  <conditionalFormatting sqref="B18">
    <cfRule type="expression" dxfId="1003" priority="1728">
      <formula>AD18&lt;&gt;""</formula>
    </cfRule>
  </conditionalFormatting>
  <conditionalFormatting sqref="Z18">
    <cfRule type="cellIs" dxfId="1002" priority="1726" operator="greaterThan">
      <formula>0</formula>
    </cfRule>
    <cfRule type="cellIs" dxfId="1001" priority="1727" operator="lessThan">
      <formula>0</formula>
    </cfRule>
  </conditionalFormatting>
  <conditionalFormatting sqref="S18">
    <cfRule type="cellIs" dxfId="1000" priority="1725" operator="lessThan">
      <formula>0</formula>
    </cfRule>
  </conditionalFormatting>
  <conditionalFormatting sqref="L18:M18 O18 R18:AC18">
    <cfRule type="expression" dxfId="999" priority="1729">
      <formula>AND($G18="Yes", $S$6="Exclude")</formula>
    </cfRule>
    <cfRule type="expression" dxfId="998" priority="1730">
      <formula>$J18="Yes"</formula>
    </cfRule>
  </conditionalFormatting>
  <conditionalFormatting sqref="F18">
    <cfRule type="expression" dxfId="997" priority="1722">
      <formula>$K18&lt;&gt;""</formula>
    </cfRule>
  </conditionalFormatting>
  <conditionalFormatting sqref="C18">
    <cfRule type="expression" dxfId="996" priority="1721">
      <formula>$G18&lt;&gt;"-"</formula>
    </cfRule>
  </conditionalFormatting>
  <conditionalFormatting sqref="D18">
    <cfRule type="expression" dxfId="995" priority="1720">
      <formula>$H18&lt;&gt;"-"</formula>
    </cfRule>
  </conditionalFormatting>
  <conditionalFormatting sqref="E18">
    <cfRule type="expression" dxfId="994" priority="1719">
      <formula>$I18&lt;&gt;"-"</formula>
    </cfRule>
  </conditionalFormatting>
  <conditionalFormatting sqref="B28">
    <cfRule type="expression" dxfId="993" priority="1715">
      <formula>AD28&lt;&gt;""</formula>
    </cfRule>
  </conditionalFormatting>
  <conditionalFormatting sqref="Z28">
    <cfRule type="cellIs" dxfId="992" priority="1713" operator="greaterThan">
      <formula>0</formula>
    </cfRule>
    <cfRule type="cellIs" dxfId="991" priority="1714" operator="lessThan">
      <formula>0</formula>
    </cfRule>
  </conditionalFormatting>
  <conditionalFormatting sqref="S28">
    <cfRule type="cellIs" dxfId="990" priority="1712" operator="lessThan">
      <formula>0</formula>
    </cfRule>
  </conditionalFormatting>
  <conditionalFormatting sqref="T26:T27">
    <cfRule type="expression" dxfId="989" priority="1716">
      <formula>#REF!="Yes"</formula>
    </cfRule>
  </conditionalFormatting>
  <conditionalFormatting sqref="P28">
    <cfRule type="cellIs" dxfId="988" priority="1710" operator="equal">
      <formula>AS_DURATION_EFFORT</formula>
    </cfRule>
    <cfRule type="cellIs" dxfId="987" priority="1711" operator="equal">
      <formula>AS_DEV_EFFORT</formula>
    </cfRule>
  </conditionalFormatting>
  <conditionalFormatting sqref="B26:B27">
    <cfRule type="expression" dxfId="986" priority="1709">
      <formula>AD26&lt;&gt;""</formula>
    </cfRule>
  </conditionalFormatting>
  <conditionalFormatting sqref="F28">
    <cfRule type="expression" dxfId="985" priority="1708">
      <formula>$K28&lt;&gt;""</formula>
    </cfRule>
  </conditionalFormatting>
  <conditionalFormatting sqref="C28">
    <cfRule type="expression" dxfId="984" priority="1707">
      <formula>$G28&lt;&gt;"-"</formula>
    </cfRule>
  </conditionalFormatting>
  <conditionalFormatting sqref="D28">
    <cfRule type="expression" dxfId="983" priority="1706">
      <formula>$H28&lt;&gt;"-"</formula>
    </cfRule>
  </conditionalFormatting>
  <conditionalFormatting sqref="E28">
    <cfRule type="expression" dxfId="982" priority="1705">
      <formula>$I28&lt;&gt;"-"</formula>
    </cfRule>
  </conditionalFormatting>
  <conditionalFormatting sqref="B35">
    <cfRule type="expression" dxfId="981" priority="1701">
      <formula>AD35&lt;&gt;""</formula>
    </cfRule>
  </conditionalFormatting>
  <conditionalFormatting sqref="Z35">
    <cfRule type="cellIs" dxfId="980" priority="1699" operator="greaterThan">
      <formula>0</formula>
    </cfRule>
    <cfRule type="cellIs" dxfId="979" priority="1700" operator="lessThan">
      <formula>0</formula>
    </cfRule>
  </conditionalFormatting>
  <conditionalFormatting sqref="S35">
    <cfRule type="cellIs" dxfId="978" priority="1698" operator="lessThan">
      <formula>0</formula>
    </cfRule>
  </conditionalFormatting>
  <conditionalFormatting sqref="T33:T34">
    <cfRule type="expression" dxfId="977" priority="1702">
      <formula>#REF!="Yes"</formula>
    </cfRule>
  </conditionalFormatting>
  <conditionalFormatting sqref="P35">
    <cfRule type="cellIs" dxfId="976" priority="1696" operator="equal">
      <formula>AS_DURATION_EFFORT</formula>
    </cfRule>
    <cfRule type="cellIs" dxfId="975" priority="1697" operator="equal">
      <formula>AS_DEV_EFFORT</formula>
    </cfRule>
  </conditionalFormatting>
  <conditionalFormatting sqref="B33:B34">
    <cfRule type="expression" dxfId="974" priority="1695">
      <formula>AD33&lt;&gt;""</formula>
    </cfRule>
  </conditionalFormatting>
  <conditionalFormatting sqref="F35">
    <cfRule type="expression" dxfId="973" priority="1694">
      <formula>$K35&lt;&gt;""</formula>
    </cfRule>
  </conditionalFormatting>
  <conditionalFormatting sqref="C35">
    <cfRule type="expression" dxfId="972" priority="1693">
      <formula>$G35&lt;&gt;"-"</formula>
    </cfRule>
  </conditionalFormatting>
  <conditionalFormatting sqref="D35">
    <cfRule type="expression" dxfId="971" priority="1692">
      <formula>$H35&lt;&gt;"-"</formula>
    </cfRule>
  </conditionalFormatting>
  <conditionalFormatting sqref="E35">
    <cfRule type="expression" dxfId="970" priority="1691">
      <formula>$I35&lt;&gt;"-"</formula>
    </cfRule>
  </conditionalFormatting>
  <conditionalFormatting sqref="B41">
    <cfRule type="expression" dxfId="969" priority="1687">
      <formula>AD41&lt;&gt;""</formula>
    </cfRule>
  </conditionalFormatting>
  <conditionalFormatting sqref="Z41">
    <cfRule type="cellIs" dxfId="968" priority="1685" operator="greaterThan">
      <formula>0</formula>
    </cfRule>
    <cfRule type="cellIs" dxfId="967" priority="1686" operator="lessThan">
      <formula>0</formula>
    </cfRule>
  </conditionalFormatting>
  <conditionalFormatting sqref="S41">
    <cfRule type="cellIs" dxfId="966" priority="1684" operator="lessThan">
      <formula>0</formula>
    </cfRule>
  </conditionalFormatting>
  <conditionalFormatting sqref="T39:T40">
    <cfRule type="expression" dxfId="965" priority="1688">
      <formula>#REF!="Yes"</formula>
    </cfRule>
  </conditionalFormatting>
  <conditionalFormatting sqref="P41">
    <cfRule type="cellIs" dxfId="964" priority="1682" operator="equal">
      <formula>AS_DURATION_EFFORT</formula>
    </cfRule>
    <cfRule type="cellIs" dxfId="963" priority="1683" operator="equal">
      <formula>AS_DEV_EFFORT</formula>
    </cfRule>
  </conditionalFormatting>
  <conditionalFormatting sqref="B39:B40">
    <cfRule type="expression" dxfId="962" priority="1681">
      <formula>AD39&lt;&gt;""</formula>
    </cfRule>
  </conditionalFormatting>
  <conditionalFormatting sqref="F41">
    <cfRule type="expression" dxfId="961" priority="1680">
      <formula>$K41&lt;&gt;""</formula>
    </cfRule>
  </conditionalFormatting>
  <conditionalFormatting sqref="C41">
    <cfRule type="expression" dxfId="960" priority="1679">
      <formula>$G41&lt;&gt;"-"</formula>
    </cfRule>
  </conditionalFormatting>
  <conditionalFormatting sqref="D41">
    <cfRule type="expression" dxfId="959" priority="1678">
      <formula>$H41&lt;&gt;"-"</formula>
    </cfRule>
  </conditionalFormatting>
  <conditionalFormatting sqref="E41">
    <cfRule type="expression" dxfId="958" priority="1677">
      <formula>$I41&lt;&gt;"-"</formula>
    </cfRule>
  </conditionalFormatting>
  <conditionalFormatting sqref="T45:T46">
    <cfRule type="expression" dxfId="957" priority="1674">
      <formula>#REF!="Yes"</formula>
    </cfRule>
  </conditionalFormatting>
  <conditionalFormatting sqref="B45:B46">
    <cfRule type="expression" dxfId="956" priority="1667">
      <formula>AD45&lt;&gt;""</formula>
    </cfRule>
  </conditionalFormatting>
  <conditionalFormatting sqref="B53">
    <cfRule type="expression" dxfId="955" priority="1659">
      <formula>AD53&lt;&gt;""</formula>
    </cfRule>
  </conditionalFormatting>
  <conditionalFormatting sqref="Z53">
    <cfRule type="cellIs" dxfId="954" priority="1657" operator="greaterThan">
      <formula>0</formula>
    </cfRule>
    <cfRule type="cellIs" dxfId="953" priority="1658" operator="lessThan">
      <formula>0</formula>
    </cfRule>
  </conditionalFormatting>
  <conditionalFormatting sqref="S53">
    <cfRule type="cellIs" dxfId="952" priority="1656" operator="lessThan">
      <formula>0</formula>
    </cfRule>
  </conditionalFormatting>
  <conditionalFormatting sqref="T51:T52">
    <cfRule type="expression" dxfId="951" priority="1660">
      <formula>#REF!="Yes"</formula>
    </cfRule>
  </conditionalFormatting>
  <conditionalFormatting sqref="P53">
    <cfRule type="cellIs" dxfId="950" priority="1654" operator="equal">
      <formula>AS_DURATION_EFFORT</formula>
    </cfRule>
    <cfRule type="cellIs" dxfId="949" priority="1655" operator="equal">
      <formula>AS_DEV_EFFORT</formula>
    </cfRule>
  </conditionalFormatting>
  <conditionalFormatting sqref="B51:B52">
    <cfRule type="expression" dxfId="948" priority="1653">
      <formula>AD51&lt;&gt;""</formula>
    </cfRule>
  </conditionalFormatting>
  <conditionalFormatting sqref="F53">
    <cfRule type="expression" dxfId="947" priority="1652">
      <formula>$K53&lt;&gt;""</formula>
    </cfRule>
  </conditionalFormatting>
  <conditionalFormatting sqref="C53">
    <cfRule type="expression" dxfId="946" priority="1651">
      <formula>$G53&lt;&gt;"-"</formula>
    </cfRule>
  </conditionalFormatting>
  <conditionalFormatting sqref="D53">
    <cfRule type="expression" dxfId="945" priority="1650">
      <formula>$H53&lt;&gt;"-"</formula>
    </cfRule>
  </conditionalFormatting>
  <conditionalFormatting sqref="E53">
    <cfRule type="expression" dxfId="944" priority="1649">
      <formula>$I53&lt;&gt;"-"</formula>
    </cfRule>
  </conditionalFormatting>
  <conditionalFormatting sqref="N18">
    <cfRule type="expression" dxfId="943" priority="1647">
      <formula>AND($G18="Yes", $S$6="Exclude")</formula>
    </cfRule>
    <cfRule type="expression" dxfId="942" priority="1648">
      <formula>$J18="Yes"</formula>
    </cfRule>
  </conditionalFormatting>
  <conditionalFormatting sqref="P18">
    <cfRule type="cellIs" dxfId="941" priority="1643" operator="equal">
      <formula>AS_DURATION_EFFORT</formula>
    </cfRule>
    <cfRule type="cellIs" dxfId="940" priority="1644" operator="equal">
      <formula>AS_DEV_EFFORT</formula>
    </cfRule>
  </conditionalFormatting>
  <conditionalFormatting sqref="P18:Q18">
    <cfRule type="expression" dxfId="939" priority="1645">
      <formula>AND($G18="Yes", $S$6="Exclude")</formula>
    </cfRule>
    <cfRule type="expression" dxfId="938" priority="1646">
      <formula>$J18="Yes"</formula>
    </cfRule>
  </conditionalFormatting>
  <conditionalFormatting sqref="B22">
    <cfRule type="expression" dxfId="937" priority="1640">
      <formula>AD22&lt;&gt;""</formula>
    </cfRule>
  </conditionalFormatting>
  <conditionalFormatting sqref="Z22">
    <cfRule type="cellIs" dxfId="936" priority="1638" operator="greaterThan">
      <formula>0</formula>
    </cfRule>
    <cfRule type="cellIs" dxfId="935" priority="1639" operator="lessThan">
      <formula>0</formula>
    </cfRule>
  </conditionalFormatting>
  <conditionalFormatting sqref="S22">
    <cfRule type="cellIs" dxfId="934" priority="1637" operator="lessThan">
      <formula>0</formula>
    </cfRule>
  </conditionalFormatting>
  <conditionalFormatting sqref="P22">
    <cfRule type="cellIs" dxfId="933" priority="1635" operator="equal">
      <formula>AS_DURATION_EFFORT</formula>
    </cfRule>
    <cfRule type="cellIs" dxfId="932" priority="1636" operator="equal">
      <formula>AS_DEV_EFFORT</formula>
    </cfRule>
  </conditionalFormatting>
  <conditionalFormatting sqref="L22:M22 O22:AC22">
    <cfRule type="expression" dxfId="931" priority="1641">
      <formula>AND($G22="Yes", $S$6="Exclude")</formula>
    </cfRule>
    <cfRule type="expression" dxfId="930" priority="1642">
      <formula>$J22="Yes"</formula>
    </cfRule>
  </conditionalFormatting>
  <conditionalFormatting sqref="F22">
    <cfRule type="expression" dxfId="929" priority="1634">
      <formula>$K22&lt;&gt;""</formula>
    </cfRule>
  </conditionalFormatting>
  <conditionalFormatting sqref="C22">
    <cfRule type="expression" dxfId="928" priority="1633">
      <formula>$G22&lt;&gt;"-"</formula>
    </cfRule>
  </conditionalFormatting>
  <conditionalFormatting sqref="D22">
    <cfRule type="expression" dxfId="927" priority="1632">
      <formula>$H22&lt;&gt;"-"</formula>
    </cfRule>
  </conditionalFormatting>
  <conditionalFormatting sqref="E22">
    <cfRule type="expression" dxfId="926" priority="1631">
      <formula>$I22&lt;&gt;"-"</formula>
    </cfRule>
  </conditionalFormatting>
  <conditionalFormatting sqref="N22">
    <cfRule type="expression" dxfId="925" priority="1629">
      <formula>AND($G22="Yes", $S$6="Exclude")</formula>
    </cfRule>
    <cfRule type="expression" dxfId="924" priority="1630">
      <formula>$J22="Yes"</formula>
    </cfRule>
  </conditionalFormatting>
  <conditionalFormatting sqref="B31">
    <cfRule type="expression" dxfId="923" priority="1626">
      <formula>AD31&lt;&gt;""</formula>
    </cfRule>
  </conditionalFormatting>
  <conditionalFormatting sqref="Z31">
    <cfRule type="cellIs" dxfId="922" priority="1624" operator="greaterThan">
      <formula>0</formula>
    </cfRule>
    <cfRule type="cellIs" dxfId="921" priority="1625" operator="lessThan">
      <formula>0</formula>
    </cfRule>
  </conditionalFormatting>
  <conditionalFormatting sqref="S31">
    <cfRule type="cellIs" dxfId="920" priority="1623" operator="lessThan">
      <formula>0</formula>
    </cfRule>
  </conditionalFormatting>
  <conditionalFormatting sqref="P31">
    <cfRule type="cellIs" dxfId="919" priority="1621" operator="equal">
      <formula>AS_DURATION_EFFORT</formula>
    </cfRule>
    <cfRule type="cellIs" dxfId="918" priority="1622" operator="equal">
      <formula>AS_DEV_EFFORT</formula>
    </cfRule>
  </conditionalFormatting>
  <conditionalFormatting sqref="L31:M31 O31:AC31">
    <cfRule type="expression" dxfId="917" priority="1627">
      <formula>AND($G31="Yes", $S$6="Exclude")</formula>
    </cfRule>
    <cfRule type="expression" dxfId="916" priority="1628">
      <formula>$J31="Yes"</formula>
    </cfRule>
  </conditionalFormatting>
  <conditionalFormatting sqref="F31">
    <cfRule type="expression" dxfId="915" priority="1620">
      <formula>$K31&lt;&gt;""</formula>
    </cfRule>
  </conditionalFormatting>
  <conditionalFormatting sqref="C31">
    <cfRule type="expression" dxfId="914" priority="1619">
      <formula>$G31&lt;&gt;"-"</formula>
    </cfRule>
  </conditionalFormatting>
  <conditionalFormatting sqref="D31">
    <cfRule type="expression" dxfId="913" priority="1618">
      <formula>$H31&lt;&gt;"-"</formula>
    </cfRule>
  </conditionalFormatting>
  <conditionalFormatting sqref="E31">
    <cfRule type="expression" dxfId="912" priority="1617">
      <formula>$I31&lt;&gt;"-"</formula>
    </cfRule>
  </conditionalFormatting>
  <conditionalFormatting sqref="B30">
    <cfRule type="expression" dxfId="911" priority="1614">
      <formula>AD30&lt;&gt;""</formula>
    </cfRule>
  </conditionalFormatting>
  <conditionalFormatting sqref="Z30">
    <cfRule type="cellIs" dxfId="910" priority="1612" operator="greaterThan">
      <formula>0</formula>
    </cfRule>
    <cfRule type="cellIs" dxfId="909" priority="1613" operator="lessThan">
      <formula>0</formula>
    </cfRule>
  </conditionalFormatting>
  <conditionalFormatting sqref="S30">
    <cfRule type="cellIs" dxfId="908" priority="1611" operator="lessThan">
      <formula>0</formula>
    </cfRule>
  </conditionalFormatting>
  <conditionalFormatting sqref="P30">
    <cfRule type="cellIs" dxfId="907" priority="1609" operator="equal">
      <formula>AS_DURATION_EFFORT</formula>
    </cfRule>
    <cfRule type="cellIs" dxfId="906" priority="1610" operator="equal">
      <formula>AS_DEV_EFFORT</formula>
    </cfRule>
  </conditionalFormatting>
  <conditionalFormatting sqref="L30:M30 P30:AC30">
    <cfRule type="expression" dxfId="905" priority="1615">
      <formula>AND($G30="Yes", $S$6="Exclude")</formula>
    </cfRule>
    <cfRule type="expression" dxfId="904" priority="1616">
      <formula>$J30="Yes"</formula>
    </cfRule>
  </conditionalFormatting>
  <conditionalFormatting sqref="F30">
    <cfRule type="expression" dxfId="903" priority="1608">
      <formula>$K30&lt;&gt;""</formula>
    </cfRule>
  </conditionalFormatting>
  <conditionalFormatting sqref="C30">
    <cfRule type="expression" dxfId="902" priority="1607">
      <formula>$G30&lt;&gt;"-"</formula>
    </cfRule>
  </conditionalFormatting>
  <conditionalFormatting sqref="D30">
    <cfRule type="expression" dxfId="901" priority="1606">
      <formula>$H30&lt;&gt;"-"</formula>
    </cfRule>
  </conditionalFormatting>
  <conditionalFormatting sqref="E30">
    <cfRule type="expression" dxfId="900" priority="1605">
      <formula>$I30&lt;&gt;"-"</formula>
    </cfRule>
  </conditionalFormatting>
  <conditionalFormatting sqref="B29">
    <cfRule type="expression" dxfId="899" priority="1602">
      <formula>AD29&lt;&gt;""</formula>
    </cfRule>
  </conditionalFormatting>
  <conditionalFormatting sqref="Z29">
    <cfRule type="cellIs" dxfId="898" priority="1600" operator="greaterThan">
      <formula>0</formula>
    </cfRule>
    <cfRule type="cellIs" dxfId="897" priority="1601" operator="lessThan">
      <formula>0</formula>
    </cfRule>
  </conditionalFormatting>
  <conditionalFormatting sqref="S29">
    <cfRule type="cellIs" dxfId="896" priority="1599" operator="lessThan">
      <formula>0</formula>
    </cfRule>
  </conditionalFormatting>
  <conditionalFormatting sqref="P29">
    <cfRule type="cellIs" dxfId="895" priority="1597" operator="equal">
      <formula>AS_DURATION_EFFORT</formula>
    </cfRule>
    <cfRule type="cellIs" dxfId="894" priority="1598" operator="equal">
      <formula>AS_DEV_EFFORT</formula>
    </cfRule>
  </conditionalFormatting>
  <conditionalFormatting sqref="L29:M29 P29:AC29">
    <cfRule type="expression" dxfId="893" priority="1603">
      <formula>AND($G29="Yes", $S$6="Exclude")</formula>
    </cfRule>
    <cfRule type="expression" dxfId="892" priority="1604">
      <formula>$J29="Yes"</formula>
    </cfRule>
  </conditionalFormatting>
  <conditionalFormatting sqref="F29">
    <cfRule type="expression" dxfId="891" priority="1596">
      <formula>$K29&lt;&gt;""</formula>
    </cfRule>
  </conditionalFormatting>
  <conditionalFormatting sqref="C29">
    <cfRule type="expression" dxfId="890" priority="1595">
      <formula>$G29&lt;&gt;"-"</formula>
    </cfRule>
  </conditionalFormatting>
  <conditionalFormatting sqref="D29">
    <cfRule type="expression" dxfId="889" priority="1594">
      <formula>$H29&lt;&gt;"-"</formula>
    </cfRule>
  </conditionalFormatting>
  <conditionalFormatting sqref="E29">
    <cfRule type="expression" dxfId="888" priority="1593">
      <formula>$I29&lt;&gt;"-"</formula>
    </cfRule>
  </conditionalFormatting>
  <conditionalFormatting sqref="N30:N31">
    <cfRule type="expression" dxfId="887" priority="1591">
      <formula>AND($G30="Yes", $S$6="Exclude")</formula>
    </cfRule>
    <cfRule type="expression" dxfId="886" priority="1592">
      <formula>$J30="Yes"</formula>
    </cfRule>
  </conditionalFormatting>
  <conditionalFormatting sqref="N28">
    <cfRule type="expression" dxfId="885" priority="1589">
      <formula>AND($G28="Yes", $S$6="Exclude")</formula>
    </cfRule>
    <cfRule type="expression" dxfId="884" priority="1590">
      <formula>$J28="Yes"</formula>
    </cfRule>
  </conditionalFormatting>
  <conditionalFormatting sqref="N29">
    <cfRule type="expression" dxfId="883" priority="1587">
      <formula>AND($G29="Yes", $S$6="Exclude")</formula>
    </cfRule>
    <cfRule type="expression" dxfId="882" priority="1588">
      <formula>$J29="Yes"</formula>
    </cfRule>
  </conditionalFormatting>
  <conditionalFormatting sqref="O30">
    <cfRule type="expression" dxfId="881" priority="1585">
      <formula>AND($G30="Yes", $S$6="Exclude")</formula>
    </cfRule>
    <cfRule type="expression" dxfId="880" priority="1586">
      <formula>$J30="Yes"</formula>
    </cfRule>
  </conditionalFormatting>
  <conditionalFormatting sqref="O29">
    <cfRule type="expression" dxfId="879" priority="1583">
      <formula>AND($G29="Yes", $S$6="Exclude")</formula>
    </cfRule>
    <cfRule type="expression" dxfId="878" priority="1584">
      <formula>$J29="Yes"</formula>
    </cfRule>
  </conditionalFormatting>
  <conditionalFormatting sqref="B37">
    <cfRule type="expression" dxfId="877" priority="1580">
      <formula>AD37&lt;&gt;""</formula>
    </cfRule>
  </conditionalFormatting>
  <conditionalFormatting sqref="Z37">
    <cfRule type="cellIs" dxfId="876" priority="1578" operator="greaterThan">
      <formula>0</formula>
    </cfRule>
    <cfRule type="cellIs" dxfId="875" priority="1579" operator="lessThan">
      <formula>0</formula>
    </cfRule>
  </conditionalFormatting>
  <conditionalFormatting sqref="S37">
    <cfRule type="cellIs" dxfId="874" priority="1577" operator="lessThan">
      <formula>0</formula>
    </cfRule>
  </conditionalFormatting>
  <conditionalFormatting sqref="P37">
    <cfRule type="cellIs" dxfId="873" priority="1575" operator="equal">
      <formula>AS_DURATION_EFFORT</formula>
    </cfRule>
    <cfRule type="cellIs" dxfId="872" priority="1576" operator="equal">
      <formula>AS_DEV_EFFORT</formula>
    </cfRule>
  </conditionalFormatting>
  <conditionalFormatting sqref="F37">
    <cfRule type="expression" dxfId="871" priority="1574">
      <formula>$K37&lt;&gt;""</formula>
    </cfRule>
  </conditionalFormatting>
  <conditionalFormatting sqref="C37">
    <cfRule type="expression" dxfId="870" priority="1573">
      <formula>$G37&lt;&gt;"-"</formula>
    </cfRule>
  </conditionalFormatting>
  <conditionalFormatting sqref="D37">
    <cfRule type="expression" dxfId="869" priority="1572">
      <formula>$H37&lt;&gt;"-"</formula>
    </cfRule>
  </conditionalFormatting>
  <conditionalFormatting sqref="E37">
    <cfRule type="expression" dxfId="868" priority="1571">
      <formula>$I37&lt;&gt;"-"</formula>
    </cfRule>
  </conditionalFormatting>
  <conditionalFormatting sqref="B36">
    <cfRule type="expression" dxfId="867" priority="1556">
      <formula>AD36&lt;&gt;""</formula>
    </cfRule>
  </conditionalFormatting>
  <conditionalFormatting sqref="Z36">
    <cfRule type="cellIs" dxfId="866" priority="1554" operator="greaterThan">
      <formula>0</formula>
    </cfRule>
    <cfRule type="cellIs" dxfId="865" priority="1555" operator="lessThan">
      <formula>0</formula>
    </cfRule>
  </conditionalFormatting>
  <conditionalFormatting sqref="S36">
    <cfRule type="cellIs" dxfId="864" priority="1553" operator="lessThan">
      <formula>0</formula>
    </cfRule>
  </conditionalFormatting>
  <conditionalFormatting sqref="P36">
    <cfRule type="cellIs" dxfId="863" priority="1551" operator="equal">
      <formula>AS_DURATION_EFFORT</formula>
    </cfRule>
    <cfRule type="cellIs" dxfId="862" priority="1552" operator="equal">
      <formula>AS_DEV_EFFORT</formula>
    </cfRule>
  </conditionalFormatting>
  <conditionalFormatting sqref="F36">
    <cfRule type="expression" dxfId="861" priority="1550">
      <formula>$K36&lt;&gt;""</formula>
    </cfRule>
  </conditionalFormatting>
  <conditionalFormatting sqref="C36">
    <cfRule type="expression" dxfId="860" priority="1549">
      <formula>$G36&lt;&gt;"-"</formula>
    </cfRule>
  </conditionalFormatting>
  <conditionalFormatting sqref="D36">
    <cfRule type="expression" dxfId="859" priority="1548">
      <formula>$H36&lt;&gt;"-"</formula>
    </cfRule>
  </conditionalFormatting>
  <conditionalFormatting sqref="E36">
    <cfRule type="expression" dxfId="858" priority="1547">
      <formula>$I36&lt;&gt;"-"</formula>
    </cfRule>
  </conditionalFormatting>
  <conditionalFormatting sqref="N35">
    <cfRule type="expression" dxfId="857" priority="1533">
      <formula>AND($G35="Yes", $S$6="Exclude")</formula>
    </cfRule>
    <cfRule type="expression" dxfId="856" priority="1534">
      <formula>$J35="Yes"</formula>
    </cfRule>
  </conditionalFormatting>
  <conditionalFormatting sqref="B43">
    <cfRule type="expression" dxfId="855" priority="1516">
      <formula>AD43&lt;&gt;""</formula>
    </cfRule>
  </conditionalFormatting>
  <conditionalFormatting sqref="Z43">
    <cfRule type="cellIs" dxfId="854" priority="1514" operator="greaterThan">
      <formula>0</formula>
    </cfRule>
    <cfRule type="cellIs" dxfId="853" priority="1515" operator="lessThan">
      <formula>0</formula>
    </cfRule>
  </conditionalFormatting>
  <conditionalFormatting sqref="S43">
    <cfRule type="cellIs" dxfId="852" priority="1513" operator="lessThan">
      <formula>0</formula>
    </cfRule>
  </conditionalFormatting>
  <conditionalFormatting sqref="P43">
    <cfRule type="cellIs" dxfId="851" priority="1511" operator="equal">
      <formula>AS_DURATION_EFFORT</formula>
    </cfRule>
    <cfRule type="cellIs" dxfId="850" priority="1512" operator="equal">
      <formula>AS_DEV_EFFORT</formula>
    </cfRule>
  </conditionalFormatting>
  <conditionalFormatting sqref="F43">
    <cfRule type="expression" dxfId="849" priority="1510">
      <formula>$K43&lt;&gt;""</formula>
    </cfRule>
  </conditionalFormatting>
  <conditionalFormatting sqref="C43">
    <cfRule type="expression" dxfId="848" priority="1509">
      <formula>$G43&lt;&gt;"-"</formula>
    </cfRule>
  </conditionalFormatting>
  <conditionalFormatting sqref="D43">
    <cfRule type="expression" dxfId="847" priority="1508">
      <formula>$H43&lt;&gt;"-"</formula>
    </cfRule>
  </conditionalFormatting>
  <conditionalFormatting sqref="E43">
    <cfRule type="expression" dxfId="846" priority="1507">
      <formula>$I43&lt;&gt;"-"</formula>
    </cfRule>
  </conditionalFormatting>
  <conditionalFormatting sqref="B42">
    <cfRule type="expression" dxfId="845" priority="1504">
      <formula>AD42&lt;&gt;""</formula>
    </cfRule>
  </conditionalFormatting>
  <conditionalFormatting sqref="Z42">
    <cfRule type="cellIs" dxfId="844" priority="1502" operator="greaterThan">
      <formula>0</formula>
    </cfRule>
    <cfRule type="cellIs" dxfId="843" priority="1503" operator="lessThan">
      <formula>0</formula>
    </cfRule>
  </conditionalFormatting>
  <conditionalFormatting sqref="S42">
    <cfRule type="cellIs" dxfId="842" priority="1501" operator="lessThan">
      <formula>0</formula>
    </cfRule>
  </conditionalFormatting>
  <conditionalFormatting sqref="P42">
    <cfRule type="cellIs" dxfId="841" priority="1499" operator="equal">
      <formula>AS_DURATION_EFFORT</formula>
    </cfRule>
    <cfRule type="cellIs" dxfId="840" priority="1500" operator="equal">
      <formula>AS_DEV_EFFORT</formula>
    </cfRule>
  </conditionalFormatting>
  <conditionalFormatting sqref="F42">
    <cfRule type="expression" dxfId="839" priority="1498">
      <formula>$K42&lt;&gt;""</formula>
    </cfRule>
  </conditionalFormatting>
  <conditionalFormatting sqref="C42">
    <cfRule type="expression" dxfId="838" priority="1497">
      <formula>$G42&lt;&gt;"-"</formula>
    </cfRule>
  </conditionalFormatting>
  <conditionalFormatting sqref="D42">
    <cfRule type="expression" dxfId="837" priority="1496">
      <formula>$H42&lt;&gt;"-"</formula>
    </cfRule>
  </conditionalFormatting>
  <conditionalFormatting sqref="E42">
    <cfRule type="expression" dxfId="836" priority="1495">
      <formula>$I42&lt;&gt;"-"</formula>
    </cfRule>
  </conditionalFormatting>
  <conditionalFormatting sqref="P41">
    <cfRule type="cellIs" dxfId="835" priority="1491" operator="equal">
      <formula>AS_DURATION_EFFORT</formula>
    </cfRule>
    <cfRule type="cellIs" dxfId="834" priority="1492" operator="equal">
      <formula>AS_DEV_EFFORT</formula>
    </cfRule>
  </conditionalFormatting>
  <conditionalFormatting sqref="B49">
    <cfRule type="expression" dxfId="833" priority="1488">
      <formula>AD49&lt;&gt;""</formula>
    </cfRule>
  </conditionalFormatting>
  <conditionalFormatting sqref="Z49">
    <cfRule type="cellIs" dxfId="832" priority="1486" operator="greaterThan">
      <formula>0</formula>
    </cfRule>
    <cfRule type="cellIs" dxfId="831" priority="1487" operator="lessThan">
      <formula>0</formula>
    </cfRule>
  </conditionalFormatting>
  <conditionalFormatting sqref="S49">
    <cfRule type="cellIs" dxfId="830" priority="1485" operator="lessThan">
      <formula>0</formula>
    </cfRule>
  </conditionalFormatting>
  <conditionalFormatting sqref="P49">
    <cfRule type="cellIs" dxfId="829" priority="1483" operator="equal">
      <formula>AS_DURATION_EFFORT</formula>
    </cfRule>
    <cfRule type="cellIs" dxfId="828" priority="1484" operator="equal">
      <formula>AS_DEV_EFFORT</formula>
    </cfRule>
  </conditionalFormatting>
  <conditionalFormatting sqref="F49">
    <cfRule type="expression" dxfId="827" priority="1482">
      <formula>$K49&lt;&gt;""</formula>
    </cfRule>
  </conditionalFormatting>
  <conditionalFormatting sqref="C49">
    <cfRule type="expression" dxfId="826" priority="1481">
      <formula>$G49&lt;&gt;"-"</formula>
    </cfRule>
  </conditionalFormatting>
  <conditionalFormatting sqref="D49">
    <cfRule type="expression" dxfId="825" priority="1480">
      <formula>$H49&lt;&gt;"-"</formula>
    </cfRule>
  </conditionalFormatting>
  <conditionalFormatting sqref="E49">
    <cfRule type="expression" dxfId="824" priority="1479">
      <formula>$I49&lt;&gt;"-"</formula>
    </cfRule>
  </conditionalFormatting>
  <conditionalFormatting sqref="B48">
    <cfRule type="expression" dxfId="823" priority="1476">
      <formula>AD48&lt;&gt;""</formula>
    </cfRule>
  </conditionalFormatting>
  <conditionalFormatting sqref="Z48">
    <cfRule type="cellIs" dxfId="822" priority="1474" operator="greaterThan">
      <formula>0</formula>
    </cfRule>
    <cfRule type="cellIs" dxfId="821" priority="1475" operator="lessThan">
      <formula>0</formula>
    </cfRule>
  </conditionalFormatting>
  <conditionalFormatting sqref="S48">
    <cfRule type="cellIs" dxfId="820" priority="1473" operator="lessThan">
      <formula>0</formula>
    </cfRule>
  </conditionalFormatting>
  <conditionalFormatting sqref="P48">
    <cfRule type="cellIs" dxfId="819" priority="1471" operator="equal">
      <formula>AS_DURATION_EFFORT</formula>
    </cfRule>
    <cfRule type="cellIs" dxfId="818" priority="1472" operator="equal">
      <formula>AS_DEV_EFFORT</formula>
    </cfRule>
  </conditionalFormatting>
  <conditionalFormatting sqref="F48">
    <cfRule type="expression" dxfId="817" priority="1470">
      <formula>$K48&lt;&gt;""</formula>
    </cfRule>
  </conditionalFormatting>
  <conditionalFormatting sqref="C48">
    <cfRule type="expression" dxfId="816" priority="1469">
      <formula>$G48&lt;&gt;"-"</formula>
    </cfRule>
  </conditionalFormatting>
  <conditionalFormatting sqref="D48">
    <cfRule type="expression" dxfId="815" priority="1468">
      <formula>$H48&lt;&gt;"-"</formula>
    </cfRule>
  </conditionalFormatting>
  <conditionalFormatting sqref="E48">
    <cfRule type="expression" dxfId="814" priority="1467">
      <formula>$I48&lt;&gt;"-"</formula>
    </cfRule>
  </conditionalFormatting>
  <conditionalFormatting sqref="B47">
    <cfRule type="expression" dxfId="813" priority="1440">
      <formula>AD47&lt;&gt;""</formula>
    </cfRule>
  </conditionalFormatting>
  <conditionalFormatting sqref="Z47">
    <cfRule type="cellIs" dxfId="812" priority="1438" operator="greaterThan">
      <formula>0</formula>
    </cfRule>
    <cfRule type="cellIs" dxfId="811" priority="1439" operator="lessThan">
      <formula>0</formula>
    </cfRule>
  </conditionalFormatting>
  <conditionalFormatting sqref="S47">
    <cfRule type="cellIs" dxfId="810" priority="1437" operator="lessThan">
      <formula>0</formula>
    </cfRule>
  </conditionalFormatting>
  <conditionalFormatting sqref="P47">
    <cfRule type="cellIs" dxfId="809" priority="1435" operator="equal">
      <formula>AS_DURATION_EFFORT</formula>
    </cfRule>
    <cfRule type="cellIs" dxfId="808" priority="1436" operator="equal">
      <formula>AS_DEV_EFFORT</formula>
    </cfRule>
  </conditionalFormatting>
  <conditionalFormatting sqref="F47">
    <cfRule type="expression" dxfId="807" priority="1434">
      <formula>$K47&lt;&gt;""</formula>
    </cfRule>
  </conditionalFormatting>
  <conditionalFormatting sqref="C47">
    <cfRule type="expression" dxfId="806" priority="1433">
      <formula>$G47&lt;&gt;"-"</formula>
    </cfRule>
  </conditionalFormatting>
  <conditionalFormatting sqref="D47">
    <cfRule type="expression" dxfId="805" priority="1432">
      <formula>$H47&lt;&gt;"-"</formula>
    </cfRule>
  </conditionalFormatting>
  <conditionalFormatting sqref="E47">
    <cfRule type="expression" dxfId="804" priority="1431">
      <formula>$I47&lt;&gt;"-"</formula>
    </cfRule>
  </conditionalFormatting>
  <conditionalFormatting sqref="B56">
    <cfRule type="expression" dxfId="803" priority="1426">
      <formula>AD56&lt;&gt;""</formula>
    </cfRule>
  </conditionalFormatting>
  <conditionalFormatting sqref="Z56">
    <cfRule type="cellIs" dxfId="802" priority="1424" operator="greaterThan">
      <formula>0</formula>
    </cfRule>
    <cfRule type="cellIs" dxfId="801" priority="1425" operator="lessThan">
      <formula>0</formula>
    </cfRule>
  </conditionalFormatting>
  <conditionalFormatting sqref="S56">
    <cfRule type="cellIs" dxfId="800" priority="1423" operator="lessThan">
      <formula>0</formula>
    </cfRule>
  </conditionalFormatting>
  <conditionalFormatting sqref="P56">
    <cfRule type="cellIs" dxfId="799" priority="1421" operator="equal">
      <formula>AS_DURATION_EFFORT</formula>
    </cfRule>
    <cfRule type="cellIs" dxfId="798" priority="1422" operator="equal">
      <formula>AS_DEV_EFFORT</formula>
    </cfRule>
  </conditionalFormatting>
  <conditionalFormatting sqref="F56">
    <cfRule type="expression" dxfId="797" priority="1420">
      <formula>$K56&lt;&gt;""</formula>
    </cfRule>
  </conditionalFormatting>
  <conditionalFormatting sqref="C56">
    <cfRule type="expression" dxfId="796" priority="1419">
      <formula>$G56&lt;&gt;"-"</formula>
    </cfRule>
  </conditionalFormatting>
  <conditionalFormatting sqref="D56">
    <cfRule type="expression" dxfId="795" priority="1418">
      <formula>$H56&lt;&gt;"-"</formula>
    </cfRule>
  </conditionalFormatting>
  <conditionalFormatting sqref="E56">
    <cfRule type="expression" dxfId="794" priority="1417">
      <formula>$I56&lt;&gt;"-"</formula>
    </cfRule>
  </conditionalFormatting>
  <conditionalFormatting sqref="B55">
    <cfRule type="expression" dxfId="793" priority="1414">
      <formula>AD55&lt;&gt;""</formula>
    </cfRule>
  </conditionalFormatting>
  <conditionalFormatting sqref="Z55">
    <cfRule type="cellIs" dxfId="792" priority="1412" operator="greaterThan">
      <formula>0</formula>
    </cfRule>
    <cfRule type="cellIs" dxfId="791" priority="1413" operator="lessThan">
      <formula>0</formula>
    </cfRule>
  </conditionalFormatting>
  <conditionalFormatting sqref="S55">
    <cfRule type="cellIs" dxfId="790" priority="1411" operator="lessThan">
      <formula>0</formula>
    </cfRule>
  </conditionalFormatting>
  <conditionalFormatting sqref="P55">
    <cfRule type="cellIs" dxfId="789" priority="1409" operator="equal">
      <formula>AS_DURATION_EFFORT</formula>
    </cfRule>
    <cfRule type="cellIs" dxfId="788" priority="1410" operator="equal">
      <formula>AS_DEV_EFFORT</formula>
    </cfRule>
  </conditionalFormatting>
  <conditionalFormatting sqref="F55">
    <cfRule type="expression" dxfId="787" priority="1408">
      <formula>$K55&lt;&gt;""</formula>
    </cfRule>
  </conditionalFormatting>
  <conditionalFormatting sqref="C55">
    <cfRule type="expression" dxfId="786" priority="1407">
      <formula>$G55&lt;&gt;"-"</formula>
    </cfRule>
  </conditionalFormatting>
  <conditionalFormatting sqref="D55">
    <cfRule type="expression" dxfId="785" priority="1406">
      <formula>$H55&lt;&gt;"-"</formula>
    </cfRule>
  </conditionalFormatting>
  <conditionalFormatting sqref="E55">
    <cfRule type="expression" dxfId="784" priority="1405">
      <formula>$I55&lt;&gt;"-"</formula>
    </cfRule>
  </conditionalFormatting>
  <conditionalFormatting sqref="B54">
    <cfRule type="expression" dxfId="783" priority="1390">
      <formula>AD54&lt;&gt;""</formula>
    </cfRule>
  </conditionalFormatting>
  <conditionalFormatting sqref="Z54">
    <cfRule type="cellIs" dxfId="782" priority="1388" operator="greaterThan">
      <formula>0</formula>
    </cfRule>
    <cfRule type="cellIs" dxfId="781" priority="1389" operator="lessThan">
      <formula>0</formula>
    </cfRule>
  </conditionalFormatting>
  <conditionalFormatting sqref="S54">
    <cfRule type="cellIs" dxfId="780" priority="1387" operator="lessThan">
      <formula>0</formula>
    </cfRule>
  </conditionalFormatting>
  <conditionalFormatting sqref="P54">
    <cfRule type="cellIs" dxfId="779" priority="1385" operator="equal">
      <formula>AS_DURATION_EFFORT</formula>
    </cfRule>
    <cfRule type="cellIs" dxfId="778" priority="1386" operator="equal">
      <formula>AS_DEV_EFFORT</formula>
    </cfRule>
  </conditionalFormatting>
  <conditionalFormatting sqref="F54">
    <cfRule type="expression" dxfId="777" priority="1384">
      <formula>$K54&lt;&gt;""</formula>
    </cfRule>
  </conditionalFormatting>
  <conditionalFormatting sqref="C54">
    <cfRule type="expression" dxfId="776" priority="1383">
      <formula>$G54&lt;&gt;"-"</formula>
    </cfRule>
  </conditionalFormatting>
  <conditionalFormatting sqref="D54">
    <cfRule type="expression" dxfId="775" priority="1382">
      <formula>$H54&lt;&gt;"-"</formula>
    </cfRule>
  </conditionalFormatting>
  <conditionalFormatting sqref="E54">
    <cfRule type="expression" dxfId="774" priority="1381">
      <formula>$I54&lt;&gt;"-"</formula>
    </cfRule>
  </conditionalFormatting>
  <conditionalFormatting sqref="B213">
    <cfRule type="expression" dxfId="773" priority="1373">
      <formula>AD213&lt;&gt;""</formula>
    </cfRule>
  </conditionalFormatting>
  <conditionalFormatting sqref="Z213">
    <cfRule type="cellIs" dxfId="772" priority="1371" operator="greaterThan">
      <formula>0</formula>
    </cfRule>
    <cfRule type="cellIs" dxfId="771" priority="1372" operator="lessThan">
      <formula>0</formula>
    </cfRule>
  </conditionalFormatting>
  <conditionalFormatting sqref="S213">
    <cfRule type="cellIs" dxfId="770" priority="1370" operator="lessThan">
      <formula>0</formula>
    </cfRule>
  </conditionalFormatting>
  <conditionalFormatting sqref="T211:T212">
    <cfRule type="expression" dxfId="769" priority="1374">
      <formula>#REF!="Yes"</formula>
    </cfRule>
  </conditionalFormatting>
  <conditionalFormatting sqref="P213">
    <cfRule type="cellIs" dxfId="768" priority="1368" operator="equal">
      <formula>AS_DURATION_EFFORT</formula>
    </cfRule>
    <cfRule type="cellIs" dxfId="767" priority="1369" operator="equal">
      <formula>AS_DEV_EFFORT</formula>
    </cfRule>
  </conditionalFormatting>
  <conditionalFormatting sqref="B211:B212">
    <cfRule type="expression" dxfId="766" priority="1367">
      <formula>AD211&lt;&gt;""</formula>
    </cfRule>
  </conditionalFormatting>
  <conditionalFormatting sqref="F213">
    <cfRule type="expression" dxfId="765" priority="1366">
      <formula>$K213&lt;&gt;""</formula>
    </cfRule>
  </conditionalFormatting>
  <conditionalFormatting sqref="C213">
    <cfRule type="expression" dxfId="764" priority="1365">
      <formula>$G213&lt;&gt;"-"</formula>
    </cfRule>
  </conditionalFormatting>
  <conditionalFormatting sqref="D213">
    <cfRule type="expression" dxfId="763" priority="1364">
      <formula>$H213&lt;&gt;"-"</formula>
    </cfRule>
  </conditionalFormatting>
  <conditionalFormatting sqref="E213">
    <cfRule type="expression" dxfId="762" priority="1363">
      <formula>$I213&lt;&gt;"-"</formula>
    </cfRule>
  </conditionalFormatting>
  <conditionalFormatting sqref="S210">
    <cfRule type="expression" dxfId="761" priority="1362">
      <formula>#REF!="Yes"</formula>
    </cfRule>
  </conditionalFormatting>
  <conditionalFormatting sqref="B210">
    <cfRule type="expression" dxfId="760" priority="1361">
      <formula>AD210&lt;&gt;""</formula>
    </cfRule>
  </conditionalFormatting>
  <conditionalFormatting sqref="B214">
    <cfRule type="expression" dxfId="759" priority="1358">
      <formula>AD214&lt;&gt;""</formula>
    </cfRule>
  </conditionalFormatting>
  <conditionalFormatting sqref="Z214">
    <cfRule type="cellIs" dxfId="758" priority="1356" operator="greaterThan">
      <formula>0</formula>
    </cfRule>
    <cfRule type="cellIs" dxfId="757" priority="1357" operator="lessThan">
      <formula>0</formula>
    </cfRule>
  </conditionalFormatting>
  <conditionalFormatting sqref="S214">
    <cfRule type="cellIs" dxfId="756" priority="1355" operator="lessThan">
      <formula>0</formula>
    </cfRule>
  </conditionalFormatting>
  <conditionalFormatting sqref="P214">
    <cfRule type="cellIs" dxfId="755" priority="1353" operator="equal">
      <formula>AS_DURATION_EFFORT</formula>
    </cfRule>
    <cfRule type="cellIs" dxfId="754" priority="1354" operator="equal">
      <formula>AS_DEV_EFFORT</formula>
    </cfRule>
  </conditionalFormatting>
  <conditionalFormatting sqref="F214">
    <cfRule type="expression" dxfId="753" priority="1352">
      <formula>$K214&lt;&gt;""</formula>
    </cfRule>
  </conditionalFormatting>
  <conditionalFormatting sqref="C214">
    <cfRule type="expression" dxfId="752" priority="1351">
      <formula>$G214&lt;&gt;"-"</formula>
    </cfRule>
  </conditionalFormatting>
  <conditionalFormatting sqref="D214">
    <cfRule type="expression" dxfId="751" priority="1350">
      <formula>$H214&lt;&gt;"-"</formula>
    </cfRule>
  </conditionalFormatting>
  <conditionalFormatting sqref="E214">
    <cfRule type="expression" dxfId="750" priority="1349">
      <formula>$I214&lt;&gt;"-"</formula>
    </cfRule>
  </conditionalFormatting>
  <conditionalFormatting sqref="B231">
    <cfRule type="expression" dxfId="749" priority="947">
      <formula>AD231&lt;&gt;""</formula>
    </cfRule>
  </conditionalFormatting>
  <conditionalFormatting sqref="Z231">
    <cfRule type="cellIs" dxfId="748" priority="945" operator="greaterThan">
      <formula>0</formula>
    </cfRule>
    <cfRule type="cellIs" dxfId="747" priority="946" operator="lessThan">
      <formula>0</formula>
    </cfRule>
  </conditionalFormatting>
  <conditionalFormatting sqref="S231">
    <cfRule type="cellIs" dxfId="746" priority="944" operator="lessThan">
      <formula>0</formula>
    </cfRule>
  </conditionalFormatting>
  <conditionalFormatting sqref="T229:T230">
    <cfRule type="expression" dxfId="745" priority="948">
      <formula>#REF!="Yes"</formula>
    </cfRule>
  </conditionalFormatting>
  <conditionalFormatting sqref="P231">
    <cfRule type="cellIs" dxfId="744" priority="942" operator="equal">
      <formula>AS_DURATION_EFFORT</formula>
    </cfRule>
    <cfRule type="cellIs" dxfId="743" priority="943" operator="equal">
      <formula>AS_DEV_EFFORT</formula>
    </cfRule>
  </conditionalFormatting>
  <conditionalFormatting sqref="B229:B230">
    <cfRule type="expression" dxfId="742" priority="941">
      <formula>AD229&lt;&gt;""</formula>
    </cfRule>
  </conditionalFormatting>
  <conditionalFormatting sqref="F231">
    <cfRule type="expression" dxfId="741" priority="940">
      <formula>$K231&lt;&gt;""</formula>
    </cfRule>
  </conditionalFormatting>
  <conditionalFormatting sqref="C231">
    <cfRule type="expression" dxfId="740" priority="939">
      <formula>$G231&lt;&gt;"-"</formula>
    </cfRule>
  </conditionalFormatting>
  <conditionalFormatting sqref="D231">
    <cfRule type="expression" dxfId="739" priority="938">
      <formula>$H231&lt;&gt;"-"</formula>
    </cfRule>
  </conditionalFormatting>
  <conditionalFormatting sqref="E231">
    <cfRule type="expression" dxfId="738" priority="937">
      <formula>$I231&lt;&gt;"-"</formula>
    </cfRule>
  </conditionalFormatting>
  <conditionalFormatting sqref="B232">
    <cfRule type="expression" dxfId="737" priority="936">
      <formula>AD232&lt;&gt;""</formula>
    </cfRule>
  </conditionalFormatting>
  <conditionalFormatting sqref="Z232">
    <cfRule type="cellIs" dxfId="736" priority="934" operator="greaterThan">
      <formula>0</formula>
    </cfRule>
    <cfRule type="cellIs" dxfId="735" priority="935" operator="lessThan">
      <formula>0</formula>
    </cfRule>
  </conditionalFormatting>
  <conditionalFormatting sqref="S232">
    <cfRule type="cellIs" dxfId="734" priority="933" operator="lessThan">
      <formula>0</formula>
    </cfRule>
  </conditionalFormatting>
  <conditionalFormatting sqref="P232">
    <cfRule type="cellIs" dxfId="733" priority="931" operator="equal">
      <formula>AS_DURATION_EFFORT</formula>
    </cfRule>
    <cfRule type="cellIs" dxfId="732" priority="932" operator="equal">
      <formula>AS_DEV_EFFORT</formula>
    </cfRule>
  </conditionalFormatting>
  <conditionalFormatting sqref="F232">
    <cfRule type="expression" dxfId="731" priority="930">
      <formula>$K232&lt;&gt;""</formula>
    </cfRule>
  </conditionalFormatting>
  <conditionalFormatting sqref="C232">
    <cfRule type="expression" dxfId="730" priority="929">
      <formula>$G232&lt;&gt;"-"</formula>
    </cfRule>
  </conditionalFormatting>
  <conditionalFormatting sqref="D232">
    <cfRule type="expression" dxfId="729" priority="928">
      <formula>$H232&lt;&gt;"-"</formula>
    </cfRule>
  </conditionalFormatting>
  <conditionalFormatting sqref="E232">
    <cfRule type="expression" dxfId="728" priority="927">
      <formula>$I232&lt;&gt;"-"</formula>
    </cfRule>
  </conditionalFormatting>
  <conditionalFormatting sqref="B233">
    <cfRule type="expression" dxfId="727" priority="926">
      <formula>AD233&lt;&gt;""</formula>
    </cfRule>
  </conditionalFormatting>
  <conditionalFormatting sqref="Z233">
    <cfRule type="cellIs" dxfId="726" priority="924" operator="greaterThan">
      <formula>0</formula>
    </cfRule>
    <cfRule type="cellIs" dxfId="725" priority="925" operator="lessThan">
      <formula>0</formula>
    </cfRule>
  </conditionalFormatting>
  <conditionalFormatting sqref="S233">
    <cfRule type="cellIs" dxfId="724" priority="923" operator="lessThan">
      <formula>0</formula>
    </cfRule>
  </conditionalFormatting>
  <conditionalFormatting sqref="P233">
    <cfRule type="cellIs" dxfId="723" priority="921" operator="equal">
      <formula>AS_DURATION_EFFORT</formula>
    </cfRule>
    <cfRule type="cellIs" dxfId="722" priority="922" operator="equal">
      <formula>AS_DEV_EFFORT</formula>
    </cfRule>
  </conditionalFormatting>
  <conditionalFormatting sqref="F233">
    <cfRule type="expression" dxfId="721" priority="920">
      <formula>$K233&lt;&gt;""</formula>
    </cfRule>
  </conditionalFormatting>
  <conditionalFormatting sqref="C233">
    <cfRule type="expression" dxfId="720" priority="919">
      <formula>$G233&lt;&gt;"-"</formula>
    </cfRule>
  </conditionalFormatting>
  <conditionalFormatting sqref="D233">
    <cfRule type="expression" dxfId="719" priority="918">
      <formula>$H233&lt;&gt;"-"</formula>
    </cfRule>
  </conditionalFormatting>
  <conditionalFormatting sqref="E233">
    <cfRule type="expression" dxfId="718" priority="917">
      <formula>$I233&lt;&gt;"-"</formula>
    </cfRule>
  </conditionalFormatting>
  <conditionalFormatting sqref="B234">
    <cfRule type="expression" dxfId="717" priority="916">
      <formula>AD234&lt;&gt;""</formula>
    </cfRule>
  </conditionalFormatting>
  <conditionalFormatting sqref="Z234">
    <cfRule type="cellIs" dxfId="716" priority="914" operator="greaterThan">
      <formula>0</formula>
    </cfRule>
    <cfRule type="cellIs" dxfId="715" priority="915" operator="lessThan">
      <formula>0</formula>
    </cfRule>
  </conditionalFormatting>
  <conditionalFormatting sqref="S234">
    <cfRule type="cellIs" dxfId="714" priority="913" operator="lessThan">
      <formula>0</formula>
    </cfRule>
  </conditionalFormatting>
  <conditionalFormatting sqref="P234">
    <cfRule type="cellIs" dxfId="713" priority="911" operator="equal">
      <formula>AS_DURATION_EFFORT</formula>
    </cfRule>
    <cfRule type="cellIs" dxfId="712" priority="912" operator="equal">
      <formula>AS_DEV_EFFORT</formula>
    </cfRule>
  </conditionalFormatting>
  <conditionalFormatting sqref="F234">
    <cfRule type="expression" dxfId="711" priority="910">
      <formula>$K234&lt;&gt;""</formula>
    </cfRule>
  </conditionalFormatting>
  <conditionalFormatting sqref="C234">
    <cfRule type="expression" dxfId="710" priority="909">
      <formula>$G234&lt;&gt;"-"</formula>
    </cfRule>
  </conditionalFormatting>
  <conditionalFormatting sqref="D234">
    <cfRule type="expression" dxfId="709" priority="908">
      <formula>$H234&lt;&gt;"-"</formula>
    </cfRule>
  </conditionalFormatting>
  <conditionalFormatting sqref="E234">
    <cfRule type="expression" dxfId="708" priority="907">
      <formula>$I234&lt;&gt;"-"</formula>
    </cfRule>
  </conditionalFormatting>
  <conditionalFormatting sqref="B225">
    <cfRule type="expression" dxfId="707" priority="903">
      <formula>AD225&lt;&gt;""</formula>
    </cfRule>
  </conditionalFormatting>
  <conditionalFormatting sqref="Z225">
    <cfRule type="cellIs" dxfId="706" priority="901" operator="greaterThan">
      <formula>0</formula>
    </cfRule>
    <cfRule type="cellIs" dxfId="705" priority="902" operator="lessThan">
      <formula>0</formula>
    </cfRule>
  </conditionalFormatting>
  <conditionalFormatting sqref="S225">
    <cfRule type="cellIs" dxfId="704" priority="900" operator="lessThan">
      <formula>0</formula>
    </cfRule>
  </conditionalFormatting>
  <conditionalFormatting sqref="T223:T224">
    <cfRule type="expression" dxfId="703" priority="904">
      <formula>#REF!="Yes"</formula>
    </cfRule>
  </conditionalFormatting>
  <conditionalFormatting sqref="P225">
    <cfRule type="cellIs" dxfId="702" priority="898" operator="equal">
      <formula>AS_DURATION_EFFORT</formula>
    </cfRule>
    <cfRule type="cellIs" dxfId="701" priority="899" operator="equal">
      <formula>AS_DEV_EFFORT</formula>
    </cfRule>
  </conditionalFormatting>
  <conditionalFormatting sqref="B223:B224">
    <cfRule type="expression" dxfId="700" priority="897">
      <formula>AD223&lt;&gt;""</formula>
    </cfRule>
  </conditionalFormatting>
  <conditionalFormatting sqref="F225">
    <cfRule type="expression" dxfId="699" priority="896">
      <formula>$K225&lt;&gt;""</formula>
    </cfRule>
  </conditionalFormatting>
  <conditionalFormatting sqref="C225">
    <cfRule type="expression" dxfId="698" priority="895">
      <formula>$G225&lt;&gt;"-"</formula>
    </cfRule>
  </conditionalFormatting>
  <conditionalFormatting sqref="D225">
    <cfRule type="expression" dxfId="697" priority="894">
      <formula>$H225&lt;&gt;"-"</formula>
    </cfRule>
  </conditionalFormatting>
  <conditionalFormatting sqref="E225">
    <cfRule type="expression" dxfId="696" priority="893">
      <formula>$I225&lt;&gt;"-"</formula>
    </cfRule>
  </conditionalFormatting>
  <conditionalFormatting sqref="S222">
    <cfRule type="expression" dxfId="695" priority="892">
      <formula>#REF!="Yes"</formula>
    </cfRule>
  </conditionalFormatting>
  <conditionalFormatting sqref="B222">
    <cfRule type="expression" dxfId="694" priority="891">
      <formula>AD222&lt;&gt;""</formula>
    </cfRule>
  </conditionalFormatting>
  <conditionalFormatting sqref="B226">
    <cfRule type="expression" dxfId="693" priority="888">
      <formula>AD226&lt;&gt;""</formula>
    </cfRule>
  </conditionalFormatting>
  <conditionalFormatting sqref="Z226">
    <cfRule type="cellIs" dxfId="692" priority="886" operator="greaterThan">
      <formula>0</formula>
    </cfRule>
    <cfRule type="cellIs" dxfId="691" priority="887" operator="lessThan">
      <formula>0</formula>
    </cfRule>
  </conditionalFormatting>
  <conditionalFormatting sqref="S226">
    <cfRule type="cellIs" dxfId="690" priority="885" operator="lessThan">
      <formula>0</formula>
    </cfRule>
  </conditionalFormatting>
  <conditionalFormatting sqref="F226">
    <cfRule type="expression" dxfId="689" priority="882">
      <formula>$K226&lt;&gt;""</formula>
    </cfRule>
  </conditionalFormatting>
  <conditionalFormatting sqref="C226">
    <cfRule type="expression" dxfId="688" priority="881">
      <formula>$G226&lt;&gt;"-"</formula>
    </cfRule>
  </conditionalFormatting>
  <conditionalFormatting sqref="D226">
    <cfRule type="expression" dxfId="687" priority="880">
      <formula>$H226&lt;&gt;"-"</formula>
    </cfRule>
  </conditionalFormatting>
  <conditionalFormatting sqref="E226">
    <cfRule type="expression" dxfId="686" priority="879">
      <formula>$I226&lt;&gt;"-"</formula>
    </cfRule>
  </conditionalFormatting>
  <conditionalFormatting sqref="P226">
    <cfRule type="cellIs" dxfId="685" priority="873" operator="equal">
      <formula>AS_DURATION_EFFORT</formula>
    </cfRule>
    <cfRule type="cellIs" dxfId="684" priority="874" operator="equal">
      <formula>AS_DEV_EFFORT</formula>
    </cfRule>
  </conditionalFormatting>
  <conditionalFormatting sqref="S228">
    <cfRule type="expression" dxfId="683" priority="872">
      <formula>#REF!="Yes"</formula>
    </cfRule>
  </conditionalFormatting>
  <conditionalFormatting sqref="B228">
    <cfRule type="expression" dxfId="682" priority="871">
      <formula>AD228&lt;&gt;""</formula>
    </cfRule>
  </conditionalFormatting>
  <conditionalFormatting sqref="P239">
    <cfRule type="cellIs" dxfId="681" priority="867" operator="equal">
      <formula>AS_DURATION_EFFORT</formula>
    </cfRule>
    <cfRule type="cellIs" dxfId="680" priority="868" operator="equal">
      <formula>AS_DEV_EFFORT</formula>
    </cfRule>
  </conditionalFormatting>
  <conditionalFormatting sqref="B252">
    <cfRule type="expression" dxfId="679" priority="850">
      <formula>AD252&lt;&gt;""</formula>
    </cfRule>
  </conditionalFormatting>
  <conditionalFormatting sqref="Z252">
    <cfRule type="cellIs" dxfId="678" priority="848" operator="greaterThan">
      <formula>0</formula>
    </cfRule>
    <cfRule type="cellIs" dxfId="677" priority="849" operator="lessThan">
      <formula>0</formula>
    </cfRule>
  </conditionalFormatting>
  <conditionalFormatting sqref="S252">
    <cfRule type="cellIs" dxfId="676" priority="847" operator="lessThan">
      <formula>0</formula>
    </cfRule>
  </conditionalFormatting>
  <conditionalFormatting sqref="P252">
    <cfRule type="cellIs" dxfId="675" priority="845" operator="equal">
      <formula>AS_DURATION_EFFORT</formula>
    </cfRule>
    <cfRule type="cellIs" dxfId="674" priority="846" operator="equal">
      <formula>AS_DEV_EFFORT</formula>
    </cfRule>
  </conditionalFormatting>
  <conditionalFormatting sqref="F252">
    <cfRule type="expression" dxfId="673" priority="844">
      <formula>$K252&lt;&gt;""</formula>
    </cfRule>
  </conditionalFormatting>
  <conditionalFormatting sqref="C252">
    <cfRule type="expression" dxfId="672" priority="843">
      <formula>$G252&lt;&gt;"-"</formula>
    </cfRule>
  </conditionalFormatting>
  <conditionalFormatting sqref="D252">
    <cfRule type="expression" dxfId="671" priority="842">
      <formula>$H252&lt;&gt;"-"</formula>
    </cfRule>
  </conditionalFormatting>
  <conditionalFormatting sqref="E252">
    <cfRule type="expression" dxfId="670" priority="841">
      <formula>$I252&lt;&gt;"-"</formula>
    </cfRule>
  </conditionalFormatting>
  <conditionalFormatting sqref="B76">
    <cfRule type="expression" dxfId="669" priority="838">
      <formula>AD76&lt;&gt;""</formula>
    </cfRule>
  </conditionalFormatting>
  <conditionalFormatting sqref="Z76">
    <cfRule type="cellIs" dxfId="668" priority="836" operator="greaterThan">
      <formula>0</formula>
    </cfRule>
    <cfRule type="cellIs" dxfId="667" priority="837" operator="lessThan">
      <formula>0</formula>
    </cfRule>
  </conditionalFormatting>
  <conditionalFormatting sqref="S76">
    <cfRule type="cellIs" dxfId="666" priority="835" operator="lessThan">
      <formula>0</formula>
    </cfRule>
  </conditionalFormatting>
  <conditionalFormatting sqref="L76:O76 Q76:AC76">
    <cfRule type="expression" dxfId="665" priority="839">
      <formula>AND($G76="Yes", $S$6="Exclude")</formula>
    </cfRule>
    <cfRule type="expression" dxfId="664" priority="840">
      <formula>$J76="Yes"</formula>
    </cfRule>
  </conditionalFormatting>
  <conditionalFormatting sqref="F76">
    <cfRule type="expression" dxfId="663" priority="832">
      <formula>$K76&lt;&gt;""</formula>
    </cfRule>
  </conditionalFormatting>
  <conditionalFormatting sqref="C76">
    <cfRule type="expression" dxfId="662" priority="831">
      <formula>$G76&lt;&gt;"-"</formula>
    </cfRule>
  </conditionalFormatting>
  <conditionalFormatting sqref="D76">
    <cfRule type="expression" dxfId="661" priority="830">
      <formula>$H76&lt;&gt;"-"</formula>
    </cfRule>
  </conditionalFormatting>
  <conditionalFormatting sqref="E76">
    <cfRule type="expression" dxfId="660" priority="829">
      <formula>$I76&lt;&gt;"-"</formula>
    </cfRule>
  </conditionalFormatting>
  <conditionalFormatting sqref="P85">
    <cfRule type="cellIs" dxfId="659" priority="827" operator="equal">
      <formula>AS_DURATION_EFFORT</formula>
    </cfRule>
    <cfRule type="cellIs" dxfId="658" priority="828" operator="equal">
      <formula>AS_DEV_EFFORT</formula>
    </cfRule>
  </conditionalFormatting>
  <conditionalFormatting sqref="P102:P103">
    <cfRule type="cellIs" dxfId="657" priority="825" operator="equal">
      <formula>AS_DURATION_EFFORT</formula>
    </cfRule>
    <cfRule type="cellIs" dxfId="656" priority="826" operator="equal">
      <formula>AS_DEV_EFFORT</formula>
    </cfRule>
  </conditionalFormatting>
  <conditionalFormatting sqref="P105">
    <cfRule type="cellIs" dxfId="655" priority="823" operator="equal">
      <formula>AS_DURATION_EFFORT</formula>
    </cfRule>
    <cfRule type="cellIs" dxfId="654" priority="824" operator="equal">
      <formula>AS_DEV_EFFORT</formula>
    </cfRule>
  </conditionalFormatting>
  <conditionalFormatting sqref="P105">
    <cfRule type="cellIs" dxfId="653" priority="821" operator="equal">
      <formula>AS_DURATION_EFFORT</formula>
    </cfRule>
    <cfRule type="cellIs" dxfId="652" priority="822" operator="equal">
      <formula>AS_DEV_EFFORT</formula>
    </cfRule>
  </conditionalFormatting>
  <conditionalFormatting sqref="AB101">
    <cfRule type="cellIs" dxfId="651" priority="819" operator="equal">
      <formula>AS_DURATION_EFFORT</formula>
    </cfRule>
    <cfRule type="cellIs" dxfId="650" priority="820" operator="equal">
      <formula>AS_DEV_EFFORT</formula>
    </cfRule>
  </conditionalFormatting>
  <conditionalFormatting sqref="AB102:AB103">
    <cfRule type="cellIs" dxfId="649" priority="817" operator="equal">
      <formula>AS_DURATION_EFFORT</formula>
    </cfRule>
    <cfRule type="cellIs" dxfId="648" priority="818" operator="equal">
      <formula>AS_DEV_EFFORT</formula>
    </cfRule>
  </conditionalFormatting>
  <conditionalFormatting sqref="AB105">
    <cfRule type="cellIs" dxfId="647" priority="815" operator="equal">
      <formula>AS_DURATION_EFFORT</formula>
    </cfRule>
    <cfRule type="cellIs" dxfId="646" priority="816" operator="equal">
      <formula>AS_DEV_EFFORT</formula>
    </cfRule>
  </conditionalFormatting>
  <conditionalFormatting sqref="P102">
    <cfRule type="cellIs" dxfId="645" priority="813" operator="equal">
      <formula>AS_DURATION_EFFORT</formula>
    </cfRule>
    <cfRule type="cellIs" dxfId="644" priority="814" operator="equal">
      <formula>AS_DEV_EFFORT</formula>
    </cfRule>
  </conditionalFormatting>
  <conditionalFormatting sqref="P103">
    <cfRule type="cellIs" dxfId="643" priority="811" operator="equal">
      <formula>AS_DURATION_EFFORT</formula>
    </cfRule>
    <cfRule type="cellIs" dxfId="642" priority="812" operator="equal">
      <formula>AS_DEV_EFFORT</formula>
    </cfRule>
  </conditionalFormatting>
  <conditionalFormatting sqref="P103">
    <cfRule type="cellIs" dxfId="641" priority="809" operator="equal">
      <formula>AS_DURATION_EFFORT</formula>
    </cfRule>
    <cfRule type="cellIs" dxfId="640" priority="810" operator="equal">
      <formula>AS_DEV_EFFORT</formula>
    </cfRule>
  </conditionalFormatting>
  <conditionalFormatting sqref="P104">
    <cfRule type="cellIs" dxfId="639" priority="807" operator="equal">
      <formula>AS_DURATION_EFFORT</formula>
    </cfRule>
    <cfRule type="cellIs" dxfId="638" priority="808" operator="equal">
      <formula>AS_DEV_EFFORT</formula>
    </cfRule>
  </conditionalFormatting>
  <conditionalFormatting sqref="P104">
    <cfRule type="cellIs" dxfId="637" priority="805" operator="equal">
      <formula>AS_DURATION_EFFORT</formula>
    </cfRule>
    <cfRule type="cellIs" dxfId="636" priority="806" operator="equal">
      <formula>AS_DEV_EFFORT</formula>
    </cfRule>
  </conditionalFormatting>
  <conditionalFormatting sqref="P104">
    <cfRule type="cellIs" dxfId="635" priority="803" operator="equal">
      <formula>AS_DURATION_EFFORT</formula>
    </cfRule>
    <cfRule type="cellIs" dxfId="634" priority="804" operator="equal">
      <formula>AS_DEV_EFFORT</formula>
    </cfRule>
  </conditionalFormatting>
  <conditionalFormatting sqref="P104">
    <cfRule type="cellIs" dxfId="633" priority="801" operator="equal">
      <formula>AS_DURATION_EFFORT</formula>
    </cfRule>
    <cfRule type="cellIs" dxfId="632" priority="802" operator="equal">
      <formula>AS_DEV_EFFORT</formula>
    </cfRule>
  </conditionalFormatting>
  <conditionalFormatting sqref="P105">
    <cfRule type="cellIs" dxfId="631" priority="799" operator="equal">
      <formula>AS_DURATION_EFFORT</formula>
    </cfRule>
    <cfRule type="cellIs" dxfId="630" priority="800" operator="equal">
      <formula>AS_DEV_EFFORT</formula>
    </cfRule>
  </conditionalFormatting>
  <conditionalFormatting sqref="P105">
    <cfRule type="cellIs" dxfId="629" priority="797" operator="equal">
      <formula>AS_DURATION_EFFORT</formula>
    </cfRule>
    <cfRule type="cellIs" dxfId="628" priority="798" operator="equal">
      <formula>AS_DEV_EFFORT</formula>
    </cfRule>
  </conditionalFormatting>
  <conditionalFormatting sqref="P105">
    <cfRule type="cellIs" dxfId="627" priority="795" operator="equal">
      <formula>AS_DURATION_EFFORT</formula>
    </cfRule>
    <cfRule type="cellIs" dxfId="626" priority="796" operator="equal">
      <formula>AS_DEV_EFFORT</formula>
    </cfRule>
  </conditionalFormatting>
  <conditionalFormatting sqref="P105">
    <cfRule type="cellIs" dxfId="625" priority="793" operator="equal">
      <formula>AS_DURATION_EFFORT</formula>
    </cfRule>
    <cfRule type="cellIs" dxfId="624" priority="794" operator="equal">
      <formula>AS_DEV_EFFORT</formula>
    </cfRule>
  </conditionalFormatting>
  <conditionalFormatting sqref="P105">
    <cfRule type="cellIs" dxfId="623" priority="791" operator="equal">
      <formula>AS_DURATION_EFFORT</formula>
    </cfRule>
    <cfRule type="cellIs" dxfId="622" priority="792" operator="equal">
      <formula>AS_DEV_EFFORT</formula>
    </cfRule>
  </conditionalFormatting>
  <conditionalFormatting sqref="P94">
    <cfRule type="cellIs" dxfId="621" priority="789" operator="equal">
      <formula>AS_DURATION_EFFORT</formula>
    </cfRule>
    <cfRule type="cellIs" dxfId="620" priority="790" operator="equal">
      <formula>AS_DEV_EFFORT</formula>
    </cfRule>
  </conditionalFormatting>
  <conditionalFormatting sqref="P95:P97">
    <cfRule type="cellIs" dxfId="619" priority="787" operator="equal">
      <formula>AS_DURATION_EFFORT</formula>
    </cfRule>
    <cfRule type="cellIs" dxfId="618" priority="788" operator="equal">
      <formula>AS_DEV_EFFORT</formula>
    </cfRule>
  </conditionalFormatting>
  <conditionalFormatting sqref="P95:P97">
    <cfRule type="cellIs" dxfId="617" priority="785" operator="equal">
      <formula>AS_DURATION_EFFORT</formula>
    </cfRule>
    <cfRule type="cellIs" dxfId="616" priority="786" operator="equal">
      <formula>AS_DEV_EFFORT</formula>
    </cfRule>
  </conditionalFormatting>
  <conditionalFormatting sqref="P81">
    <cfRule type="cellIs" dxfId="615" priority="783" operator="equal">
      <formula>AS_DURATION_EFFORT</formula>
    </cfRule>
    <cfRule type="cellIs" dxfId="614" priority="784" operator="equal">
      <formula>AS_DEV_EFFORT</formula>
    </cfRule>
  </conditionalFormatting>
  <conditionalFormatting sqref="P81">
    <cfRule type="cellIs" dxfId="613" priority="781" operator="equal">
      <formula>AS_DURATION_EFFORT</formula>
    </cfRule>
    <cfRule type="cellIs" dxfId="612" priority="782" operator="equal">
      <formula>AS_DEV_EFFORT</formula>
    </cfRule>
  </conditionalFormatting>
  <conditionalFormatting sqref="P82:P85">
    <cfRule type="cellIs" dxfId="611" priority="779" operator="equal">
      <formula>AS_DURATION_EFFORT</formula>
    </cfRule>
    <cfRule type="cellIs" dxfId="610" priority="780" operator="equal">
      <formula>AS_DEV_EFFORT</formula>
    </cfRule>
  </conditionalFormatting>
  <conditionalFormatting sqref="P82:P85">
    <cfRule type="cellIs" dxfId="609" priority="777" operator="equal">
      <formula>AS_DURATION_EFFORT</formula>
    </cfRule>
    <cfRule type="cellIs" dxfId="608" priority="778" operator="equal">
      <formula>AS_DEV_EFFORT</formula>
    </cfRule>
  </conditionalFormatting>
  <conditionalFormatting sqref="P82:P85">
    <cfRule type="cellIs" dxfId="607" priority="775" operator="equal">
      <formula>AS_DURATION_EFFORT</formula>
    </cfRule>
    <cfRule type="cellIs" dxfId="606" priority="776" operator="equal">
      <formula>AS_DEV_EFFORT</formula>
    </cfRule>
  </conditionalFormatting>
  <conditionalFormatting sqref="P73:P74">
    <cfRule type="cellIs" dxfId="605" priority="773" operator="equal">
      <formula>AS_DURATION_EFFORT</formula>
    </cfRule>
    <cfRule type="cellIs" dxfId="604" priority="774" operator="equal">
      <formula>AS_DEV_EFFORT</formula>
    </cfRule>
  </conditionalFormatting>
  <conditionalFormatting sqref="P73:P74">
    <cfRule type="cellIs" dxfId="603" priority="771" operator="equal">
      <formula>AS_DURATION_EFFORT</formula>
    </cfRule>
    <cfRule type="cellIs" dxfId="602" priority="772" operator="equal">
      <formula>AS_DEV_EFFORT</formula>
    </cfRule>
  </conditionalFormatting>
  <conditionalFormatting sqref="P73:P74">
    <cfRule type="cellIs" dxfId="601" priority="769" operator="equal">
      <formula>AS_DURATION_EFFORT</formula>
    </cfRule>
    <cfRule type="cellIs" dxfId="600" priority="770" operator="equal">
      <formula>AS_DEV_EFFORT</formula>
    </cfRule>
  </conditionalFormatting>
  <conditionalFormatting sqref="P75:P77">
    <cfRule type="expression" dxfId="599" priority="767">
      <formula>AND($G75="Yes", $S$6="Exclude")</formula>
    </cfRule>
    <cfRule type="expression" dxfId="598" priority="768">
      <formula>$J75="Yes"</formula>
    </cfRule>
  </conditionalFormatting>
  <conditionalFormatting sqref="P75:P77">
    <cfRule type="cellIs" dxfId="597" priority="765" operator="equal">
      <formula>AS_DURATION_EFFORT</formula>
    </cfRule>
    <cfRule type="cellIs" dxfId="596" priority="766" operator="equal">
      <formula>AS_DEV_EFFORT</formula>
    </cfRule>
  </conditionalFormatting>
  <conditionalFormatting sqref="P75:P77">
    <cfRule type="cellIs" dxfId="595" priority="763" operator="equal">
      <formula>AS_DURATION_EFFORT</formula>
    </cfRule>
    <cfRule type="cellIs" dxfId="594" priority="764" operator="equal">
      <formula>AS_DEV_EFFORT</formula>
    </cfRule>
  </conditionalFormatting>
  <conditionalFormatting sqref="P75:P77">
    <cfRule type="cellIs" dxfId="593" priority="761" operator="equal">
      <formula>AS_DURATION_EFFORT</formula>
    </cfRule>
    <cfRule type="cellIs" dxfId="592" priority="762" operator="equal">
      <formula>AS_DEV_EFFORT</formula>
    </cfRule>
  </conditionalFormatting>
  <conditionalFormatting sqref="P75:P77">
    <cfRule type="cellIs" dxfId="591" priority="759" operator="equal">
      <formula>AS_DURATION_EFFORT</formula>
    </cfRule>
    <cfRule type="cellIs" dxfId="590" priority="760" operator="equal">
      <formula>AS_DEV_EFFORT</formula>
    </cfRule>
  </conditionalFormatting>
  <conditionalFormatting sqref="P63">
    <cfRule type="cellIs" dxfId="589" priority="757" operator="equal">
      <formula>AS_DURATION_EFFORT</formula>
    </cfRule>
    <cfRule type="cellIs" dxfId="588" priority="758" operator="equal">
      <formula>AS_DEV_EFFORT</formula>
    </cfRule>
  </conditionalFormatting>
  <conditionalFormatting sqref="P63">
    <cfRule type="cellIs" dxfId="587" priority="755" operator="equal">
      <formula>AS_DURATION_EFFORT</formula>
    </cfRule>
    <cfRule type="cellIs" dxfId="586" priority="756" operator="equal">
      <formula>AS_DEV_EFFORT</formula>
    </cfRule>
  </conditionalFormatting>
  <conditionalFormatting sqref="P63">
    <cfRule type="cellIs" dxfId="585" priority="753" operator="equal">
      <formula>AS_DURATION_EFFORT</formula>
    </cfRule>
    <cfRule type="cellIs" dxfId="584" priority="754" operator="equal">
      <formula>AS_DEV_EFFORT</formula>
    </cfRule>
  </conditionalFormatting>
  <conditionalFormatting sqref="P63">
    <cfRule type="cellIs" dxfId="583" priority="751" operator="equal">
      <formula>AS_DURATION_EFFORT</formula>
    </cfRule>
    <cfRule type="cellIs" dxfId="582" priority="752" operator="equal">
      <formula>AS_DEV_EFFORT</formula>
    </cfRule>
  </conditionalFormatting>
  <conditionalFormatting sqref="P64">
    <cfRule type="cellIs" dxfId="581" priority="749" operator="equal">
      <formula>AS_DURATION_EFFORT</formula>
    </cfRule>
    <cfRule type="cellIs" dxfId="580" priority="750" operator="equal">
      <formula>AS_DEV_EFFORT</formula>
    </cfRule>
  </conditionalFormatting>
  <conditionalFormatting sqref="P64">
    <cfRule type="cellIs" dxfId="579" priority="747" operator="equal">
      <formula>AS_DURATION_EFFORT</formula>
    </cfRule>
    <cfRule type="cellIs" dxfId="578" priority="748" operator="equal">
      <formula>AS_DEV_EFFORT</formula>
    </cfRule>
  </conditionalFormatting>
  <conditionalFormatting sqref="P64">
    <cfRule type="cellIs" dxfId="577" priority="745" operator="equal">
      <formula>AS_DURATION_EFFORT</formula>
    </cfRule>
    <cfRule type="cellIs" dxfId="576" priority="746" operator="equal">
      <formula>AS_DEV_EFFORT</formula>
    </cfRule>
  </conditionalFormatting>
  <conditionalFormatting sqref="P64">
    <cfRule type="cellIs" dxfId="575" priority="743" operator="equal">
      <formula>AS_DURATION_EFFORT</formula>
    </cfRule>
    <cfRule type="cellIs" dxfId="574" priority="744" operator="equal">
      <formula>AS_DEV_EFFORT</formula>
    </cfRule>
  </conditionalFormatting>
  <conditionalFormatting sqref="P64">
    <cfRule type="cellIs" dxfId="573" priority="741" operator="equal">
      <formula>AS_DURATION_EFFORT</formula>
    </cfRule>
    <cfRule type="cellIs" dxfId="572" priority="742" operator="equal">
      <formula>AS_DEV_EFFORT</formula>
    </cfRule>
  </conditionalFormatting>
  <conditionalFormatting sqref="P16">
    <cfRule type="cellIs" dxfId="571" priority="739" operator="equal">
      <formula>AS_DURATION_EFFORT</formula>
    </cfRule>
    <cfRule type="cellIs" dxfId="570" priority="740" operator="equal">
      <formula>AS_DEV_EFFORT</formula>
    </cfRule>
  </conditionalFormatting>
  <conditionalFormatting sqref="P16">
    <cfRule type="cellIs" dxfId="569" priority="737" operator="equal">
      <formula>AS_DURATION_EFFORT</formula>
    </cfRule>
    <cfRule type="cellIs" dxfId="568" priority="738" operator="equal">
      <formula>AS_DEV_EFFORT</formula>
    </cfRule>
  </conditionalFormatting>
  <conditionalFormatting sqref="P16">
    <cfRule type="cellIs" dxfId="567" priority="735" operator="equal">
      <formula>AS_DURATION_EFFORT</formula>
    </cfRule>
    <cfRule type="cellIs" dxfId="566" priority="736" operator="equal">
      <formula>AS_DEV_EFFORT</formula>
    </cfRule>
  </conditionalFormatting>
  <conditionalFormatting sqref="P16">
    <cfRule type="cellIs" dxfId="565" priority="733" operator="equal">
      <formula>AS_DURATION_EFFORT</formula>
    </cfRule>
    <cfRule type="cellIs" dxfId="564" priority="734" operator="equal">
      <formula>AS_DEV_EFFORT</formula>
    </cfRule>
  </conditionalFormatting>
  <conditionalFormatting sqref="P16">
    <cfRule type="cellIs" dxfId="563" priority="731" operator="equal">
      <formula>AS_DURATION_EFFORT</formula>
    </cfRule>
    <cfRule type="cellIs" dxfId="562" priority="732" operator="equal">
      <formula>AS_DEV_EFFORT</formula>
    </cfRule>
  </conditionalFormatting>
  <conditionalFormatting sqref="P17">
    <cfRule type="cellIs" dxfId="561" priority="729" operator="equal">
      <formula>AS_DURATION_EFFORT</formula>
    </cfRule>
    <cfRule type="cellIs" dxfId="560" priority="730" operator="equal">
      <formula>AS_DEV_EFFORT</formula>
    </cfRule>
  </conditionalFormatting>
  <conditionalFormatting sqref="P17">
    <cfRule type="cellIs" dxfId="559" priority="727" operator="equal">
      <formula>AS_DURATION_EFFORT</formula>
    </cfRule>
    <cfRule type="cellIs" dxfId="558" priority="728" operator="equal">
      <formula>AS_DEV_EFFORT</formula>
    </cfRule>
  </conditionalFormatting>
  <conditionalFormatting sqref="P17">
    <cfRule type="cellIs" dxfId="557" priority="725" operator="equal">
      <formula>AS_DURATION_EFFORT</formula>
    </cfRule>
    <cfRule type="cellIs" dxfId="556" priority="726" operator="equal">
      <formula>AS_DEV_EFFORT</formula>
    </cfRule>
  </conditionalFormatting>
  <conditionalFormatting sqref="P17">
    <cfRule type="cellIs" dxfId="555" priority="723" operator="equal">
      <formula>AS_DURATION_EFFORT</formula>
    </cfRule>
    <cfRule type="cellIs" dxfId="554" priority="724" operator="equal">
      <formula>AS_DEV_EFFORT</formula>
    </cfRule>
  </conditionalFormatting>
  <conditionalFormatting sqref="P17">
    <cfRule type="cellIs" dxfId="553" priority="721" operator="equal">
      <formula>AS_DURATION_EFFORT</formula>
    </cfRule>
    <cfRule type="cellIs" dxfId="552" priority="722" operator="equal">
      <formula>AS_DEV_EFFORT</formula>
    </cfRule>
  </conditionalFormatting>
  <conditionalFormatting sqref="P17">
    <cfRule type="cellIs" dxfId="551" priority="719" operator="equal">
      <formula>AS_DURATION_EFFORT</formula>
    </cfRule>
    <cfRule type="cellIs" dxfId="550" priority="720" operator="equal">
      <formula>AS_DEV_EFFORT</formula>
    </cfRule>
  </conditionalFormatting>
  <conditionalFormatting sqref="P24">
    <cfRule type="cellIs" dxfId="549" priority="717" operator="equal">
      <formula>AS_DURATION_EFFORT</formula>
    </cfRule>
    <cfRule type="cellIs" dxfId="548" priority="718" operator="equal">
      <formula>AS_DEV_EFFORT</formula>
    </cfRule>
  </conditionalFormatting>
  <conditionalFormatting sqref="P24">
    <cfRule type="cellIs" dxfId="547" priority="715" operator="equal">
      <formula>AS_DURATION_EFFORT</formula>
    </cfRule>
    <cfRule type="cellIs" dxfId="546" priority="716" operator="equal">
      <formula>AS_DEV_EFFORT</formula>
    </cfRule>
  </conditionalFormatting>
  <conditionalFormatting sqref="P24">
    <cfRule type="cellIs" dxfId="545" priority="713" operator="equal">
      <formula>AS_DURATION_EFFORT</formula>
    </cfRule>
    <cfRule type="cellIs" dxfId="544" priority="714" operator="equal">
      <formula>AS_DEV_EFFORT</formula>
    </cfRule>
  </conditionalFormatting>
  <conditionalFormatting sqref="P24">
    <cfRule type="cellIs" dxfId="543" priority="711" operator="equal">
      <formula>AS_DURATION_EFFORT</formula>
    </cfRule>
    <cfRule type="cellIs" dxfId="542" priority="712" operator="equal">
      <formula>AS_DEV_EFFORT</formula>
    </cfRule>
  </conditionalFormatting>
  <conditionalFormatting sqref="P24">
    <cfRule type="cellIs" dxfId="541" priority="709" operator="equal">
      <formula>AS_DURATION_EFFORT</formula>
    </cfRule>
    <cfRule type="cellIs" dxfId="540" priority="710" operator="equal">
      <formula>AS_DEV_EFFORT</formula>
    </cfRule>
  </conditionalFormatting>
  <conditionalFormatting sqref="P42">
    <cfRule type="cellIs" dxfId="539" priority="707" operator="equal">
      <formula>AS_DURATION_EFFORT</formula>
    </cfRule>
    <cfRule type="cellIs" dxfId="538" priority="708" operator="equal">
      <formula>AS_DEV_EFFORT</formula>
    </cfRule>
  </conditionalFormatting>
  <conditionalFormatting sqref="P42">
    <cfRule type="cellIs" dxfId="537" priority="705" operator="equal">
      <formula>AS_DURATION_EFFORT</formula>
    </cfRule>
    <cfRule type="cellIs" dxfId="536" priority="706" operator="equal">
      <formula>AS_DEV_EFFORT</formula>
    </cfRule>
  </conditionalFormatting>
  <conditionalFormatting sqref="P42">
    <cfRule type="cellIs" dxfId="535" priority="703" operator="equal">
      <formula>AS_DURATION_EFFORT</formula>
    </cfRule>
    <cfRule type="cellIs" dxfId="534" priority="704" operator="equal">
      <formula>AS_DEV_EFFORT</formula>
    </cfRule>
  </conditionalFormatting>
  <conditionalFormatting sqref="P42">
    <cfRule type="cellIs" dxfId="533" priority="701" operator="equal">
      <formula>AS_DURATION_EFFORT</formula>
    </cfRule>
    <cfRule type="cellIs" dxfId="532" priority="702" operator="equal">
      <formula>AS_DEV_EFFORT</formula>
    </cfRule>
  </conditionalFormatting>
  <conditionalFormatting sqref="P42">
    <cfRule type="cellIs" dxfId="531" priority="699" operator="equal">
      <formula>AS_DURATION_EFFORT</formula>
    </cfRule>
    <cfRule type="cellIs" dxfId="530" priority="700" operator="equal">
      <formula>AS_DEV_EFFORT</formula>
    </cfRule>
  </conditionalFormatting>
  <conditionalFormatting sqref="P42">
    <cfRule type="cellIs" dxfId="529" priority="697" operator="equal">
      <formula>AS_DURATION_EFFORT</formula>
    </cfRule>
    <cfRule type="cellIs" dxfId="528" priority="698" operator="equal">
      <formula>AS_DEV_EFFORT</formula>
    </cfRule>
  </conditionalFormatting>
  <conditionalFormatting sqref="P68">
    <cfRule type="cellIs" dxfId="527" priority="695" operator="equal">
      <formula>AS_DURATION_EFFORT</formula>
    </cfRule>
    <cfRule type="cellIs" dxfId="526" priority="696" operator="equal">
      <formula>AS_DEV_EFFORT</formula>
    </cfRule>
  </conditionalFormatting>
  <conditionalFormatting sqref="P68">
    <cfRule type="cellIs" dxfId="525" priority="693" operator="equal">
      <formula>AS_DURATION_EFFORT</formula>
    </cfRule>
    <cfRule type="cellIs" dxfId="524" priority="694" operator="equal">
      <formula>AS_DEV_EFFORT</formula>
    </cfRule>
  </conditionalFormatting>
  <conditionalFormatting sqref="P68">
    <cfRule type="cellIs" dxfId="523" priority="691" operator="equal">
      <formula>AS_DURATION_EFFORT</formula>
    </cfRule>
    <cfRule type="cellIs" dxfId="522" priority="692" operator="equal">
      <formula>AS_DEV_EFFORT</formula>
    </cfRule>
  </conditionalFormatting>
  <conditionalFormatting sqref="P68">
    <cfRule type="cellIs" dxfId="521" priority="689" operator="equal">
      <formula>AS_DURATION_EFFORT</formula>
    </cfRule>
    <cfRule type="cellIs" dxfId="520" priority="690" operator="equal">
      <formula>AS_DEV_EFFORT</formula>
    </cfRule>
  </conditionalFormatting>
  <conditionalFormatting sqref="P68">
    <cfRule type="cellIs" dxfId="519" priority="687" operator="equal">
      <formula>AS_DURATION_EFFORT</formula>
    </cfRule>
    <cfRule type="cellIs" dxfId="518" priority="688" operator="equal">
      <formula>AS_DEV_EFFORT</formula>
    </cfRule>
  </conditionalFormatting>
  <conditionalFormatting sqref="P68">
    <cfRule type="cellIs" dxfId="517" priority="685" operator="equal">
      <formula>AS_DURATION_EFFORT</formula>
    </cfRule>
    <cfRule type="cellIs" dxfId="516" priority="686" operator="equal">
      <formula>AS_DEV_EFFORT</formula>
    </cfRule>
  </conditionalFormatting>
  <conditionalFormatting sqref="B112">
    <cfRule type="expression" dxfId="515" priority="682">
      <formula>AD112&lt;&gt;""</formula>
    </cfRule>
  </conditionalFormatting>
  <conditionalFormatting sqref="Z112">
    <cfRule type="cellIs" dxfId="514" priority="680" operator="greaterThan">
      <formula>0</formula>
    </cfRule>
    <cfRule type="cellIs" dxfId="513" priority="681" operator="lessThan">
      <formula>0</formula>
    </cfRule>
  </conditionalFormatting>
  <conditionalFormatting sqref="S112">
    <cfRule type="cellIs" dxfId="512" priority="679" operator="lessThan">
      <formula>0</formula>
    </cfRule>
  </conditionalFormatting>
  <conditionalFormatting sqref="P112">
    <cfRule type="cellIs" dxfId="511" priority="677" operator="equal">
      <formula>AS_DURATION_EFFORT</formula>
    </cfRule>
    <cfRule type="cellIs" dxfId="510" priority="678" operator="equal">
      <formula>AS_DEV_EFFORT</formula>
    </cfRule>
  </conditionalFormatting>
  <conditionalFormatting sqref="F112">
    <cfRule type="expression" dxfId="509" priority="676">
      <formula>$K112&lt;&gt;""</formula>
    </cfRule>
  </conditionalFormatting>
  <conditionalFormatting sqref="C112">
    <cfRule type="expression" dxfId="508" priority="675">
      <formula>$G112&lt;&gt;"-"</formula>
    </cfRule>
  </conditionalFormatting>
  <conditionalFormatting sqref="D112">
    <cfRule type="expression" dxfId="507" priority="674">
      <formula>$H112&lt;&gt;"-"</formula>
    </cfRule>
  </conditionalFormatting>
  <conditionalFormatting sqref="E112">
    <cfRule type="expression" dxfId="506" priority="673">
      <formula>$I112&lt;&gt;"-"</formula>
    </cfRule>
  </conditionalFormatting>
  <conditionalFormatting sqref="B113">
    <cfRule type="expression" dxfId="505" priority="670">
      <formula>AD113&lt;&gt;""</formula>
    </cfRule>
  </conditionalFormatting>
  <conditionalFormatting sqref="Z113">
    <cfRule type="cellIs" dxfId="504" priority="668" operator="greaterThan">
      <formula>0</formula>
    </cfRule>
    <cfRule type="cellIs" dxfId="503" priority="669" operator="lessThan">
      <formula>0</formula>
    </cfRule>
  </conditionalFormatting>
  <conditionalFormatting sqref="S113">
    <cfRule type="cellIs" dxfId="502" priority="667" operator="lessThan">
      <formula>0</formula>
    </cfRule>
  </conditionalFormatting>
  <conditionalFormatting sqref="P113">
    <cfRule type="cellIs" dxfId="501" priority="665" operator="equal">
      <formula>AS_DURATION_EFFORT</formula>
    </cfRule>
    <cfRule type="cellIs" dxfId="500" priority="666" operator="equal">
      <formula>AS_DEV_EFFORT</formula>
    </cfRule>
  </conditionalFormatting>
  <conditionalFormatting sqref="F113">
    <cfRule type="expression" dxfId="499" priority="664">
      <formula>$K113&lt;&gt;""</formula>
    </cfRule>
  </conditionalFormatting>
  <conditionalFormatting sqref="C113">
    <cfRule type="expression" dxfId="498" priority="663">
      <formula>$G113&lt;&gt;"-"</formula>
    </cfRule>
  </conditionalFormatting>
  <conditionalFormatting sqref="D113">
    <cfRule type="expression" dxfId="497" priority="662">
      <formula>$H113&lt;&gt;"-"</formula>
    </cfRule>
  </conditionalFormatting>
  <conditionalFormatting sqref="E113">
    <cfRule type="expression" dxfId="496" priority="661">
      <formula>$I113&lt;&gt;"-"</formula>
    </cfRule>
  </conditionalFormatting>
  <conditionalFormatting sqref="B117">
    <cfRule type="expression" dxfId="495" priority="657">
      <formula>AD117&lt;&gt;""</formula>
    </cfRule>
  </conditionalFormatting>
  <conditionalFormatting sqref="Z117">
    <cfRule type="cellIs" dxfId="494" priority="655" operator="greaterThan">
      <formula>0</formula>
    </cfRule>
    <cfRule type="cellIs" dxfId="493" priority="656" operator="lessThan">
      <formula>0</formula>
    </cfRule>
  </conditionalFormatting>
  <conditionalFormatting sqref="S117">
    <cfRule type="cellIs" dxfId="492" priority="654" operator="lessThan">
      <formula>0</formula>
    </cfRule>
  </conditionalFormatting>
  <conditionalFormatting sqref="T115:T116">
    <cfRule type="expression" dxfId="491" priority="658">
      <formula>#REF!="Yes"</formula>
    </cfRule>
  </conditionalFormatting>
  <conditionalFormatting sqref="P117">
    <cfRule type="cellIs" dxfId="490" priority="652" operator="equal">
      <formula>AS_DURATION_EFFORT</formula>
    </cfRule>
    <cfRule type="cellIs" dxfId="489" priority="653" operator="equal">
      <formula>AS_DEV_EFFORT</formula>
    </cfRule>
  </conditionalFormatting>
  <conditionalFormatting sqref="B115:B116">
    <cfRule type="expression" dxfId="488" priority="651">
      <formula>AD115&lt;&gt;""</formula>
    </cfRule>
  </conditionalFormatting>
  <conditionalFormatting sqref="F117">
    <cfRule type="expression" dxfId="487" priority="650">
      <formula>$K117&lt;&gt;""</formula>
    </cfRule>
  </conditionalFormatting>
  <conditionalFormatting sqref="C117">
    <cfRule type="expression" dxfId="486" priority="649">
      <formula>$G117&lt;&gt;"-"</formula>
    </cfRule>
  </conditionalFormatting>
  <conditionalFormatting sqref="D117">
    <cfRule type="expression" dxfId="485" priority="648">
      <formula>$H117&lt;&gt;"-"</formula>
    </cfRule>
  </conditionalFormatting>
  <conditionalFormatting sqref="E117">
    <cfRule type="expression" dxfId="484" priority="647">
      <formula>$I117&lt;&gt;"-"</formula>
    </cfRule>
  </conditionalFormatting>
  <conditionalFormatting sqref="B215">
    <cfRule type="expression" dxfId="483" priority="644">
      <formula>AD215&lt;&gt;""</formula>
    </cfRule>
  </conditionalFormatting>
  <conditionalFormatting sqref="Z215">
    <cfRule type="cellIs" dxfId="482" priority="642" operator="greaterThan">
      <formula>0</formula>
    </cfRule>
    <cfRule type="cellIs" dxfId="481" priority="643" operator="lessThan">
      <formula>0</formula>
    </cfRule>
  </conditionalFormatting>
  <conditionalFormatting sqref="S215">
    <cfRule type="cellIs" dxfId="480" priority="641" operator="lessThan">
      <formula>0</formula>
    </cfRule>
  </conditionalFormatting>
  <conditionalFormatting sqref="F215">
    <cfRule type="expression" dxfId="479" priority="638">
      <formula>$K215&lt;&gt;""</formula>
    </cfRule>
  </conditionalFormatting>
  <conditionalFormatting sqref="C215">
    <cfRule type="expression" dxfId="478" priority="637">
      <formula>$G215&lt;&gt;"-"</formula>
    </cfRule>
  </conditionalFormatting>
  <conditionalFormatting sqref="D215">
    <cfRule type="expression" dxfId="477" priority="636">
      <formula>$H215&lt;&gt;"-"</formula>
    </cfRule>
  </conditionalFormatting>
  <conditionalFormatting sqref="E215">
    <cfRule type="expression" dxfId="476" priority="635">
      <formula>$I215&lt;&gt;"-"</formula>
    </cfRule>
  </conditionalFormatting>
  <conditionalFormatting sqref="B217">
    <cfRule type="expression" dxfId="475" priority="632">
      <formula>AD217&lt;&gt;""</formula>
    </cfRule>
  </conditionalFormatting>
  <conditionalFormatting sqref="Z217">
    <cfRule type="cellIs" dxfId="474" priority="630" operator="greaterThan">
      <formula>0</formula>
    </cfRule>
    <cfRule type="cellIs" dxfId="473" priority="631" operator="lessThan">
      <formula>0</formula>
    </cfRule>
  </conditionalFormatting>
  <conditionalFormatting sqref="S217">
    <cfRule type="cellIs" dxfId="472" priority="629" operator="lessThan">
      <formula>0</formula>
    </cfRule>
  </conditionalFormatting>
  <conditionalFormatting sqref="P217">
    <cfRule type="cellIs" dxfId="471" priority="627" operator="equal">
      <formula>AS_DURATION_EFFORT</formula>
    </cfRule>
    <cfRule type="cellIs" dxfId="470" priority="628" operator="equal">
      <formula>AS_DEV_EFFORT</formula>
    </cfRule>
  </conditionalFormatting>
  <conditionalFormatting sqref="F217">
    <cfRule type="expression" dxfId="469" priority="626">
      <formula>$K217&lt;&gt;""</formula>
    </cfRule>
  </conditionalFormatting>
  <conditionalFormatting sqref="C217">
    <cfRule type="expression" dxfId="468" priority="625">
      <formula>$G217&lt;&gt;"-"</formula>
    </cfRule>
  </conditionalFormatting>
  <conditionalFormatting sqref="D217">
    <cfRule type="expression" dxfId="467" priority="624">
      <formula>$H217&lt;&gt;"-"</formula>
    </cfRule>
  </conditionalFormatting>
  <conditionalFormatting sqref="E217">
    <cfRule type="expression" dxfId="466" priority="623">
      <formula>$I217&lt;&gt;"-"</formula>
    </cfRule>
  </conditionalFormatting>
  <conditionalFormatting sqref="P215">
    <cfRule type="cellIs" dxfId="465" priority="619" operator="equal">
      <formula>AS_DURATION_EFFORT</formula>
    </cfRule>
    <cfRule type="cellIs" dxfId="464" priority="620" operator="equal">
      <formula>AS_DEV_EFFORT</formula>
    </cfRule>
  </conditionalFormatting>
  <conditionalFormatting sqref="B216">
    <cfRule type="expression" dxfId="463" priority="616">
      <formula>AD216&lt;&gt;""</formula>
    </cfRule>
  </conditionalFormatting>
  <conditionalFormatting sqref="Z216">
    <cfRule type="cellIs" dxfId="462" priority="614" operator="greaterThan">
      <formula>0</formula>
    </cfRule>
    <cfRule type="cellIs" dxfId="461" priority="615" operator="lessThan">
      <formula>0</formula>
    </cfRule>
  </conditionalFormatting>
  <conditionalFormatting sqref="S216">
    <cfRule type="cellIs" dxfId="460" priority="613" operator="lessThan">
      <formula>0</formula>
    </cfRule>
  </conditionalFormatting>
  <conditionalFormatting sqref="P216">
    <cfRule type="cellIs" dxfId="459" priority="611" operator="equal">
      <formula>AS_DURATION_EFFORT</formula>
    </cfRule>
    <cfRule type="cellIs" dxfId="458" priority="612" operator="equal">
      <formula>AS_DEV_EFFORT</formula>
    </cfRule>
  </conditionalFormatting>
  <conditionalFormatting sqref="F216">
    <cfRule type="expression" dxfId="457" priority="610">
      <formula>$K216&lt;&gt;""</formula>
    </cfRule>
  </conditionalFormatting>
  <conditionalFormatting sqref="C216">
    <cfRule type="expression" dxfId="456" priority="609">
      <formula>$G216&lt;&gt;"-"</formula>
    </cfRule>
  </conditionalFormatting>
  <conditionalFormatting sqref="D216">
    <cfRule type="expression" dxfId="455" priority="608">
      <formula>$H216&lt;&gt;"-"</formula>
    </cfRule>
  </conditionalFormatting>
  <conditionalFormatting sqref="E216">
    <cfRule type="expression" dxfId="454" priority="607">
      <formula>$I216&lt;&gt;"-"</formula>
    </cfRule>
  </conditionalFormatting>
  <conditionalFormatting sqref="B260">
    <cfRule type="expression" dxfId="453" priority="604">
      <formula>AD260&lt;&gt;""</formula>
    </cfRule>
  </conditionalFormatting>
  <conditionalFormatting sqref="Z260">
    <cfRule type="cellIs" dxfId="452" priority="602" operator="greaterThan">
      <formula>0</formula>
    </cfRule>
    <cfRule type="cellIs" dxfId="451" priority="603" operator="lessThan">
      <formula>0</formula>
    </cfRule>
  </conditionalFormatting>
  <conditionalFormatting sqref="S260">
    <cfRule type="cellIs" dxfId="450" priority="601" operator="lessThan">
      <formula>0</formula>
    </cfRule>
  </conditionalFormatting>
  <conditionalFormatting sqref="P260">
    <cfRule type="cellIs" dxfId="449" priority="599" operator="equal">
      <formula>AS_DURATION_EFFORT</formula>
    </cfRule>
    <cfRule type="cellIs" dxfId="448" priority="600" operator="equal">
      <formula>AS_DEV_EFFORT</formula>
    </cfRule>
  </conditionalFormatting>
  <conditionalFormatting sqref="F260">
    <cfRule type="expression" dxfId="447" priority="598">
      <formula>$K260&lt;&gt;""</formula>
    </cfRule>
  </conditionalFormatting>
  <conditionalFormatting sqref="C260">
    <cfRule type="expression" dxfId="446" priority="597">
      <formula>$G260&lt;&gt;"-"</formula>
    </cfRule>
  </conditionalFormatting>
  <conditionalFormatting sqref="D260">
    <cfRule type="expression" dxfId="445" priority="596">
      <formula>$H260&lt;&gt;"-"</formula>
    </cfRule>
  </conditionalFormatting>
  <conditionalFormatting sqref="E260">
    <cfRule type="expression" dxfId="444" priority="595">
      <formula>$I260&lt;&gt;"-"</formula>
    </cfRule>
  </conditionalFormatting>
  <conditionalFormatting sqref="B266">
    <cfRule type="expression" dxfId="443" priority="592">
      <formula>AD266&lt;&gt;""</formula>
    </cfRule>
  </conditionalFormatting>
  <conditionalFormatting sqref="Z266">
    <cfRule type="cellIs" dxfId="442" priority="590" operator="greaterThan">
      <formula>0</formula>
    </cfRule>
    <cfRule type="cellIs" dxfId="441" priority="591" operator="lessThan">
      <formula>0</formula>
    </cfRule>
  </conditionalFormatting>
  <conditionalFormatting sqref="S266">
    <cfRule type="cellIs" dxfId="440" priority="589" operator="lessThan">
      <formula>0</formula>
    </cfRule>
  </conditionalFormatting>
  <conditionalFormatting sqref="P266">
    <cfRule type="cellIs" dxfId="439" priority="587" operator="equal">
      <formula>AS_DURATION_EFFORT</formula>
    </cfRule>
    <cfRule type="cellIs" dxfId="438" priority="588" operator="equal">
      <formula>AS_DEV_EFFORT</formula>
    </cfRule>
  </conditionalFormatting>
  <conditionalFormatting sqref="F266">
    <cfRule type="expression" dxfId="437" priority="586">
      <formula>$K266&lt;&gt;""</formula>
    </cfRule>
  </conditionalFormatting>
  <conditionalFormatting sqref="C266">
    <cfRule type="expression" dxfId="436" priority="585">
      <formula>$G266&lt;&gt;"-"</formula>
    </cfRule>
  </conditionalFormatting>
  <conditionalFormatting sqref="D266">
    <cfRule type="expression" dxfId="435" priority="584">
      <formula>$H266&lt;&gt;"-"</formula>
    </cfRule>
  </conditionalFormatting>
  <conditionalFormatting sqref="E266">
    <cfRule type="expression" dxfId="434" priority="583">
      <formula>$I266&lt;&gt;"-"</formula>
    </cfRule>
  </conditionalFormatting>
  <conditionalFormatting sqref="B271">
    <cfRule type="expression" dxfId="433" priority="578">
      <formula>AD271&lt;&gt;""</formula>
    </cfRule>
  </conditionalFormatting>
  <conditionalFormatting sqref="Z271">
    <cfRule type="cellIs" dxfId="432" priority="576" operator="greaterThan">
      <formula>0</formula>
    </cfRule>
    <cfRule type="cellIs" dxfId="431" priority="577" operator="lessThan">
      <formula>0</formula>
    </cfRule>
  </conditionalFormatting>
  <conditionalFormatting sqref="S271">
    <cfRule type="cellIs" dxfId="430" priority="575" operator="lessThan">
      <formula>0</formula>
    </cfRule>
  </conditionalFormatting>
  <conditionalFormatting sqref="F271">
    <cfRule type="expression" dxfId="429" priority="572">
      <formula>$K271&lt;&gt;""</formula>
    </cfRule>
  </conditionalFormatting>
  <conditionalFormatting sqref="C271">
    <cfRule type="expression" dxfId="428" priority="571">
      <formula>$G271&lt;&gt;"-"</formula>
    </cfRule>
  </conditionalFormatting>
  <conditionalFormatting sqref="D271">
    <cfRule type="expression" dxfId="427" priority="570">
      <formula>$H271&lt;&gt;"-"</formula>
    </cfRule>
  </conditionalFormatting>
  <conditionalFormatting sqref="E271">
    <cfRule type="expression" dxfId="426" priority="569">
      <formula>$I271&lt;&gt;"-"</formula>
    </cfRule>
  </conditionalFormatting>
  <conditionalFormatting sqref="P271">
    <cfRule type="cellIs" dxfId="425" priority="563" operator="equal">
      <formula>AS_DURATION_EFFORT</formula>
    </cfRule>
    <cfRule type="cellIs" dxfId="424" priority="564" operator="equal">
      <formula>AS_DEV_EFFORT</formula>
    </cfRule>
  </conditionalFormatting>
  <conditionalFormatting sqref="B121">
    <cfRule type="expression" dxfId="423" priority="559">
      <formula>AD121&lt;&gt;""</formula>
    </cfRule>
  </conditionalFormatting>
  <conditionalFormatting sqref="Z121">
    <cfRule type="cellIs" dxfId="422" priority="557" operator="greaterThan">
      <formula>0</formula>
    </cfRule>
    <cfRule type="cellIs" dxfId="421" priority="558" operator="lessThan">
      <formula>0</formula>
    </cfRule>
  </conditionalFormatting>
  <conditionalFormatting sqref="S121">
    <cfRule type="cellIs" dxfId="420" priority="556" operator="lessThan">
      <formula>0</formula>
    </cfRule>
  </conditionalFormatting>
  <conditionalFormatting sqref="T119:T120">
    <cfRule type="expression" dxfId="419" priority="560">
      <formula>#REF!="Yes"</formula>
    </cfRule>
  </conditionalFormatting>
  <conditionalFormatting sqref="P121">
    <cfRule type="cellIs" dxfId="418" priority="554" operator="equal">
      <formula>AS_DURATION_EFFORT</formula>
    </cfRule>
    <cfRule type="cellIs" dxfId="417" priority="555" operator="equal">
      <formula>AS_DEV_EFFORT</formula>
    </cfRule>
  </conditionalFormatting>
  <conditionalFormatting sqref="B119:B120">
    <cfRule type="expression" dxfId="416" priority="553">
      <formula>AD119&lt;&gt;""</formula>
    </cfRule>
  </conditionalFormatting>
  <conditionalFormatting sqref="F121">
    <cfRule type="expression" dxfId="415" priority="552">
      <formula>$K121&lt;&gt;""</formula>
    </cfRule>
  </conditionalFormatting>
  <conditionalFormatting sqref="C121">
    <cfRule type="expression" dxfId="414" priority="551">
      <formula>$G121&lt;&gt;"-"</formula>
    </cfRule>
  </conditionalFormatting>
  <conditionalFormatting sqref="D121">
    <cfRule type="expression" dxfId="413" priority="550">
      <formula>$H121&lt;&gt;"-"</formula>
    </cfRule>
  </conditionalFormatting>
  <conditionalFormatting sqref="E121">
    <cfRule type="expression" dxfId="412" priority="549">
      <formula>$I121&lt;&gt;"-"</formula>
    </cfRule>
  </conditionalFormatting>
  <conditionalFormatting sqref="B122">
    <cfRule type="expression" dxfId="411" priority="546">
      <formula>AD122&lt;&gt;""</formula>
    </cfRule>
  </conditionalFormatting>
  <conditionalFormatting sqref="Z122">
    <cfRule type="cellIs" dxfId="410" priority="544" operator="greaterThan">
      <formula>0</formula>
    </cfRule>
    <cfRule type="cellIs" dxfId="409" priority="545" operator="lessThan">
      <formula>0</formula>
    </cfRule>
  </conditionalFormatting>
  <conditionalFormatting sqref="S122">
    <cfRule type="cellIs" dxfId="408" priority="543" operator="lessThan">
      <formula>0</formula>
    </cfRule>
  </conditionalFormatting>
  <conditionalFormatting sqref="P122">
    <cfRule type="cellIs" dxfId="407" priority="541" operator="equal">
      <formula>AS_DURATION_EFFORT</formula>
    </cfRule>
    <cfRule type="cellIs" dxfId="406" priority="542" operator="equal">
      <formula>AS_DEV_EFFORT</formula>
    </cfRule>
  </conditionalFormatting>
  <conditionalFormatting sqref="F122">
    <cfRule type="expression" dxfId="405" priority="540">
      <formula>$K122&lt;&gt;""</formula>
    </cfRule>
  </conditionalFormatting>
  <conditionalFormatting sqref="C122">
    <cfRule type="expression" dxfId="404" priority="539">
      <formula>$G122&lt;&gt;"-"</formula>
    </cfRule>
  </conditionalFormatting>
  <conditionalFormatting sqref="D122">
    <cfRule type="expression" dxfId="403" priority="538">
      <formula>$H122&lt;&gt;"-"</formula>
    </cfRule>
  </conditionalFormatting>
  <conditionalFormatting sqref="E122">
    <cfRule type="expression" dxfId="402" priority="537">
      <formula>$I122&lt;&gt;"-"</formula>
    </cfRule>
  </conditionalFormatting>
  <conditionalFormatting sqref="B126">
    <cfRule type="expression" dxfId="401" priority="533">
      <formula>AD126&lt;&gt;""</formula>
    </cfRule>
  </conditionalFormatting>
  <conditionalFormatting sqref="Z126">
    <cfRule type="cellIs" dxfId="400" priority="531" operator="greaterThan">
      <formula>0</formula>
    </cfRule>
    <cfRule type="cellIs" dxfId="399" priority="532" operator="lessThan">
      <formula>0</formula>
    </cfRule>
  </conditionalFormatting>
  <conditionalFormatting sqref="S126">
    <cfRule type="cellIs" dxfId="398" priority="530" operator="lessThan">
      <formula>0</formula>
    </cfRule>
  </conditionalFormatting>
  <conditionalFormatting sqref="T124:T125">
    <cfRule type="expression" dxfId="397" priority="534">
      <formula>#REF!="Yes"</formula>
    </cfRule>
  </conditionalFormatting>
  <conditionalFormatting sqref="P126">
    <cfRule type="cellIs" dxfId="396" priority="528" operator="equal">
      <formula>AS_DURATION_EFFORT</formula>
    </cfRule>
    <cfRule type="cellIs" dxfId="395" priority="529" operator="equal">
      <formula>AS_DEV_EFFORT</formula>
    </cfRule>
  </conditionalFormatting>
  <conditionalFormatting sqref="B124:B125">
    <cfRule type="expression" dxfId="394" priority="527">
      <formula>AD124&lt;&gt;""</formula>
    </cfRule>
  </conditionalFormatting>
  <conditionalFormatting sqref="F126">
    <cfRule type="expression" dxfId="393" priority="526">
      <formula>$K126&lt;&gt;""</formula>
    </cfRule>
  </conditionalFormatting>
  <conditionalFormatting sqref="C126">
    <cfRule type="expression" dxfId="392" priority="525">
      <formula>$G126&lt;&gt;"-"</formula>
    </cfRule>
  </conditionalFormatting>
  <conditionalFormatting sqref="D126">
    <cfRule type="expression" dxfId="391" priority="524">
      <formula>$H126&lt;&gt;"-"</formula>
    </cfRule>
  </conditionalFormatting>
  <conditionalFormatting sqref="E126">
    <cfRule type="expression" dxfId="390" priority="523">
      <formula>$I126&lt;&gt;"-"</formula>
    </cfRule>
  </conditionalFormatting>
  <conditionalFormatting sqref="B127">
    <cfRule type="expression" dxfId="389" priority="520">
      <formula>AD127&lt;&gt;""</formula>
    </cfRule>
  </conditionalFormatting>
  <conditionalFormatting sqref="Z127">
    <cfRule type="cellIs" dxfId="388" priority="518" operator="greaterThan">
      <formula>0</formula>
    </cfRule>
    <cfRule type="cellIs" dxfId="387" priority="519" operator="lessThan">
      <formula>0</formula>
    </cfRule>
  </conditionalFormatting>
  <conditionalFormatting sqref="S127">
    <cfRule type="cellIs" dxfId="386" priority="517" operator="lessThan">
      <formula>0</formula>
    </cfRule>
  </conditionalFormatting>
  <conditionalFormatting sqref="P127">
    <cfRule type="cellIs" dxfId="385" priority="515" operator="equal">
      <formula>AS_DURATION_EFFORT</formula>
    </cfRule>
    <cfRule type="cellIs" dxfId="384" priority="516" operator="equal">
      <formula>AS_DEV_EFFORT</formula>
    </cfRule>
  </conditionalFormatting>
  <conditionalFormatting sqref="F127">
    <cfRule type="expression" dxfId="383" priority="514">
      <formula>$K127&lt;&gt;""</formula>
    </cfRule>
  </conditionalFormatting>
  <conditionalFormatting sqref="C127">
    <cfRule type="expression" dxfId="382" priority="513">
      <formula>$G127&lt;&gt;"-"</formula>
    </cfRule>
  </conditionalFormatting>
  <conditionalFormatting sqref="D127">
    <cfRule type="expression" dxfId="381" priority="512">
      <formula>$H127&lt;&gt;"-"</formula>
    </cfRule>
  </conditionalFormatting>
  <conditionalFormatting sqref="E127">
    <cfRule type="expression" dxfId="380" priority="511">
      <formula>$I127&lt;&gt;"-"</formula>
    </cfRule>
  </conditionalFormatting>
  <conditionalFormatting sqref="B131">
    <cfRule type="expression" dxfId="379" priority="507">
      <formula>AD131&lt;&gt;""</formula>
    </cfRule>
  </conditionalFormatting>
  <conditionalFormatting sqref="Z131">
    <cfRule type="cellIs" dxfId="378" priority="505" operator="greaterThan">
      <formula>0</formula>
    </cfRule>
    <cfRule type="cellIs" dxfId="377" priority="506" operator="lessThan">
      <formula>0</formula>
    </cfRule>
  </conditionalFormatting>
  <conditionalFormatting sqref="S131">
    <cfRule type="cellIs" dxfId="376" priority="504" operator="lessThan">
      <formula>0</formula>
    </cfRule>
  </conditionalFormatting>
  <conditionalFormatting sqref="T129:T130">
    <cfRule type="expression" dxfId="375" priority="508">
      <formula>#REF!="Yes"</formula>
    </cfRule>
  </conditionalFormatting>
  <conditionalFormatting sqref="P131">
    <cfRule type="cellIs" dxfId="374" priority="502" operator="equal">
      <formula>AS_DURATION_EFFORT</formula>
    </cfRule>
    <cfRule type="cellIs" dxfId="373" priority="503" operator="equal">
      <formula>AS_DEV_EFFORT</formula>
    </cfRule>
  </conditionalFormatting>
  <conditionalFormatting sqref="B129:B130">
    <cfRule type="expression" dxfId="372" priority="501">
      <formula>AD129&lt;&gt;""</formula>
    </cfRule>
  </conditionalFormatting>
  <conditionalFormatting sqref="F131">
    <cfRule type="expression" dxfId="371" priority="500">
      <formula>$K131&lt;&gt;""</formula>
    </cfRule>
  </conditionalFormatting>
  <conditionalFormatting sqref="C131">
    <cfRule type="expression" dxfId="370" priority="499">
      <formula>$G131&lt;&gt;"-"</formula>
    </cfRule>
  </conditionalFormatting>
  <conditionalFormatting sqref="D131">
    <cfRule type="expression" dxfId="369" priority="498">
      <formula>$H131&lt;&gt;"-"</formula>
    </cfRule>
  </conditionalFormatting>
  <conditionalFormatting sqref="E131">
    <cfRule type="expression" dxfId="368" priority="497">
      <formula>$I131&lt;&gt;"-"</formula>
    </cfRule>
  </conditionalFormatting>
  <conditionalFormatting sqref="B135">
    <cfRule type="expression" dxfId="367" priority="493">
      <formula>AD135&lt;&gt;""</formula>
    </cfRule>
  </conditionalFormatting>
  <conditionalFormatting sqref="Z135">
    <cfRule type="cellIs" dxfId="366" priority="491" operator="greaterThan">
      <formula>0</formula>
    </cfRule>
    <cfRule type="cellIs" dxfId="365" priority="492" operator="lessThan">
      <formula>0</formula>
    </cfRule>
  </conditionalFormatting>
  <conditionalFormatting sqref="S135">
    <cfRule type="cellIs" dxfId="364" priority="490" operator="lessThan">
      <formula>0</formula>
    </cfRule>
  </conditionalFormatting>
  <conditionalFormatting sqref="T133:T134">
    <cfRule type="expression" dxfId="363" priority="494">
      <formula>#REF!="Yes"</formula>
    </cfRule>
  </conditionalFormatting>
  <conditionalFormatting sqref="P135">
    <cfRule type="cellIs" dxfId="362" priority="488" operator="equal">
      <formula>AS_DURATION_EFFORT</formula>
    </cfRule>
    <cfRule type="cellIs" dxfId="361" priority="489" operator="equal">
      <formula>AS_DEV_EFFORT</formula>
    </cfRule>
  </conditionalFormatting>
  <conditionalFormatting sqref="B133:B134">
    <cfRule type="expression" dxfId="360" priority="487">
      <formula>AD133&lt;&gt;""</formula>
    </cfRule>
  </conditionalFormatting>
  <conditionalFormatting sqref="F135">
    <cfRule type="expression" dxfId="359" priority="486">
      <formula>$K135&lt;&gt;""</formula>
    </cfRule>
  </conditionalFormatting>
  <conditionalFormatting sqref="C135">
    <cfRule type="expression" dxfId="358" priority="485">
      <formula>$G135&lt;&gt;"-"</formula>
    </cfRule>
  </conditionalFormatting>
  <conditionalFormatting sqref="D135">
    <cfRule type="expression" dxfId="357" priority="484">
      <formula>$H135&lt;&gt;"-"</formula>
    </cfRule>
  </conditionalFormatting>
  <conditionalFormatting sqref="E135">
    <cfRule type="expression" dxfId="356" priority="483">
      <formula>$I135&lt;&gt;"-"</formula>
    </cfRule>
  </conditionalFormatting>
  <conditionalFormatting sqref="B139">
    <cfRule type="expression" dxfId="355" priority="479">
      <formula>AD139&lt;&gt;""</formula>
    </cfRule>
  </conditionalFormatting>
  <conditionalFormatting sqref="Z139">
    <cfRule type="cellIs" dxfId="354" priority="477" operator="greaterThan">
      <formula>0</formula>
    </cfRule>
    <cfRule type="cellIs" dxfId="353" priority="478" operator="lessThan">
      <formula>0</formula>
    </cfRule>
  </conditionalFormatting>
  <conditionalFormatting sqref="S139">
    <cfRule type="cellIs" dxfId="352" priority="476" operator="lessThan">
      <formula>0</formula>
    </cfRule>
  </conditionalFormatting>
  <conditionalFormatting sqref="T137:T138">
    <cfRule type="expression" dxfId="351" priority="480">
      <formula>#REF!="Yes"</formula>
    </cfRule>
  </conditionalFormatting>
  <conditionalFormatting sqref="P139">
    <cfRule type="cellIs" dxfId="350" priority="474" operator="equal">
      <formula>AS_DURATION_EFFORT</formula>
    </cfRule>
    <cfRule type="cellIs" dxfId="349" priority="475" operator="equal">
      <formula>AS_DEV_EFFORT</formula>
    </cfRule>
  </conditionalFormatting>
  <conditionalFormatting sqref="B137:B138">
    <cfRule type="expression" dxfId="348" priority="473">
      <formula>AD137&lt;&gt;""</formula>
    </cfRule>
  </conditionalFormatting>
  <conditionalFormatting sqref="F139">
    <cfRule type="expression" dxfId="347" priority="472">
      <formula>$K139&lt;&gt;""</formula>
    </cfRule>
  </conditionalFormatting>
  <conditionalFormatting sqref="C139">
    <cfRule type="expression" dxfId="346" priority="471">
      <formula>$G139&lt;&gt;"-"</formula>
    </cfRule>
  </conditionalFormatting>
  <conditionalFormatting sqref="D139">
    <cfRule type="expression" dxfId="345" priority="470">
      <formula>$H139&lt;&gt;"-"</formula>
    </cfRule>
  </conditionalFormatting>
  <conditionalFormatting sqref="E139">
    <cfRule type="expression" dxfId="344" priority="469">
      <formula>$I139&lt;&gt;"-"</formula>
    </cfRule>
  </conditionalFormatting>
  <conditionalFormatting sqref="B140">
    <cfRule type="expression" dxfId="343" priority="466">
      <formula>AD140&lt;&gt;""</formula>
    </cfRule>
  </conditionalFormatting>
  <conditionalFormatting sqref="Z140">
    <cfRule type="cellIs" dxfId="342" priority="464" operator="greaterThan">
      <formula>0</formula>
    </cfRule>
    <cfRule type="cellIs" dxfId="341" priority="465" operator="lessThan">
      <formula>0</formula>
    </cfRule>
  </conditionalFormatting>
  <conditionalFormatting sqref="S140">
    <cfRule type="cellIs" dxfId="340" priority="463" operator="lessThan">
      <formula>0</formula>
    </cfRule>
  </conditionalFormatting>
  <conditionalFormatting sqref="P140">
    <cfRule type="cellIs" dxfId="339" priority="461" operator="equal">
      <formula>AS_DURATION_EFFORT</formula>
    </cfRule>
    <cfRule type="cellIs" dxfId="338" priority="462" operator="equal">
      <formula>AS_DEV_EFFORT</formula>
    </cfRule>
  </conditionalFormatting>
  <conditionalFormatting sqref="F140">
    <cfRule type="expression" dxfId="337" priority="460">
      <formula>$K140&lt;&gt;""</formula>
    </cfRule>
  </conditionalFormatting>
  <conditionalFormatting sqref="C140">
    <cfRule type="expression" dxfId="336" priority="459">
      <formula>$G140&lt;&gt;"-"</formula>
    </cfRule>
  </conditionalFormatting>
  <conditionalFormatting sqref="D140">
    <cfRule type="expression" dxfId="335" priority="458">
      <formula>$H140&lt;&gt;"-"</formula>
    </cfRule>
  </conditionalFormatting>
  <conditionalFormatting sqref="E140">
    <cfRule type="expression" dxfId="334" priority="457">
      <formula>$I140&lt;&gt;"-"</formula>
    </cfRule>
  </conditionalFormatting>
  <conditionalFormatting sqref="B144">
    <cfRule type="expression" dxfId="333" priority="453">
      <formula>AD144&lt;&gt;""</formula>
    </cfRule>
  </conditionalFormatting>
  <conditionalFormatting sqref="Z144">
    <cfRule type="cellIs" dxfId="332" priority="451" operator="greaterThan">
      <formula>0</formula>
    </cfRule>
    <cfRule type="cellIs" dxfId="331" priority="452" operator="lessThan">
      <formula>0</formula>
    </cfRule>
  </conditionalFormatting>
  <conditionalFormatting sqref="S144">
    <cfRule type="cellIs" dxfId="330" priority="450" operator="lessThan">
      <formula>0</formula>
    </cfRule>
  </conditionalFormatting>
  <conditionalFormatting sqref="T142:T143">
    <cfRule type="expression" dxfId="329" priority="454">
      <formula>#REF!="Yes"</formula>
    </cfRule>
  </conditionalFormatting>
  <conditionalFormatting sqref="P144">
    <cfRule type="cellIs" dxfId="328" priority="448" operator="equal">
      <formula>AS_DURATION_EFFORT</formula>
    </cfRule>
    <cfRule type="cellIs" dxfId="327" priority="449" operator="equal">
      <formula>AS_DEV_EFFORT</formula>
    </cfRule>
  </conditionalFormatting>
  <conditionalFormatting sqref="B142:B143">
    <cfRule type="expression" dxfId="326" priority="447">
      <formula>AD142&lt;&gt;""</formula>
    </cfRule>
  </conditionalFormatting>
  <conditionalFormatting sqref="F144">
    <cfRule type="expression" dxfId="325" priority="446">
      <formula>$K144&lt;&gt;""</formula>
    </cfRule>
  </conditionalFormatting>
  <conditionalFormatting sqref="C144">
    <cfRule type="expression" dxfId="324" priority="445">
      <formula>$G144&lt;&gt;"-"</formula>
    </cfRule>
  </conditionalFormatting>
  <conditionalFormatting sqref="D144">
    <cfRule type="expression" dxfId="323" priority="444">
      <formula>$H144&lt;&gt;"-"</formula>
    </cfRule>
  </conditionalFormatting>
  <conditionalFormatting sqref="E144">
    <cfRule type="expression" dxfId="322" priority="443">
      <formula>$I144&lt;&gt;"-"</formula>
    </cfRule>
  </conditionalFormatting>
  <conditionalFormatting sqref="B148">
    <cfRule type="expression" dxfId="321" priority="439">
      <formula>AD148&lt;&gt;""</formula>
    </cfRule>
  </conditionalFormatting>
  <conditionalFormatting sqref="Z148">
    <cfRule type="cellIs" dxfId="320" priority="437" operator="greaterThan">
      <formula>0</formula>
    </cfRule>
    <cfRule type="cellIs" dxfId="319" priority="438" operator="lessThan">
      <formula>0</formula>
    </cfRule>
  </conditionalFormatting>
  <conditionalFormatting sqref="S148">
    <cfRule type="cellIs" dxfId="318" priority="436" operator="lessThan">
      <formula>0</formula>
    </cfRule>
  </conditionalFormatting>
  <conditionalFormatting sqref="T146:T147">
    <cfRule type="expression" dxfId="317" priority="440">
      <formula>#REF!="Yes"</formula>
    </cfRule>
  </conditionalFormatting>
  <conditionalFormatting sqref="P148">
    <cfRule type="cellIs" dxfId="316" priority="434" operator="equal">
      <formula>AS_DURATION_EFFORT</formula>
    </cfRule>
    <cfRule type="cellIs" dxfId="315" priority="435" operator="equal">
      <formula>AS_DEV_EFFORT</formula>
    </cfRule>
  </conditionalFormatting>
  <conditionalFormatting sqref="B146:B147">
    <cfRule type="expression" dxfId="314" priority="433">
      <formula>AD146&lt;&gt;""</formula>
    </cfRule>
  </conditionalFormatting>
  <conditionalFormatting sqref="F148">
    <cfRule type="expression" dxfId="313" priority="432">
      <formula>$K148&lt;&gt;""</formula>
    </cfRule>
  </conditionalFormatting>
  <conditionalFormatting sqref="C148">
    <cfRule type="expression" dxfId="312" priority="431">
      <formula>$G148&lt;&gt;"-"</formula>
    </cfRule>
  </conditionalFormatting>
  <conditionalFormatting sqref="D148">
    <cfRule type="expression" dxfId="311" priority="430">
      <formula>$H148&lt;&gt;"-"</formula>
    </cfRule>
  </conditionalFormatting>
  <conditionalFormatting sqref="E148">
    <cfRule type="expression" dxfId="310" priority="429">
      <formula>$I148&lt;&gt;"-"</formula>
    </cfRule>
  </conditionalFormatting>
  <conditionalFormatting sqref="B152">
    <cfRule type="expression" dxfId="309" priority="425">
      <formula>AD152&lt;&gt;""</formula>
    </cfRule>
  </conditionalFormatting>
  <conditionalFormatting sqref="Z152">
    <cfRule type="cellIs" dxfId="308" priority="423" operator="greaterThan">
      <formula>0</formula>
    </cfRule>
    <cfRule type="cellIs" dxfId="307" priority="424" operator="lessThan">
      <formula>0</formula>
    </cfRule>
  </conditionalFormatting>
  <conditionalFormatting sqref="S152">
    <cfRule type="cellIs" dxfId="306" priority="422" operator="lessThan">
      <formula>0</formula>
    </cfRule>
  </conditionalFormatting>
  <conditionalFormatting sqref="T150:T151">
    <cfRule type="expression" dxfId="305" priority="426">
      <formula>#REF!="Yes"</formula>
    </cfRule>
  </conditionalFormatting>
  <conditionalFormatting sqref="P152">
    <cfRule type="cellIs" dxfId="304" priority="420" operator="equal">
      <formula>AS_DURATION_EFFORT</formula>
    </cfRule>
    <cfRule type="cellIs" dxfId="303" priority="421" operator="equal">
      <formula>AS_DEV_EFFORT</formula>
    </cfRule>
  </conditionalFormatting>
  <conditionalFormatting sqref="B150:B151">
    <cfRule type="expression" dxfId="302" priority="419">
      <formula>AD150&lt;&gt;""</formula>
    </cfRule>
  </conditionalFormatting>
  <conditionalFormatting sqref="F152">
    <cfRule type="expression" dxfId="301" priority="418">
      <formula>$K152&lt;&gt;""</formula>
    </cfRule>
  </conditionalFormatting>
  <conditionalFormatting sqref="C152">
    <cfRule type="expression" dxfId="300" priority="417">
      <formula>$G152&lt;&gt;"-"</formula>
    </cfRule>
  </conditionalFormatting>
  <conditionalFormatting sqref="D152">
    <cfRule type="expression" dxfId="299" priority="416">
      <formula>$H152&lt;&gt;"-"</formula>
    </cfRule>
  </conditionalFormatting>
  <conditionalFormatting sqref="E152">
    <cfRule type="expression" dxfId="298" priority="415">
      <formula>$I152&lt;&gt;"-"</formula>
    </cfRule>
  </conditionalFormatting>
  <conditionalFormatting sqref="B153">
    <cfRule type="expression" dxfId="297" priority="412">
      <formula>AD153&lt;&gt;""</formula>
    </cfRule>
  </conditionalFormatting>
  <conditionalFormatting sqref="Z153">
    <cfRule type="cellIs" dxfId="296" priority="410" operator="greaterThan">
      <formula>0</formula>
    </cfRule>
    <cfRule type="cellIs" dxfId="295" priority="411" operator="lessThan">
      <formula>0</formula>
    </cfRule>
  </conditionalFormatting>
  <conditionalFormatting sqref="S153">
    <cfRule type="cellIs" dxfId="294" priority="409" operator="lessThan">
      <formula>0</formula>
    </cfRule>
  </conditionalFormatting>
  <conditionalFormatting sqref="P153">
    <cfRule type="cellIs" dxfId="293" priority="407" operator="equal">
      <formula>AS_DURATION_EFFORT</formula>
    </cfRule>
    <cfRule type="cellIs" dxfId="292" priority="408" operator="equal">
      <formula>AS_DEV_EFFORT</formula>
    </cfRule>
  </conditionalFormatting>
  <conditionalFormatting sqref="F153">
    <cfRule type="expression" dxfId="291" priority="406">
      <formula>$K153&lt;&gt;""</formula>
    </cfRule>
  </conditionalFormatting>
  <conditionalFormatting sqref="C153">
    <cfRule type="expression" dxfId="290" priority="405">
      <formula>$G153&lt;&gt;"-"</formula>
    </cfRule>
  </conditionalFormatting>
  <conditionalFormatting sqref="D153">
    <cfRule type="expression" dxfId="289" priority="404">
      <formula>$H153&lt;&gt;"-"</formula>
    </cfRule>
  </conditionalFormatting>
  <conditionalFormatting sqref="E153">
    <cfRule type="expression" dxfId="288" priority="403">
      <formula>$I153&lt;&gt;"-"</formula>
    </cfRule>
  </conditionalFormatting>
  <conditionalFormatting sqref="B154">
    <cfRule type="expression" dxfId="287" priority="400">
      <formula>AD154&lt;&gt;""</formula>
    </cfRule>
  </conditionalFormatting>
  <conditionalFormatting sqref="Z154">
    <cfRule type="cellIs" dxfId="286" priority="398" operator="greaterThan">
      <formula>0</formula>
    </cfRule>
    <cfRule type="cellIs" dxfId="285" priority="399" operator="lessThan">
      <formula>0</formula>
    </cfRule>
  </conditionalFormatting>
  <conditionalFormatting sqref="S154">
    <cfRule type="cellIs" dxfId="284" priority="397" operator="lessThan">
      <formula>0</formula>
    </cfRule>
  </conditionalFormatting>
  <conditionalFormatting sqref="P154">
    <cfRule type="cellIs" dxfId="283" priority="395" operator="equal">
      <formula>AS_DURATION_EFFORT</formula>
    </cfRule>
    <cfRule type="cellIs" dxfId="282" priority="396" operator="equal">
      <formula>AS_DEV_EFFORT</formula>
    </cfRule>
  </conditionalFormatting>
  <conditionalFormatting sqref="F154">
    <cfRule type="expression" dxfId="281" priority="394">
      <formula>$K154&lt;&gt;""</formula>
    </cfRule>
  </conditionalFormatting>
  <conditionalFormatting sqref="C154">
    <cfRule type="expression" dxfId="280" priority="393">
      <formula>$G154&lt;&gt;"-"</formula>
    </cfRule>
  </conditionalFormatting>
  <conditionalFormatting sqref="D154">
    <cfRule type="expression" dxfId="279" priority="392">
      <formula>$H154&lt;&gt;"-"</formula>
    </cfRule>
  </conditionalFormatting>
  <conditionalFormatting sqref="E154">
    <cfRule type="expression" dxfId="278" priority="391">
      <formula>$I154&lt;&gt;"-"</formula>
    </cfRule>
  </conditionalFormatting>
  <conditionalFormatting sqref="B158">
    <cfRule type="expression" dxfId="277" priority="387">
      <formula>AD158&lt;&gt;""</formula>
    </cfRule>
  </conditionalFormatting>
  <conditionalFormatting sqref="Z158">
    <cfRule type="cellIs" dxfId="276" priority="385" operator="greaterThan">
      <formula>0</formula>
    </cfRule>
    <cfRule type="cellIs" dxfId="275" priority="386" operator="lessThan">
      <formula>0</formula>
    </cfRule>
  </conditionalFormatting>
  <conditionalFormatting sqref="S158">
    <cfRule type="cellIs" dxfId="274" priority="384" operator="lessThan">
      <formula>0</formula>
    </cfRule>
  </conditionalFormatting>
  <conditionalFormatting sqref="T156:T157">
    <cfRule type="expression" dxfId="273" priority="388">
      <formula>#REF!="Yes"</formula>
    </cfRule>
  </conditionalFormatting>
  <conditionalFormatting sqref="P158">
    <cfRule type="cellIs" dxfId="272" priority="382" operator="equal">
      <formula>AS_DURATION_EFFORT</formula>
    </cfRule>
    <cfRule type="cellIs" dxfId="271" priority="383" operator="equal">
      <formula>AS_DEV_EFFORT</formula>
    </cfRule>
  </conditionalFormatting>
  <conditionalFormatting sqref="B156:B157">
    <cfRule type="expression" dxfId="270" priority="381">
      <formula>AD156&lt;&gt;""</formula>
    </cfRule>
  </conditionalFormatting>
  <conditionalFormatting sqref="F158">
    <cfRule type="expression" dxfId="269" priority="380">
      <formula>$K158&lt;&gt;""</formula>
    </cfRule>
  </conditionalFormatting>
  <conditionalFormatting sqref="C158">
    <cfRule type="expression" dxfId="268" priority="379">
      <formula>$G158&lt;&gt;"-"</formula>
    </cfRule>
  </conditionalFormatting>
  <conditionalFormatting sqref="D158">
    <cfRule type="expression" dxfId="267" priority="378">
      <formula>$H158&lt;&gt;"-"</formula>
    </cfRule>
  </conditionalFormatting>
  <conditionalFormatting sqref="E158">
    <cfRule type="expression" dxfId="266" priority="377">
      <formula>$I158&lt;&gt;"-"</formula>
    </cfRule>
  </conditionalFormatting>
  <conditionalFormatting sqref="B159">
    <cfRule type="expression" dxfId="265" priority="374">
      <formula>AD159&lt;&gt;""</formula>
    </cfRule>
  </conditionalFormatting>
  <conditionalFormatting sqref="Z159">
    <cfRule type="cellIs" dxfId="264" priority="372" operator="greaterThan">
      <formula>0</formula>
    </cfRule>
    <cfRule type="cellIs" dxfId="263" priority="373" operator="lessThan">
      <formula>0</formula>
    </cfRule>
  </conditionalFormatting>
  <conditionalFormatting sqref="S159">
    <cfRule type="cellIs" dxfId="262" priority="371" operator="lessThan">
      <formula>0</formula>
    </cfRule>
  </conditionalFormatting>
  <conditionalFormatting sqref="P159">
    <cfRule type="cellIs" dxfId="261" priority="369" operator="equal">
      <formula>AS_DURATION_EFFORT</formula>
    </cfRule>
    <cfRule type="cellIs" dxfId="260" priority="370" operator="equal">
      <formula>AS_DEV_EFFORT</formula>
    </cfRule>
  </conditionalFormatting>
  <conditionalFormatting sqref="F159">
    <cfRule type="expression" dxfId="259" priority="368">
      <formula>$K159&lt;&gt;""</formula>
    </cfRule>
  </conditionalFormatting>
  <conditionalFormatting sqref="C159">
    <cfRule type="expression" dxfId="258" priority="367">
      <formula>$G159&lt;&gt;"-"</formula>
    </cfRule>
  </conditionalFormatting>
  <conditionalFormatting sqref="D159">
    <cfRule type="expression" dxfId="257" priority="366">
      <formula>$H159&lt;&gt;"-"</formula>
    </cfRule>
  </conditionalFormatting>
  <conditionalFormatting sqref="E159">
    <cfRule type="expression" dxfId="256" priority="365">
      <formula>$I159&lt;&gt;"-"</formula>
    </cfRule>
  </conditionalFormatting>
  <conditionalFormatting sqref="B163">
    <cfRule type="expression" dxfId="255" priority="361">
      <formula>AD163&lt;&gt;""</formula>
    </cfRule>
  </conditionalFormatting>
  <conditionalFormatting sqref="Z163">
    <cfRule type="cellIs" dxfId="254" priority="359" operator="greaterThan">
      <formula>0</formula>
    </cfRule>
    <cfRule type="cellIs" dxfId="253" priority="360" operator="lessThan">
      <formula>0</formula>
    </cfRule>
  </conditionalFormatting>
  <conditionalFormatting sqref="S163">
    <cfRule type="cellIs" dxfId="252" priority="358" operator="lessThan">
      <formula>0</formula>
    </cfRule>
  </conditionalFormatting>
  <conditionalFormatting sqref="T161:T162">
    <cfRule type="expression" dxfId="251" priority="362">
      <formula>#REF!="Yes"</formula>
    </cfRule>
  </conditionalFormatting>
  <conditionalFormatting sqref="P163">
    <cfRule type="cellIs" dxfId="250" priority="356" operator="equal">
      <formula>AS_DURATION_EFFORT</formula>
    </cfRule>
    <cfRule type="cellIs" dxfId="249" priority="357" operator="equal">
      <formula>AS_DEV_EFFORT</formula>
    </cfRule>
  </conditionalFormatting>
  <conditionalFormatting sqref="B161:B162">
    <cfRule type="expression" dxfId="248" priority="355">
      <formula>AD161&lt;&gt;""</formula>
    </cfRule>
  </conditionalFormatting>
  <conditionalFormatting sqref="F163">
    <cfRule type="expression" dxfId="247" priority="354">
      <formula>$K163&lt;&gt;""</formula>
    </cfRule>
  </conditionalFormatting>
  <conditionalFormatting sqref="C163">
    <cfRule type="expression" dxfId="246" priority="353">
      <formula>$G163&lt;&gt;"-"</formula>
    </cfRule>
  </conditionalFormatting>
  <conditionalFormatting sqref="D163">
    <cfRule type="expression" dxfId="245" priority="352">
      <formula>$H163&lt;&gt;"-"</formula>
    </cfRule>
  </conditionalFormatting>
  <conditionalFormatting sqref="E163">
    <cfRule type="expression" dxfId="244" priority="351">
      <formula>$I163&lt;&gt;"-"</formula>
    </cfRule>
  </conditionalFormatting>
  <conditionalFormatting sqref="B167">
    <cfRule type="expression" dxfId="243" priority="347">
      <formula>AD167&lt;&gt;""</formula>
    </cfRule>
  </conditionalFormatting>
  <conditionalFormatting sqref="Z167">
    <cfRule type="cellIs" dxfId="242" priority="345" operator="greaterThan">
      <formula>0</formula>
    </cfRule>
    <cfRule type="cellIs" dxfId="241" priority="346" operator="lessThan">
      <formula>0</formula>
    </cfRule>
  </conditionalFormatting>
  <conditionalFormatting sqref="S167">
    <cfRule type="cellIs" dxfId="240" priority="344" operator="lessThan">
      <formula>0</formula>
    </cfRule>
  </conditionalFormatting>
  <conditionalFormatting sqref="T165:T166">
    <cfRule type="expression" dxfId="239" priority="348">
      <formula>#REF!="Yes"</formula>
    </cfRule>
  </conditionalFormatting>
  <conditionalFormatting sqref="P167">
    <cfRule type="cellIs" dxfId="238" priority="342" operator="equal">
      <formula>AS_DURATION_EFFORT</formula>
    </cfRule>
    <cfRule type="cellIs" dxfId="237" priority="343" operator="equal">
      <formula>AS_DEV_EFFORT</formula>
    </cfRule>
  </conditionalFormatting>
  <conditionalFormatting sqref="B165:B166">
    <cfRule type="expression" dxfId="236" priority="341">
      <formula>AD165&lt;&gt;""</formula>
    </cfRule>
  </conditionalFormatting>
  <conditionalFormatting sqref="F167">
    <cfRule type="expression" dxfId="235" priority="340">
      <formula>$K167&lt;&gt;""</formula>
    </cfRule>
  </conditionalFormatting>
  <conditionalFormatting sqref="C167">
    <cfRule type="expression" dxfId="234" priority="339">
      <formula>$G167&lt;&gt;"-"</formula>
    </cfRule>
  </conditionalFormatting>
  <conditionalFormatting sqref="D167">
    <cfRule type="expression" dxfId="233" priority="338">
      <formula>$H167&lt;&gt;"-"</formula>
    </cfRule>
  </conditionalFormatting>
  <conditionalFormatting sqref="E167">
    <cfRule type="expression" dxfId="232" priority="337">
      <formula>$I167&lt;&gt;"-"</formula>
    </cfRule>
  </conditionalFormatting>
  <conditionalFormatting sqref="B171">
    <cfRule type="expression" dxfId="231" priority="333">
      <formula>AD171&lt;&gt;""</formula>
    </cfRule>
  </conditionalFormatting>
  <conditionalFormatting sqref="Z171">
    <cfRule type="cellIs" dxfId="230" priority="331" operator="greaterThan">
      <formula>0</formula>
    </cfRule>
    <cfRule type="cellIs" dxfId="229" priority="332" operator="lessThan">
      <formula>0</formula>
    </cfRule>
  </conditionalFormatting>
  <conditionalFormatting sqref="S171">
    <cfRule type="cellIs" dxfId="228" priority="330" operator="lessThan">
      <formula>0</formula>
    </cfRule>
  </conditionalFormatting>
  <conditionalFormatting sqref="T169:T170">
    <cfRule type="expression" dxfId="227" priority="334">
      <formula>#REF!="Yes"</formula>
    </cfRule>
  </conditionalFormatting>
  <conditionalFormatting sqref="P171">
    <cfRule type="cellIs" dxfId="226" priority="328" operator="equal">
      <formula>AS_DURATION_EFFORT</formula>
    </cfRule>
    <cfRule type="cellIs" dxfId="225" priority="329" operator="equal">
      <formula>AS_DEV_EFFORT</formula>
    </cfRule>
  </conditionalFormatting>
  <conditionalFormatting sqref="B169:B170">
    <cfRule type="expression" dxfId="224" priority="327">
      <formula>AD169&lt;&gt;""</formula>
    </cfRule>
  </conditionalFormatting>
  <conditionalFormatting sqref="F171">
    <cfRule type="expression" dxfId="223" priority="326">
      <formula>$K171&lt;&gt;""</formula>
    </cfRule>
  </conditionalFormatting>
  <conditionalFormatting sqref="C171">
    <cfRule type="expression" dxfId="222" priority="325">
      <formula>$G171&lt;&gt;"-"</formula>
    </cfRule>
  </conditionalFormatting>
  <conditionalFormatting sqref="D171">
    <cfRule type="expression" dxfId="221" priority="324">
      <formula>$H171&lt;&gt;"-"</formula>
    </cfRule>
  </conditionalFormatting>
  <conditionalFormatting sqref="E171">
    <cfRule type="expression" dxfId="220" priority="323">
      <formula>$I171&lt;&gt;"-"</formula>
    </cfRule>
  </conditionalFormatting>
  <conditionalFormatting sqref="B173">
    <cfRule type="expression" dxfId="219" priority="320">
      <formula>AD173&lt;&gt;""</formula>
    </cfRule>
  </conditionalFormatting>
  <conditionalFormatting sqref="Z173">
    <cfRule type="cellIs" dxfId="218" priority="318" operator="greaterThan">
      <formula>0</formula>
    </cfRule>
    <cfRule type="cellIs" dxfId="217" priority="319" operator="lessThan">
      <formula>0</formula>
    </cfRule>
  </conditionalFormatting>
  <conditionalFormatting sqref="S173">
    <cfRule type="cellIs" dxfId="216" priority="317" operator="lessThan">
      <formula>0</formula>
    </cfRule>
  </conditionalFormatting>
  <conditionalFormatting sqref="P173">
    <cfRule type="cellIs" dxfId="215" priority="315" operator="equal">
      <formula>AS_DURATION_EFFORT</formula>
    </cfRule>
    <cfRule type="cellIs" dxfId="214" priority="316" operator="equal">
      <formula>AS_DEV_EFFORT</formula>
    </cfRule>
  </conditionalFormatting>
  <conditionalFormatting sqref="F173">
    <cfRule type="expression" dxfId="213" priority="314">
      <formula>$K173&lt;&gt;""</formula>
    </cfRule>
  </conditionalFormatting>
  <conditionalFormatting sqref="C173">
    <cfRule type="expression" dxfId="212" priority="313">
      <formula>$G173&lt;&gt;"-"</formula>
    </cfRule>
  </conditionalFormatting>
  <conditionalFormatting sqref="D173">
    <cfRule type="expression" dxfId="211" priority="312">
      <formula>$H173&lt;&gt;"-"</formula>
    </cfRule>
  </conditionalFormatting>
  <conditionalFormatting sqref="E173">
    <cfRule type="expression" dxfId="210" priority="311">
      <formula>$I173&lt;&gt;"-"</formula>
    </cfRule>
  </conditionalFormatting>
  <conditionalFormatting sqref="B172">
    <cfRule type="expression" dxfId="209" priority="296">
      <formula>AD172&lt;&gt;""</formula>
    </cfRule>
  </conditionalFormatting>
  <conditionalFormatting sqref="Z172">
    <cfRule type="cellIs" dxfId="208" priority="294" operator="greaterThan">
      <formula>0</formula>
    </cfRule>
    <cfRule type="cellIs" dxfId="207" priority="295" operator="lessThan">
      <formula>0</formula>
    </cfRule>
  </conditionalFormatting>
  <conditionalFormatting sqref="S172">
    <cfRule type="cellIs" dxfId="206" priority="293" operator="lessThan">
      <formula>0</formula>
    </cfRule>
  </conditionalFormatting>
  <conditionalFormatting sqref="P172">
    <cfRule type="cellIs" dxfId="205" priority="291" operator="equal">
      <formula>AS_DURATION_EFFORT</formula>
    </cfRule>
    <cfRule type="cellIs" dxfId="204" priority="292" operator="equal">
      <formula>AS_DEV_EFFORT</formula>
    </cfRule>
  </conditionalFormatting>
  <conditionalFormatting sqref="F172">
    <cfRule type="expression" dxfId="203" priority="290">
      <formula>$K172&lt;&gt;""</formula>
    </cfRule>
  </conditionalFormatting>
  <conditionalFormatting sqref="C172">
    <cfRule type="expression" dxfId="202" priority="289">
      <formula>$G172&lt;&gt;"-"</formula>
    </cfRule>
  </conditionalFormatting>
  <conditionalFormatting sqref="D172">
    <cfRule type="expression" dxfId="201" priority="288">
      <formula>$H172&lt;&gt;"-"</formula>
    </cfRule>
  </conditionalFormatting>
  <conditionalFormatting sqref="E172">
    <cfRule type="expression" dxfId="200" priority="287">
      <formula>$I172&lt;&gt;"-"</formula>
    </cfRule>
  </conditionalFormatting>
  <conditionalFormatting sqref="B177">
    <cfRule type="expression" dxfId="199" priority="283">
      <formula>AD177&lt;&gt;""</formula>
    </cfRule>
  </conditionalFormatting>
  <conditionalFormatting sqref="Z177">
    <cfRule type="cellIs" dxfId="198" priority="281" operator="greaterThan">
      <formula>0</formula>
    </cfRule>
    <cfRule type="cellIs" dxfId="197" priority="282" operator="lessThan">
      <formula>0</formula>
    </cfRule>
  </conditionalFormatting>
  <conditionalFormatting sqref="S177">
    <cfRule type="cellIs" dxfId="196" priority="280" operator="lessThan">
      <formula>0</formula>
    </cfRule>
  </conditionalFormatting>
  <conditionalFormatting sqref="T175:T176">
    <cfRule type="expression" dxfId="195" priority="284">
      <formula>#REF!="Yes"</formula>
    </cfRule>
  </conditionalFormatting>
  <conditionalFormatting sqref="P177">
    <cfRule type="cellIs" dxfId="194" priority="278" operator="equal">
      <formula>AS_DURATION_EFFORT</formula>
    </cfRule>
    <cfRule type="cellIs" dxfId="193" priority="279" operator="equal">
      <formula>AS_DEV_EFFORT</formula>
    </cfRule>
  </conditionalFormatting>
  <conditionalFormatting sqref="B175:B176">
    <cfRule type="expression" dxfId="192" priority="277">
      <formula>AD175&lt;&gt;""</formula>
    </cfRule>
  </conditionalFormatting>
  <conditionalFormatting sqref="F177">
    <cfRule type="expression" dxfId="191" priority="276">
      <formula>$K177&lt;&gt;""</formula>
    </cfRule>
  </conditionalFormatting>
  <conditionalFormatting sqref="C177">
    <cfRule type="expression" dxfId="190" priority="275">
      <formula>$G177&lt;&gt;"-"</formula>
    </cfRule>
  </conditionalFormatting>
  <conditionalFormatting sqref="D177">
    <cfRule type="expression" dxfId="189" priority="274">
      <formula>$H177&lt;&gt;"-"</formula>
    </cfRule>
  </conditionalFormatting>
  <conditionalFormatting sqref="E177">
    <cfRule type="expression" dxfId="188" priority="273">
      <formula>$I177&lt;&gt;"-"</formula>
    </cfRule>
  </conditionalFormatting>
  <conditionalFormatting sqref="B181">
    <cfRule type="expression" dxfId="187" priority="269">
      <formula>AD181&lt;&gt;""</formula>
    </cfRule>
  </conditionalFormatting>
  <conditionalFormatting sqref="Z181">
    <cfRule type="cellIs" dxfId="186" priority="267" operator="greaterThan">
      <formula>0</formula>
    </cfRule>
    <cfRule type="cellIs" dxfId="185" priority="268" operator="lessThan">
      <formula>0</formula>
    </cfRule>
  </conditionalFormatting>
  <conditionalFormatting sqref="S181">
    <cfRule type="cellIs" dxfId="184" priority="266" operator="lessThan">
      <formula>0</formula>
    </cfRule>
  </conditionalFormatting>
  <conditionalFormatting sqref="T179:T180">
    <cfRule type="expression" dxfId="183" priority="270">
      <formula>#REF!="Yes"</formula>
    </cfRule>
  </conditionalFormatting>
  <conditionalFormatting sqref="P181">
    <cfRule type="cellIs" dxfId="182" priority="264" operator="equal">
      <formula>AS_DURATION_EFFORT</formula>
    </cfRule>
    <cfRule type="cellIs" dxfId="181" priority="265" operator="equal">
      <formula>AS_DEV_EFFORT</formula>
    </cfRule>
  </conditionalFormatting>
  <conditionalFormatting sqref="B179:B180">
    <cfRule type="expression" dxfId="180" priority="263">
      <formula>AD179&lt;&gt;""</formula>
    </cfRule>
  </conditionalFormatting>
  <conditionalFormatting sqref="F181">
    <cfRule type="expression" dxfId="179" priority="262">
      <formula>$K181&lt;&gt;""</formula>
    </cfRule>
  </conditionalFormatting>
  <conditionalFormatting sqref="C181">
    <cfRule type="expression" dxfId="178" priority="261">
      <formula>$G181&lt;&gt;"-"</formula>
    </cfRule>
  </conditionalFormatting>
  <conditionalFormatting sqref="D181">
    <cfRule type="expression" dxfId="177" priority="260">
      <formula>$H181&lt;&gt;"-"</formula>
    </cfRule>
  </conditionalFormatting>
  <conditionalFormatting sqref="E181">
    <cfRule type="expression" dxfId="176" priority="259">
      <formula>$I181&lt;&gt;"-"</formula>
    </cfRule>
  </conditionalFormatting>
  <conditionalFormatting sqref="B185">
    <cfRule type="expression" dxfId="175" priority="253">
      <formula>AD185&lt;&gt;""</formula>
    </cfRule>
  </conditionalFormatting>
  <conditionalFormatting sqref="Z185">
    <cfRule type="cellIs" dxfId="174" priority="251" operator="greaterThan">
      <formula>0</formula>
    </cfRule>
    <cfRule type="cellIs" dxfId="173" priority="252" operator="lessThan">
      <formula>0</formula>
    </cfRule>
  </conditionalFormatting>
  <conditionalFormatting sqref="S185">
    <cfRule type="cellIs" dxfId="172" priority="250" operator="lessThan">
      <formula>0</formula>
    </cfRule>
  </conditionalFormatting>
  <conditionalFormatting sqref="T183:T184">
    <cfRule type="expression" dxfId="171" priority="254">
      <formula>#REF!="Yes"</formula>
    </cfRule>
  </conditionalFormatting>
  <conditionalFormatting sqref="P185">
    <cfRule type="cellIs" dxfId="170" priority="248" operator="equal">
      <formula>AS_DURATION_EFFORT</formula>
    </cfRule>
    <cfRule type="cellIs" dxfId="169" priority="249" operator="equal">
      <formula>AS_DEV_EFFORT</formula>
    </cfRule>
  </conditionalFormatting>
  <conditionalFormatting sqref="B183:B184">
    <cfRule type="expression" dxfId="168" priority="247">
      <formula>AD183&lt;&gt;""</formula>
    </cfRule>
  </conditionalFormatting>
  <conditionalFormatting sqref="F185">
    <cfRule type="expression" dxfId="167" priority="246">
      <formula>$K185&lt;&gt;""</formula>
    </cfRule>
  </conditionalFormatting>
  <conditionalFormatting sqref="C185">
    <cfRule type="expression" dxfId="166" priority="245">
      <formula>$G185&lt;&gt;"-"</formula>
    </cfRule>
  </conditionalFormatting>
  <conditionalFormatting sqref="D185">
    <cfRule type="expression" dxfId="165" priority="244">
      <formula>$H185&lt;&gt;"-"</formula>
    </cfRule>
  </conditionalFormatting>
  <conditionalFormatting sqref="E185">
    <cfRule type="expression" dxfId="164" priority="243">
      <formula>$I185&lt;&gt;"-"</formula>
    </cfRule>
  </conditionalFormatting>
  <conditionalFormatting sqref="B189">
    <cfRule type="expression" dxfId="163" priority="239">
      <formula>AD189&lt;&gt;""</formula>
    </cfRule>
  </conditionalFormatting>
  <conditionalFormatting sqref="Z189">
    <cfRule type="cellIs" dxfId="162" priority="237" operator="greaterThan">
      <formula>0</formula>
    </cfRule>
    <cfRule type="cellIs" dxfId="161" priority="238" operator="lessThan">
      <formula>0</formula>
    </cfRule>
  </conditionalFormatting>
  <conditionalFormatting sqref="S189">
    <cfRule type="cellIs" dxfId="160" priority="236" operator="lessThan">
      <formula>0</formula>
    </cfRule>
  </conditionalFormatting>
  <conditionalFormatting sqref="T187:T188">
    <cfRule type="expression" dxfId="159" priority="240">
      <formula>#REF!="Yes"</formula>
    </cfRule>
  </conditionalFormatting>
  <conditionalFormatting sqref="P189">
    <cfRule type="cellIs" dxfId="158" priority="234" operator="equal">
      <formula>AS_DURATION_EFFORT</formula>
    </cfRule>
    <cfRule type="cellIs" dxfId="157" priority="235" operator="equal">
      <formula>AS_DEV_EFFORT</formula>
    </cfRule>
  </conditionalFormatting>
  <conditionalFormatting sqref="B187:B188">
    <cfRule type="expression" dxfId="156" priority="233">
      <formula>AD187&lt;&gt;""</formula>
    </cfRule>
  </conditionalFormatting>
  <conditionalFormatting sqref="F189">
    <cfRule type="expression" dxfId="155" priority="232">
      <formula>$K189&lt;&gt;""</formula>
    </cfRule>
  </conditionalFormatting>
  <conditionalFormatting sqref="C189">
    <cfRule type="expression" dxfId="154" priority="231">
      <formula>$G189&lt;&gt;"-"</formula>
    </cfRule>
  </conditionalFormatting>
  <conditionalFormatting sqref="D189">
    <cfRule type="expression" dxfId="153" priority="230">
      <formula>$H189&lt;&gt;"-"</formula>
    </cfRule>
  </conditionalFormatting>
  <conditionalFormatting sqref="E189">
    <cfRule type="expression" dxfId="152" priority="229">
      <formula>$I189&lt;&gt;"-"</formula>
    </cfRule>
  </conditionalFormatting>
  <conditionalFormatting sqref="B194">
    <cfRule type="expression" dxfId="151" priority="225">
      <formula>AD194&lt;&gt;""</formula>
    </cfRule>
  </conditionalFormatting>
  <conditionalFormatting sqref="Z194">
    <cfRule type="cellIs" dxfId="150" priority="223" operator="greaterThan">
      <formula>0</formula>
    </cfRule>
    <cfRule type="cellIs" dxfId="149" priority="224" operator="lessThan">
      <formula>0</formula>
    </cfRule>
  </conditionalFormatting>
  <conditionalFormatting sqref="S194">
    <cfRule type="cellIs" dxfId="148" priority="222" operator="lessThan">
      <formula>0</formula>
    </cfRule>
  </conditionalFormatting>
  <conditionalFormatting sqref="T192:T193">
    <cfRule type="expression" dxfId="147" priority="226">
      <formula>#REF!="Yes"</formula>
    </cfRule>
  </conditionalFormatting>
  <conditionalFormatting sqref="P194">
    <cfRule type="cellIs" dxfId="146" priority="220" operator="equal">
      <formula>AS_DURATION_EFFORT</formula>
    </cfRule>
    <cfRule type="cellIs" dxfId="145" priority="221" operator="equal">
      <formula>AS_DEV_EFFORT</formula>
    </cfRule>
  </conditionalFormatting>
  <conditionalFormatting sqref="B192:B193">
    <cfRule type="expression" dxfId="144" priority="219">
      <formula>AD192&lt;&gt;""</formula>
    </cfRule>
  </conditionalFormatting>
  <conditionalFormatting sqref="F194">
    <cfRule type="expression" dxfId="143" priority="218">
      <formula>$K194&lt;&gt;""</formula>
    </cfRule>
  </conditionalFormatting>
  <conditionalFormatting sqref="C194">
    <cfRule type="expression" dxfId="142" priority="217">
      <formula>$G194&lt;&gt;"-"</formula>
    </cfRule>
  </conditionalFormatting>
  <conditionalFormatting sqref="D194">
    <cfRule type="expression" dxfId="141" priority="216">
      <formula>$H194&lt;&gt;"-"</formula>
    </cfRule>
  </conditionalFormatting>
  <conditionalFormatting sqref="E194">
    <cfRule type="expression" dxfId="140" priority="215">
      <formula>$I194&lt;&gt;"-"</formula>
    </cfRule>
  </conditionalFormatting>
  <conditionalFormatting sqref="B195">
    <cfRule type="expression" dxfId="139" priority="212">
      <formula>AD195&lt;&gt;""</formula>
    </cfRule>
  </conditionalFormatting>
  <conditionalFormatting sqref="Z195">
    <cfRule type="cellIs" dxfId="138" priority="210" operator="greaterThan">
      <formula>0</formula>
    </cfRule>
    <cfRule type="cellIs" dxfId="137" priority="211" operator="lessThan">
      <formula>0</formula>
    </cfRule>
  </conditionalFormatting>
  <conditionalFormatting sqref="S195">
    <cfRule type="cellIs" dxfId="136" priority="209" operator="lessThan">
      <formula>0</formula>
    </cfRule>
  </conditionalFormatting>
  <conditionalFormatting sqref="P195">
    <cfRule type="cellIs" dxfId="135" priority="207" operator="equal">
      <formula>AS_DURATION_EFFORT</formula>
    </cfRule>
    <cfRule type="cellIs" dxfId="134" priority="208" operator="equal">
      <formula>AS_DEV_EFFORT</formula>
    </cfRule>
  </conditionalFormatting>
  <conditionalFormatting sqref="F195">
    <cfRule type="expression" dxfId="133" priority="206">
      <formula>$K195&lt;&gt;""</formula>
    </cfRule>
  </conditionalFormatting>
  <conditionalFormatting sqref="C195">
    <cfRule type="expression" dxfId="132" priority="205">
      <formula>$G195&lt;&gt;"-"</formula>
    </cfRule>
  </conditionalFormatting>
  <conditionalFormatting sqref="D195">
    <cfRule type="expression" dxfId="131" priority="204">
      <formula>$H195&lt;&gt;"-"</formula>
    </cfRule>
  </conditionalFormatting>
  <conditionalFormatting sqref="E195">
    <cfRule type="expression" dxfId="130" priority="203">
      <formula>$I195&lt;&gt;"-"</formula>
    </cfRule>
  </conditionalFormatting>
  <conditionalFormatting sqref="B196">
    <cfRule type="expression" dxfId="129" priority="200">
      <formula>AD196&lt;&gt;""</formula>
    </cfRule>
  </conditionalFormatting>
  <conditionalFormatting sqref="Z196">
    <cfRule type="cellIs" dxfId="128" priority="198" operator="greaterThan">
      <formula>0</formula>
    </cfRule>
    <cfRule type="cellIs" dxfId="127" priority="199" operator="lessThan">
      <formula>0</formula>
    </cfRule>
  </conditionalFormatting>
  <conditionalFormatting sqref="S196">
    <cfRule type="cellIs" dxfId="126" priority="197" operator="lessThan">
      <formula>0</formula>
    </cfRule>
  </conditionalFormatting>
  <conditionalFormatting sqref="P196">
    <cfRule type="cellIs" dxfId="125" priority="195" operator="equal">
      <formula>AS_DURATION_EFFORT</formula>
    </cfRule>
    <cfRule type="cellIs" dxfId="124" priority="196" operator="equal">
      <formula>AS_DEV_EFFORT</formula>
    </cfRule>
  </conditionalFormatting>
  <conditionalFormatting sqref="F196">
    <cfRule type="expression" dxfId="123" priority="194">
      <formula>$K196&lt;&gt;""</formula>
    </cfRule>
  </conditionalFormatting>
  <conditionalFormatting sqref="C196">
    <cfRule type="expression" dxfId="122" priority="193">
      <formula>$G196&lt;&gt;"-"</formula>
    </cfRule>
  </conditionalFormatting>
  <conditionalFormatting sqref="D196">
    <cfRule type="expression" dxfId="121" priority="192">
      <formula>$H196&lt;&gt;"-"</formula>
    </cfRule>
  </conditionalFormatting>
  <conditionalFormatting sqref="E196">
    <cfRule type="expression" dxfId="120" priority="191">
      <formula>$I196&lt;&gt;"-"</formula>
    </cfRule>
  </conditionalFormatting>
  <conditionalFormatting sqref="B200">
    <cfRule type="expression" dxfId="119" priority="187">
      <formula>AD200&lt;&gt;""</formula>
    </cfRule>
  </conditionalFormatting>
  <conditionalFormatting sqref="Z200">
    <cfRule type="cellIs" dxfId="118" priority="185" operator="greaterThan">
      <formula>0</formula>
    </cfRule>
    <cfRule type="cellIs" dxfId="117" priority="186" operator="lessThan">
      <formula>0</formula>
    </cfRule>
  </conditionalFormatting>
  <conditionalFormatting sqref="S200">
    <cfRule type="cellIs" dxfId="116" priority="184" operator="lessThan">
      <formula>0</formula>
    </cfRule>
  </conditionalFormatting>
  <conditionalFormatting sqref="T198:T199">
    <cfRule type="expression" dxfId="115" priority="188">
      <formula>#REF!="Yes"</formula>
    </cfRule>
  </conditionalFormatting>
  <conditionalFormatting sqref="P200">
    <cfRule type="cellIs" dxfId="114" priority="182" operator="equal">
      <formula>AS_DURATION_EFFORT</formula>
    </cfRule>
    <cfRule type="cellIs" dxfId="113" priority="183" operator="equal">
      <formula>AS_DEV_EFFORT</formula>
    </cfRule>
  </conditionalFormatting>
  <conditionalFormatting sqref="B198:B199">
    <cfRule type="expression" dxfId="112" priority="181">
      <formula>AD198&lt;&gt;""</formula>
    </cfRule>
  </conditionalFormatting>
  <conditionalFormatting sqref="F200">
    <cfRule type="expression" dxfId="111" priority="180">
      <formula>$K200&lt;&gt;""</formula>
    </cfRule>
  </conditionalFormatting>
  <conditionalFormatting sqref="C200">
    <cfRule type="expression" dxfId="110" priority="179">
      <formula>$G200&lt;&gt;"-"</formula>
    </cfRule>
  </conditionalFormatting>
  <conditionalFormatting sqref="D200">
    <cfRule type="expression" dxfId="109" priority="178">
      <formula>$H200&lt;&gt;"-"</formula>
    </cfRule>
  </conditionalFormatting>
  <conditionalFormatting sqref="E200">
    <cfRule type="expression" dxfId="108" priority="177">
      <formula>$I200&lt;&gt;"-"</formula>
    </cfRule>
  </conditionalFormatting>
  <conditionalFormatting sqref="B190">
    <cfRule type="expression" dxfId="107" priority="160">
      <formula>AD190&lt;&gt;""</formula>
    </cfRule>
  </conditionalFormatting>
  <conditionalFormatting sqref="Z190">
    <cfRule type="cellIs" dxfId="106" priority="158" operator="greaterThan">
      <formula>0</formula>
    </cfRule>
    <cfRule type="cellIs" dxfId="105" priority="159" operator="lessThan">
      <formula>0</formula>
    </cfRule>
  </conditionalFormatting>
  <conditionalFormatting sqref="S190">
    <cfRule type="cellIs" dxfId="104" priority="157" operator="lessThan">
      <formula>0</formula>
    </cfRule>
  </conditionalFormatting>
  <conditionalFormatting sqref="P190">
    <cfRule type="cellIs" dxfId="103" priority="155" operator="equal">
      <formula>AS_DURATION_EFFORT</formula>
    </cfRule>
    <cfRule type="cellIs" dxfId="102" priority="156" operator="equal">
      <formula>AS_DEV_EFFORT</formula>
    </cfRule>
  </conditionalFormatting>
  <conditionalFormatting sqref="F190">
    <cfRule type="expression" dxfId="101" priority="154">
      <formula>$K190&lt;&gt;""</formula>
    </cfRule>
  </conditionalFormatting>
  <conditionalFormatting sqref="C190">
    <cfRule type="expression" dxfId="100" priority="153">
      <formula>$G190&lt;&gt;"-"</formula>
    </cfRule>
  </conditionalFormatting>
  <conditionalFormatting sqref="D190">
    <cfRule type="expression" dxfId="99" priority="152">
      <formula>$H190&lt;&gt;"-"</formula>
    </cfRule>
  </conditionalFormatting>
  <conditionalFormatting sqref="E190">
    <cfRule type="expression" dxfId="98" priority="151">
      <formula>$I190&lt;&gt;"-"</formula>
    </cfRule>
  </conditionalFormatting>
  <conditionalFormatting sqref="B204">
    <cfRule type="expression" dxfId="97" priority="147">
      <formula>AD204&lt;&gt;""</formula>
    </cfRule>
  </conditionalFormatting>
  <conditionalFormatting sqref="Z204">
    <cfRule type="cellIs" dxfId="96" priority="145" operator="greaterThan">
      <formula>0</formula>
    </cfRule>
    <cfRule type="cellIs" dxfId="95" priority="146" operator="lessThan">
      <formula>0</formula>
    </cfRule>
  </conditionalFormatting>
  <conditionalFormatting sqref="S204">
    <cfRule type="cellIs" dxfId="94" priority="144" operator="lessThan">
      <formula>0</formula>
    </cfRule>
  </conditionalFormatting>
  <conditionalFormatting sqref="T202:T203">
    <cfRule type="expression" dxfId="93" priority="148">
      <formula>#REF!="Yes"</formula>
    </cfRule>
  </conditionalFormatting>
  <conditionalFormatting sqref="P204">
    <cfRule type="cellIs" dxfId="92" priority="142" operator="equal">
      <formula>AS_DURATION_EFFORT</formula>
    </cfRule>
    <cfRule type="cellIs" dxfId="91" priority="143" operator="equal">
      <formula>AS_DEV_EFFORT</formula>
    </cfRule>
  </conditionalFormatting>
  <conditionalFormatting sqref="B202:B203">
    <cfRule type="expression" dxfId="90" priority="141">
      <formula>AD202&lt;&gt;""</formula>
    </cfRule>
  </conditionalFormatting>
  <conditionalFormatting sqref="F204">
    <cfRule type="expression" dxfId="89" priority="140">
      <formula>$K204&lt;&gt;""</formula>
    </cfRule>
  </conditionalFormatting>
  <conditionalFormatting sqref="C204">
    <cfRule type="expression" dxfId="88" priority="139">
      <formula>$G204&lt;&gt;"-"</formula>
    </cfRule>
  </conditionalFormatting>
  <conditionalFormatting sqref="D204">
    <cfRule type="expression" dxfId="87" priority="138">
      <formula>$H204&lt;&gt;"-"</formula>
    </cfRule>
  </conditionalFormatting>
  <conditionalFormatting sqref="E204">
    <cfRule type="expression" dxfId="86" priority="137">
      <formula>$I204&lt;&gt;"-"</formula>
    </cfRule>
  </conditionalFormatting>
  <conditionalFormatting sqref="B69">
    <cfRule type="expression" dxfId="85" priority="134">
      <formula>AD69&lt;&gt;""</formula>
    </cfRule>
  </conditionalFormatting>
  <conditionalFormatting sqref="Z69">
    <cfRule type="cellIs" dxfId="84" priority="132" operator="greaterThan">
      <formula>0</formula>
    </cfRule>
    <cfRule type="cellIs" dxfId="83" priority="133" operator="lessThan">
      <formula>0</formula>
    </cfRule>
  </conditionalFormatting>
  <conditionalFormatting sqref="S69">
    <cfRule type="cellIs" dxfId="82" priority="131" operator="lessThan">
      <formula>0</formula>
    </cfRule>
  </conditionalFormatting>
  <conditionalFormatting sqref="P69">
    <cfRule type="cellIs" dxfId="81" priority="129" operator="equal">
      <formula>AS_DURATION_EFFORT</formula>
    </cfRule>
    <cfRule type="cellIs" dxfId="80" priority="130" operator="equal">
      <formula>AS_DEV_EFFORT</formula>
    </cfRule>
  </conditionalFormatting>
  <conditionalFormatting sqref="L69:AC69">
    <cfRule type="expression" dxfId="79" priority="135">
      <formula>AND($G69="Yes", $S$6="Exclude")</formula>
    </cfRule>
    <cfRule type="expression" dxfId="78" priority="136">
      <formula>$J69="Yes"</formula>
    </cfRule>
  </conditionalFormatting>
  <conditionalFormatting sqref="F69">
    <cfRule type="expression" dxfId="77" priority="128">
      <formula>$K69&lt;&gt;""</formula>
    </cfRule>
  </conditionalFormatting>
  <conditionalFormatting sqref="C69">
    <cfRule type="expression" dxfId="76" priority="127">
      <formula>$G69&lt;&gt;"-"</formula>
    </cfRule>
  </conditionalFormatting>
  <conditionalFormatting sqref="D69">
    <cfRule type="expression" dxfId="75" priority="126">
      <formula>$H69&lt;&gt;"-"</formula>
    </cfRule>
  </conditionalFormatting>
  <conditionalFormatting sqref="E69">
    <cfRule type="expression" dxfId="74" priority="125">
      <formula>$I69&lt;&gt;"-"</formula>
    </cfRule>
  </conditionalFormatting>
  <conditionalFormatting sqref="B86">
    <cfRule type="expression" dxfId="73" priority="122">
      <formula>AD86&lt;&gt;""</formula>
    </cfRule>
  </conditionalFormatting>
  <conditionalFormatting sqref="Z86">
    <cfRule type="cellIs" dxfId="72" priority="120" operator="greaterThan">
      <formula>0</formula>
    </cfRule>
    <cfRule type="cellIs" dxfId="71" priority="121" operator="lessThan">
      <formula>0</formula>
    </cfRule>
  </conditionalFormatting>
  <conditionalFormatting sqref="S86">
    <cfRule type="cellIs" dxfId="70" priority="119" operator="lessThan">
      <formula>0</formula>
    </cfRule>
  </conditionalFormatting>
  <conditionalFormatting sqref="P86">
    <cfRule type="cellIs" dxfId="69" priority="117" operator="equal">
      <formula>AS_DURATION_EFFORT</formula>
    </cfRule>
    <cfRule type="cellIs" dxfId="68" priority="118" operator="equal">
      <formula>AS_DEV_EFFORT</formula>
    </cfRule>
  </conditionalFormatting>
  <conditionalFormatting sqref="L86:AC86">
    <cfRule type="expression" dxfId="67" priority="123">
      <formula>AND($G86="Yes", $S$6="Exclude")</formula>
    </cfRule>
    <cfRule type="expression" dxfId="66" priority="124">
      <formula>$J86="Yes"</formula>
    </cfRule>
  </conditionalFormatting>
  <conditionalFormatting sqref="F86">
    <cfRule type="expression" dxfId="65" priority="116">
      <formula>$K86&lt;&gt;""</formula>
    </cfRule>
  </conditionalFormatting>
  <conditionalFormatting sqref="C86">
    <cfRule type="expression" dxfId="64" priority="115">
      <formula>$G86&lt;&gt;"-"</formula>
    </cfRule>
  </conditionalFormatting>
  <conditionalFormatting sqref="D86">
    <cfRule type="expression" dxfId="63" priority="114">
      <formula>$H86&lt;&gt;"-"</formula>
    </cfRule>
  </conditionalFormatting>
  <conditionalFormatting sqref="E86">
    <cfRule type="expression" dxfId="62" priority="113">
      <formula>$I86&lt;&gt;"-"</formula>
    </cfRule>
  </conditionalFormatting>
  <conditionalFormatting sqref="B87">
    <cfRule type="expression" dxfId="61" priority="98">
      <formula>AD87&lt;&gt;""</formula>
    </cfRule>
  </conditionalFormatting>
  <conditionalFormatting sqref="Z87">
    <cfRule type="cellIs" dxfId="60" priority="96" operator="greaterThan">
      <formula>0</formula>
    </cfRule>
    <cfRule type="cellIs" dxfId="59" priority="97" operator="lessThan">
      <formula>0</formula>
    </cfRule>
  </conditionalFormatting>
  <conditionalFormatting sqref="S87">
    <cfRule type="cellIs" dxfId="58" priority="95" operator="lessThan">
      <formula>0</formula>
    </cfRule>
  </conditionalFormatting>
  <conditionalFormatting sqref="P87">
    <cfRule type="cellIs" dxfId="57" priority="93" operator="equal">
      <formula>AS_DURATION_EFFORT</formula>
    </cfRule>
    <cfRule type="cellIs" dxfId="56" priority="94" operator="equal">
      <formula>AS_DEV_EFFORT</formula>
    </cfRule>
  </conditionalFormatting>
  <conditionalFormatting sqref="L87:AC87">
    <cfRule type="expression" dxfId="55" priority="99">
      <formula>AND($G87="Yes", $S$6="Exclude")</formula>
    </cfRule>
    <cfRule type="expression" dxfId="54" priority="100">
      <formula>$J87="Yes"</formula>
    </cfRule>
  </conditionalFormatting>
  <conditionalFormatting sqref="F87">
    <cfRule type="expression" dxfId="53" priority="92">
      <formula>$K87&lt;&gt;""</formula>
    </cfRule>
  </conditionalFormatting>
  <conditionalFormatting sqref="C87">
    <cfRule type="expression" dxfId="52" priority="91">
      <formula>$G87&lt;&gt;"-"</formula>
    </cfRule>
  </conditionalFormatting>
  <conditionalFormatting sqref="D87">
    <cfRule type="expression" dxfId="51" priority="90">
      <formula>$H87&lt;&gt;"-"</formula>
    </cfRule>
  </conditionalFormatting>
  <conditionalFormatting sqref="E87">
    <cfRule type="expression" dxfId="50" priority="89">
      <formula>$I87&lt;&gt;"-"</formula>
    </cfRule>
  </conditionalFormatting>
  <conditionalFormatting sqref="B208">
    <cfRule type="expression" dxfId="49" priority="61">
      <formula>AD208&lt;&gt;""</formula>
    </cfRule>
  </conditionalFormatting>
  <conditionalFormatting sqref="Z208">
    <cfRule type="cellIs" dxfId="48" priority="59" operator="greaterThan">
      <formula>0</formula>
    </cfRule>
    <cfRule type="cellIs" dxfId="47" priority="60" operator="lessThan">
      <formula>0</formula>
    </cfRule>
  </conditionalFormatting>
  <conditionalFormatting sqref="S208">
    <cfRule type="cellIs" dxfId="46" priority="58" operator="lessThan">
      <formula>0</formula>
    </cfRule>
  </conditionalFormatting>
  <conditionalFormatting sqref="T206:T207">
    <cfRule type="expression" dxfId="45" priority="62">
      <formula>#REF!="Yes"</formula>
    </cfRule>
  </conditionalFormatting>
  <conditionalFormatting sqref="P208">
    <cfRule type="cellIs" dxfId="44" priority="56" operator="equal">
      <formula>AS_DURATION_EFFORT</formula>
    </cfRule>
    <cfRule type="cellIs" dxfId="43" priority="57" operator="equal">
      <formula>AS_DEV_EFFORT</formula>
    </cfRule>
  </conditionalFormatting>
  <conditionalFormatting sqref="B206:B207">
    <cfRule type="expression" dxfId="42" priority="55">
      <formula>AD206&lt;&gt;""</formula>
    </cfRule>
  </conditionalFormatting>
  <conditionalFormatting sqref="L208:AC208">
    <cfRule type="expression" dxfId="41" priority="63">
      <formula>AND($G208="Yes", $S$6="Exclude")</formula>
    </cfRule>
    <cfRule type="expression" dxfId="40" priority="64">
      <formula>$J208="Yes"</formula>
    </cfRule>
  </conditionalFormatting>
  <conditionalFormatting sqref="F208">
    <cfRule type="expression" dxfId="39" priority="54">
      <formula>$K208&lt;&gt;""</formula>
    </cfRule>
  </conditionalFormatting>
  <conditionalFormatting sqref="C208">
    <cfRule type="expression" dxfId="38" priority="53">
      <formula>$G208&lt;&gt;"-"</formula>
    </cfRule>
  </conditionalFormatting>
  <conditionalFormatting sqref="D208">
    <cfRule type="expression" dxfId="37" priority="52">
      <formula>$H208&lt;&gt;"-"</formula>
    </cfRule>
  </conditionalFormatting>
  <conditionalFormatting sqref="E208">
    <cfRule type="expression" dxfId="36" priority="51">
      <formula>$I208&lt;&gt;"-"</formula>
    </cfRule>
  </conditionalFormatting>
  <conditionalFormatting sqref="B276">
    <cfRule type="expression" dxfId="35" priority="33">
      <formula>AD276&lt;&gt;""</formula>
    </cfRule>
  </conditionalFormatting>
  <conditionalFormatting sqref="Z276">
    <cfRule type="cellIs" dxfId="34" priority="31" operator="greaterThan">
      <formula>0</formula>
    </cfRule>
    <cfRule type="cellIs" dxfId="33" priority="32" operator="lessThan">
      <formula>0</formula>
    </cfRule>
  </conditionalFormatting>
  <conditionalFormatting sqref="S276">
    <cfRule type="cellIs" dxfId="32" priority="30" operator="lessThan">
      <formula>0</formula>
    </cfRule>
  </conditionalFormatting>
  <conditionalFormatting sqref="T274:T275">
    <cfRule type="expression" dxfId="31" priority="34">
      <formula>#REF!="Yes"</formula>
    </cfRule>
  </conditionalFormatting>
  <conditionalFormatting sqref="P276">
    <cfRule type="cellIs" dxfId="30" priority="28" operator="equal">
      <formula>AS_DURATION_EFFORT</formula>
    </cfRule>
    <cfRule type="cellIs" dxfId="29" priority="29" operator="equal">
      <formula>AS_DEV_EFFORT</formula>
    </cfRule>
  </conditionalFormatting>
  <conditionalFormatting sqref="B274:B275">
    <cfRule type="expression" dxfId="28" priority="27">
      <formula>AD274&lt;&gt;""</formula>
    </cfRule>
  </conditionalFormatting>
  <conditionalFormatting sqref="L276:AC276">
    <cfRule type="expression" dxfId="27" priority="35">
      <formula>AND($G276="Yes", $S$6="Exclude")</formula>
    </cfRule>
    <cfRule type="expression" dxfId="26" priority="36">
      <formula>$J276="Yes"</formula>
    </cfRule>
  </conditionalFormatting>
  <conditionalFormatting sqref="F276">
    <cfRule type="expression" dxfId="25" priority="26">
      <formula>$K276&lt;&gt;""</formula>
    </cfRule>
  </conditionalFormatting>
  <conditionalFormatting sqref="C276">
    <cfRule type="expression" dxfId="24" priority="25">
      <formula>$G276&lt;&gt;"-"</formula>
    </cfRule>
  </conditionalFormatting>
  <conditionalFormatting sqref="D276">
    <cfRule type="expression" dxfId="23" priority="24">
      <formula>$H276&lt;&gt;"-"</formula>
    </cfRule>
  </conditionalFormatting>
  <conditionalFormatting sqref="E276">
    <cfRule type="expression" dxfId="22" priority="23">
      <formula>$I276&lt;&gt;"-"</formula>
    </cfRule>
  </conditionalFormatting>
  <conditionalFormatting sqref="P64">
    <cfRule type="cellIs" dxfId="21" priority="21" operator="equal">
      <formula>AS_DURATION_EFFORT</formula>
    </cfRule>
    <cfRule type="cellIs" dxfId="20" priority="22" operator="equal">
      <formula>AS_DEV_EFFORT</formula>
    </cfRule>
  </conditionalFormatting>
  <conditionalFormatting sqref="P64">
    <cfRule type="cellIs" dxfId="19" priority="19" operator="equal">
      <formula>AS_DURATION_EFFORT</formula>
    </cfRule>
    <cfRule type="cellIs" dxfId="18" priority="20" operator="equal">
      <formula>AS_DEV_EFFORT</formula>
    </cfRule>
  </conditionalFormatting>
  <conditionalFormatting sqref="P64">
    <cfRule type="cellIs" dxfId="17" priority="17" operator="equal">
      <formula>AS_DURATION_EFFORT</formula>
    </cfRule>
    <cfRule type="cellIs" dxfId="16" priority="18" operator="equal">
      <formula>AS_DEV_EFFORT</formula>
    </cfRule>
  </conditionalFormatting>
  <conditionalFormatting sqref="P64">
    <cfRule type="cellIs" dxfId="15" priority="15" operator="equal">
      <formula>AS_DURATION_EFFORT</formula>
    </cfRule>
    <cfRule type="cellIs" dxfId="14" priority="16" operator="equal">
      <formula>AS_DEV_EFFORT</formula>
    </cfRule>
  </conditionalFormatting>
  <conditionalFormatting sqref="P64">
    <cfRule type="cellIs" dxfId="13" priority="13" operator="equal">
      <formula>AS_DURATION_EFFORT</formula>
    </cfRule>
    <cfRule type="cellIs" dxfId="12" priority="14" operator="equal">
      <formula>AS_DEV_EFFORT</formula>
    </cfRule>
  </conditionalFormatting>
  <conditionalFormatting sqref="B253">
    <cfRule type="expression" dxfId="11" priority="10">
      <formula>AD253&lt;&gt;""</formula>
    </cfRule>
  </conditionalFormatting>
  <conditionalFormatting sqref="Z253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253">
    <cfRule type="cellIs" dxfId="8" priority="7" operator="lessThan">
      <formula>0</formula>
    </cfRule>
  </conditionalFormatting>
  <conditionalFormatting sqref="P253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253:AC253">
    <cfRule type="expression" dxfId="5" priority="11">
      <formula>AND($G253="Yes", $S$6="Exclude")</formula>
    </cfRule>
    <cfRule type="expression" dxfId="4" priority="12">
      <formula>$J253="Yes"</formula>
    </cfRule>
  </conditionalFormatting>
  <conditionalFormatting sqref="F253">
    <cfRule type="expression" dxfId="3" priority="4">
      <formula>$K253&lt;&gt;""</formula>
    </cfRule>
  </conditionalFormatting>
  <conditionalFormatting sqref="C253">
    <cfRule type="expression" dxfId="2" priority="3">
      <formula>$G253&lt;&gt;"-"</formula>
    </cfRule>
  </conditionalFormatting>
  <conditionalFormatting sqref="D253">
    <cfRule type="expression" dxfId="1" priority="2">
      <formula>$H253&lt;&gt;"-"</formula>
    </cfRule>
  </conditionalFormatting>
  <conditionalFormatting sqref="E253">
    <cfRule type="expression" dxfId="0" priority="1">
      <formula>$I253&lt;&gt;"-"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372" xr:uid="{00000000-0002-0000-0100-000002000000}">
      <formula1>YES_NO_LIST</formula1>
    </dataValidation>
    <dataValidation type="list" allowBlank="1" showInputMessage="1" showErrorMessage="1" sqref="O369" xr:uid="{00000000-0002-0000-0100-000003000000}">
      <formula1>PLATFORMS_LIST</formula1>
    </dataValidation>
    <dataValidation type="list" allowBlank="1" showInputMessage="1" showErrorMessage="1" sqref="O370" xr:uid="{00000000-0002-0000-0100-000004000000}">
      <formula1>PROJECT_TYPES_LIST</formula1>
    </dataValidation>
    <dataValidation type="list" allowBlank="1" showInputMessage="1" showErrorMessage="1" sqref="O374" xr:uid="{00000000-0002-0000-0100-000005000000}">
      <formula1>CURRENCIES_LIST</formula1>
    </dataValidation>
    <dataValidation type="list" allowBlank="1" showInputMessage="1" showErrorMessage="1" sqref="O373" xr:uid="{00000000-0002-0000-0100-000006000000}">
      <formula1>REGIONS_LIST</formula1>
    </dataValidation>
    <dataValidation type="list" showInputMessage="1" showErrorMessage="1" sqref="G490 J490 G16:G18 J63:J64 J110:J113 G94:G97 J290 J68:J69 J204 G63:G64 G53:G56 J94:J97 J81:J87 J238:J239 G238:G239 J243:J246 G243:G246 G225:G226 J260:J262 G260:G262 G266:G267 J266:J267 J271:J272 G271:G272 J280:J283 G280:G283 G290 J16:J18 J22:J24 G28:G31 J41:J43 G22:G24 J28:J31 G41:G43 J117 G231:G234 J231:J234 J225:J226 J35:J37 G35:G37 J47:J49 G47:G49 J53:J56 G73:G77 J73:J77 G68:G69 G110:G113 G117 G213:G217 J213:J217 J250:J253 J276 J121:J122 G121:G122 J126:J127 G126:G127 G131 J131 G135 J135 J139:J140 G139:G140 G144 J144 G148 J148 G152:G154 J152:J154 J158:J159 G158:G159 G163 J163 G167 J167 J171:J173 G171:G173 G177 J177 G181 J181 G185 J185 J189:J190 J200 G194:G196 J194:J196 G200 G189:G190 G204 G81:G87 J101:J105 G101:G105 G208 J208 G276 G250:G253" xr:uid="{00000000-0002-0000-0100-000007000000}">
      <formula1>YES_NO_LIST</formula1>
    </dataValidation>
    <dataValidation type="list" showInputMessage="1" showErrorMessage="1" sqref="I490 I81:I87 I94:I97 I290 I204 I63:I64 I53:I56 I68:I69 I238:I239 I243:I246 I225:I226 I260:I262 I266:I267 I271:I272 I280:I283 I16:I18 I22:I24 I28:I31 I41:I43 I117 I231:I234 I35:I37 I47:I49 I73:I77 I110:I113 I213:I217 I276 I121:I122 I126:I127 I131 I135 I139:I140 I144 I148 I152:I154 I158:I159 I163 I167 I171:I173 I177 I181 I185 I200 I194:I196 I189:I190 I101:I105 I208 I250:I253" xr:uid="{00000000-0002-0000-0100-000008000000}">
      <formula1>EXTRAS_LIST</formula1>
    </dataValidation>
    <dataValidation type="list" showInputMessage="1" showErrorMessage="1" sqref="H490 H81:H87 H94:H97 H290 H204 H63:H64 H53:H56 H68:H69 H238:H239 H243:H246 H225:H226 H260:H262 H266:H267 H271:H272 H280:H283 H16:H18 H22:H24 H28:H31 H41:H43 H117 H231:H234 H35:H37 H47:H49 H73:H77 H110:H113 H213:H217 H276 H121:H122 H126:H127 H131 H135 H139:H140 H144 H148 H152:H154 H158:H159 H163 H167 H171:H173 H177 H181 H185 H200 H194:H196 H189:H190 H101:H105 H208 H250:H253" xr:uid="{00000000-0002-0000-0100-000009000000}">
      <formula1>BUFFER_TYPES_LIST</formula1>
    </dataValidation>
    <dataValidation type="list" showInputMessage="1" showErrorMessage="1" sqref="S300" xr:uid="{00000000-0002-0000-0100-00000A000000}">
      <formula1>"Default, Extended"</formula1>
    </dataValidation>
  </dataValidations>
  <hyperlinks>
    <hyperlink ref="T360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30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7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58">
        <f>START_DATE</f>
        <v>42583</v>
      </c>
      <c r="D1" s="358"/>
      <c r="E1" s="358"/>
      <c r="F1" s="358"/>
      <c r="I1" s="1" t="s">
        <v>95</v>
      </c>
      <c r="L1" s="359">
        <v>41583</v>
      </c>
      <c r="M1" s="359"/>
      <c r="N1" s="359"/>
      <c r="O1" s="359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56">
        <v>1</v>
      </c>
      <c r="D3" s="357"/>
      <c r="E3" s="357"/>
      <c r="F3" s="360"/>
      <c r="G3" s="356">
        <f>C3+1</f>
        <v>2</v>
      </c>
      <c r="H3" s="357"/>
      <c r="I3" s="357"/>
      <c r="J3" s="357"/>
      <c r="K3" s="356">
        <f>G3+1</f>
        <v>3</v>
      </c>
      <c r="L3" s="357"/>
      <c r="M3" s="357"/>
      <c r="N3" s="357"/>
      <c r="O3" s="356">
        <f>K3+1</f>
        <v>4</v>
      </c>
      <c r="P3" s="357"/>
      <c r="Q3" s="357"/>
      <c r="R3" s="357"/>
      <c r="S3" s="356">
        <f>O3+1</f>
        <v>5</v>
      </c>
      <c r="T3" s="357"/>
      <c r="U3" s="357"/>
      <c r="V3" s="357"/>
      <c r="W3" s="356">
        <f>S3+1</f>
        <v>6</v>
      </c>
      <c r="X3" s="357"/>
      <c r="Y3" s="357"/>
      <c r="Z3" s="357"/>
      <c r="AA3" s="356">
        <f>W3+1</f>
        <v>7</v>
      </c>
      <c r="AB3" s="357"/>
      <c r="AC3" s="357"/>
      <c r="AD3" s="357"/>
      <c r="AE3" s="356">
        <f>AA3+1</f>
        <v>8</v>
      </c>
      <c r="AF3" s="357"/>
      <c r="AG3" s="357"/>
      <c r="AH3" s="357"/>
      <c r="AI3" s="356">
        <f>AE3+1</f>
        <v>9</v>
      </c>
      <c r="AJ3" s="357"/>
      <c r="AK3" s="357"/>
      <c r="AL3" s="357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Estimation!N351</f>
        <v>Discovery / Requirement Analysis</v>
      </c>
      <c r="C6" s="129"/>
      <c r="D6" s="129"/>
      <c r="E6" s="129"/>
    </row>
    <row r="7" spans="2:38" x14ac:dyDescent="0.35">
      <c r="B7" s="125" t="str">
        <f>Estimation!N352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Estimation!N353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Estimation!N354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Estimation!N355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Estimation!N356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62" t="s">
        <v>263</v>
      </c>
      <c r="C13" s="362"/>
      <c r="D13" s="362"/>
      <c r="E13" s="362"/>
      <c r="F13" s="362"/>
      <c r="G13" s="362"/>
      <c r="H13" s="362"/>
      <c r="I13" s="362"/>
      <c r="J13" s="36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62"/>
      <c r="C14" s="362"/>
      <c r="D14" s="362"/>
      <c r="E14" s="362"/>
      <c r="F14" s="362"/>
      <c r="G14" s="362"/>
      <c r="H14" s="362"/>
      <c r="I14" s="362"/>
      <c r="J14" s="362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61" t="s">
        <v>195</v>
      </c>
      <c r="I16" s="361"/>
      <c r="J16" s="361"/>
      <c r="K16" s="361"/>
      <c r="L16" s="361"/>
      <c r="M16" s="361"/>
      <c r="N16" s="361"/>
      <c r="O16" s="361"/>
      <c r="P16" s="361"/>
      <c r="Q16" s="361"/>
      <c r="R16" s="361"/>
      <c r="S16" s="361"/>
      <c r="T16" s="361"/>
      <c r="U16" s="361"/>
      <c r="V16" s="361"/>
      <c r="AL16" s="361" t="s">
        <v>245</v>
      </c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</row>
    <row r="17" spans="2:56" ht="15" customHeight="1" x14ac:dyDescent="0.35">
      <c r="H17" s="361"/>
      <c r="I17" s="361"/>
      <c r="J17" s="361"/>
      <c r="K17" s="361"/>
      <c r="L17" s="361"/>
      <c r="M17" s="361"/>
      <c r="N17" s="361"/>
      <c r="O17" s="361"/>
      <c r="P17" s="361"/>
      <c r="Q17" s="361"/>
      <c r="R17" s="361"/>
      <c r="S17" s="361"/>
      <c r="T17" s="361"/>
      <c r="U17" s="361"/>
      <c r="V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61" t="s">
        <v>207</v>
      </c>
      <c r="C29" s="361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</row>
    <row r="30" spans="2:56" x14ac:dyDescent="0.35">
      <c r="B30" s="361"/>
      <c r="C30" s="36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61" t="s">
        <v>208</v>
      </c>
      <c r="C41" s="361"/>
      <c r="D41" s="361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</row>
    <row r="42" spans="2:31" x14ac:dyDescent="0.35">
      <c r="B42" s="361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61" t="s">
        <v>224</v>
      </c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</row>
    <row r="50" spans="2:14" x14ac:dyDescent="0.35">
      <c r="B50" s="361"/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61" t="s">
        <v>225</v>
      </c>
      <c r="C71" s="361"/>
      <c r="D71" s="361"/>
      <c r="E71" s="361"/>
      <c r="F71" s="361"/>
      <c r="G71" s="361"/>
      <c r="H71" s="361"/>
      <c r="I71" s="361"/>
      <c r="J71" s="361"/>
      <c r="K71" s="361"/>
      <c r="L71" s="361"/>
      <c r="M71" s="361"/>
      <c r="N71" s="361"/>
      <c r="O71" s="361"/>
      <c r="P71" s="361"/>
    </row>
    <row r="72" spans="2:16" x14ac:dyDescent="0.35">
      <c r="B72" s="36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61" t="s">
        <v>234</v>
      </c>
      <c r="D84" s="361"/>
      <c r="E84" s="361"/>
      <c r="F84" s="361"/>
      <c r="G84" s="361"/>
      <c r="H84" s="361"/>
      <c r="I84" s="361"/>
      <c r="J84" s="361"/>
      <c r="K84" s="361"/>
      <c r="L84" s="361"/>
      <c r="M84" s="361"/>
      <c r="N84" s="361"/>
      <c r="O84" s="361"/>
      <c r="P84" s="361"/>
      <c r="Q84" s="361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61"/>
      <c r="D85" s="361"/>
      <c r="E85" s="361"/>
      <c r="F85" s="361"/>
      <c r="G85" s="361"/>
      <c r="H85" s="361"/>
      <c r="I85" s="361"/>
      <c r="J85" s="361"/>
      <c r="K85" s="361"/>
      <c r="L85" s="361"/>
      <c r="M85" s="361"/>
      <c r="N85" s="361"/>
      <c r="O85" s="361"/>
      <c r="P85" s="361"/>
      <c r="Q85" s="361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61" t="s">
        <v>237</v>
      </c>
      <c r="AF93" s="361"/>
      <c r="AG93" s="361"/>
      <c r="AH93" s="361"/>
      <c r="AI93" s="361"/>
      <c r="AJ93" s="361"/>
      <c r="AK93" s="361"/>
      <c r="AL93" s="361"/>
      <c r="AM93" s="361"/>
      <c r="AN93" s="361"/>
      <c r="AO93" s="361"/>
      <c r="AP93" s="361"/>
      <c r="AQ93" s="361"/>
      <c r="AR93" s="361"/>
      <c r="AS93" s="361"/>
      <c r="AT93" s="361"/>
      <c r="AU93" s="361"/>
      <c r="AV93" s="361"/>
      <c r="AW93" s="361"/>
      <c r="AX93" s="361"/>
      <c r="AY93" s="361"/>
    </row>
    <row r="94" spans="3:69" x14ac:dyDescent="0.35">
      <c r="AE94" s="361"/>
      <c r="AF94" s="361"/>
      <c r="AG94" s="361"/>
      <c r="AH94" s="361"/>
      <c r="AI94" s="361"/>
      <c r="AJ94" s="361"/>
      <c r="AK94" s="361"/>
      <c r="AL94" s="361"/>
      <c r="AM94" s="361"/>
      <c r="AN94" s="361"/>
      <c r="AO94" s="361"/>
      <c r="AP94" s="361"/>
      <c r="AQ94" s="361"/>
      <c r="AR94" s="361"/>
      <c r="AS94" s="361"/>
      <c r="AT94" s="361"/>
      <c r="AU94" s="361"/>
      <c r="AV94" s="361"/>
      <c r="AW94" s="361"/>
      <c r="AX94" s="361"/>
      <c r="AY94" s="361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61" t="s">
        <v>240</v>
      </c>
      <c r="D104" s="361"/>
      <c r="E104" s="361"/>
      <c r="F104" s="361"/>
      <c r="G104" s="361"/>
      <c r="H104" s="361"/>
      <c r="I104" s="361"/>
      <c r="J104" s="361"/>
      <c r="K104" s="361"/>
      <c r="L104" s="361"/>
      <c r="M104" s="361"/>
      <c r="N104" s="361"/>
      <c r="O104" s="361"/>
      <c r="P104" s="361"/>
      <c r="Q104" s="361"/>
      <c r="R104" s="361"/>
      <c r="S104" s="361"/>
      <c r="T104" s="361"/>
      <c r="U104" s="361"/>
      <c r="V104" s="361"/>
      <c r="W104" s="361"/>
    </row>
    <row r="105" spans="3:23" x14ac:dyDescent="0.35">
      <c r="C105" s="361"/>
      <c r="D105" s="361"/>
      <c r="E105" s="361"/>
      <c r="F105" s="361"/>
      <c r="G105" s="361"/>
      <c r="H105" s="361"/>
      <c r="I105" s="361"/>
      <c r="J105" s="361"/>
      <c r="K105" s="361"/>
      <c r="L105" s="361"/>
      <c r="M105" s="361"/>
      <c r="N105" s="361"/>
      <c r="O105" s="361"/>
      <c r="P105" s="361"/>
      <c r="Q105" s="361"/>
      <c r="R105" s="361"/>
      <c r="S105" s="361"/>
      <c r="T105" s="361"/>
      <c r="U105" s="361"/>
      <c r="V105" s="361"/>
      <c r="W105" s="361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61" t="s">
        <v>246</v>
      </c>
      <c r="AG114" s="361"/>
      <c r="AH114" s="361"/>
      <c r="AI114" s="361"/>
      <c r="AJ114" s="361"/>
      <c r="AK114" s="361"/>
      <c r="AL114" s="361"/>
      <c r="AM114" s="361"/>
      <c r="AN114" s="361"/>
      <c r="AO114" s="361"/>
      <c r="AP114" s="361"/>
      <c r="AQ114" s="361"/>
      <c r="AR114" s="361"/>
      <c r="AS114" s="361"/>
      <c r="AT114" s="361"/>
      <c r="AU114" s="361"/>
      <c r="AV114" s="361"/>
      <c r="AW114" s="361"/>
      <c r="AX114" s="361"/>
      <c r="AY114" s="361"/>
      <c r="AZ114" s="361"/>
    </row>
    <row r="115" spans="3:52" x14ac:dyDescent="0.35">
      <c r="C115" s="172" t="s">
        <v>244</v>
      </c>
      <c r="AF115" s="361"/>
      <c r="AG115" s="361"/>
      <c r="AH115" s="361"/>
      <c r="AI115" s="361"/>
      <c r="AJ115" s="361"/>
      <c r="AK115" s="361"/>
      <c r="AL115" s="361"/>
      <c r="AM115" s="361"/>
      <c r="AN115" s="361"/>
      <c r="AO115" s="361"/>
      <c r="AP115" s="361"/>
      <c r="AQ115" s="361"/>
      <c r="AR115" s="361"/>
      <c r="AS115" s="361"/>
      <c r="AT115" s="361"/>
      <c r="AU115" s="361"/>
      <c r="AV115" s="361"/>
      <c r="AW115" s="361"/>
      <c r="AX115" s="361"/>
      <c r="AY115" s="361"/>
      <c r="AZ115" s="361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61" t="s">
        <v>247</v>
      </c>
      <c r="W121" s="361"/>
      <c r="X121" s="361"/>
      <c r="Y121" s="361"/>
      <c r="Z121" s="361"/>
      <c r="AA121" s="361"/>
      <c r="AB121" s="361"/>
      <c r="AC121" s="361"/>
      <c r="AD121" s="361"/>
      <c r="AE121" s="361"/>
      <c r="AF121" s="361"/>
      <c r="AG121" s="361"/>
      <c r="AH121" s="361"/>
      <c r="AI121" s="361"/>
      <c r="AJ121" s="361"/>
      <c r="AK121" s="361"/>
      <c r="AL121" s="361"/>
      <c r="AM121" s="361"/>
      <c r="AN121" s="361"/>
      <c r="AO121" s="361"/>
      <c r="AP121" s="361"/>
    </row>
    <row r="122" spans="3:52" x14ac:dyDescent="0.35">
      <c r="V122" s="361"/>
      <c r="W122" s="361"/>
      <c r="X122" s="361"/>
      <c r="Y122" s="361"/>
      <c r="Z122" s="361"/>
      <c r="AA122" s="361"/>
      <c r="AB122" s="361"/>
      <c r="AC122" s="361"/>
      <c r="AD122" s="361"/>
      <c r="AE122" s="361"/>
      <c r="AF122" s="361"/>
      <c r="AG122" s="361"/>
      <c r="AH122" s="361"/>
      <c r="AI122" s="361"/>
      <c r="AJ122" s="361"/>
      <c r="AK122" s="361"/>
      <c r="AL122" s="361"/>
      <c r="AM122" s="361"/>
      <c r="AN122" s="361"/>
      <c r="AO122" s="361"/>
      <c r="AP122" s="361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61" t="s">
        <v>253</v>
      </c>
      <c r="G130" s="361"/>
      <c r="H130" s="361"/>
      <c r="I130" s="361"/>
      <c r="J130" s="361"/>
      <c r="K130" s="361"/>
      <c r="L130" s="361"/>
      <c r="M130" s="361"/>
      <c r="N130" s="361"/>
      <c r="O130" s="361"/>
      <c r="P130" s="361"/>
      <c r="Q130" s="361"/>
      <c r="R130" s="361"/>
      <c r="S130" s="361"/>
      <c r="T130" s="361"/>
      <c r="U130" s="361"/>
      <c r="V130" s="361"/>
      <c r="W130" s="361"/>
      <c r="X130" s="361"/>
      <c r="Y130" s="361"/>
      <c r="Z130" s="361"/>
    </row>
    <row r="131" spans="4:26" x14ac:dyDescent="0.35">
      <c r="F131" s="361"/>
      <c r="G131" s="361"/>
      <c r="H131" s="361"/>
      <c r="I131" s="361"/>
      <c r="J131" s="361"/>
      <c r="K131" s="361"/>
      <c r="L131" s="361"/>
      <c r="M131" s="361"/>
      <c r="N131" s="361"/>
      <c r="O131" s="361"/>
      <c r="P131" s="361"/>
      <c r="Q131" s="361"/>
      <c r="R131" s="361"/>
      <c r="S131" s="361"/>
      <c r="T131" s="361"/>
      <c r="U131" s="361"/>
      <c r="V131" s="361"/>
      <c r="W131" s="361"/>
      <c r="X131" s="361"/>
      <c r="Y131" s="361"/>
      <c r="Z131" s="361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61" t="s">
        <v>256</v>
      </c>
      <c r="E143" s="361"/>
      <c r="F143" s="361"/>
      <c r="G143" s="361"/>
      <c r="H143" s="361"/>
      <c r="I143" s="361"/>
      <c r="J143" s="361"/>
      <c r="K143" s="361"/>
      <c r="L143" s="361"/>
      <c r="M143" s="361"/>
      <c r="N143" s="361"/>
      <c r="O143" s="361"/>
      <c r="P143" s="361"/>
      <c r="Q143" s="361"/>
      <c r="R143" s="361"/>
      <c r="S143" s="361"/>
      <c r="T143" s="361"/>
      <c r="U143" s="361"/>
      <c r="V143" s="361"/>
      <c r="W143" s="361"/>
      <c r="X143" s="361"/>
    </row>
    <row r="144" spans="4:26" x14ac:dyDescent="0.35">
      <c r="D144" s="361"/>
      <c r="E144" s="361"/>
      <c r="F144" s="361"/>
      <c r="G144" s="361"/>
      <c r="H144" s="361"/>
      <c r="I144" s="361"/>
      <c r="J144" s="361"/>
      <c r="K144" s="361"/>
      <c r="L144" s="361"/>
      <c r="M144" s="361"/>
      <c r="N144" s="361"/>
      <c r="O144" s="361"/>
      <c r="P144" s="361"/>
      <c r="Q144" s="361"/>
      <c r="R144" s="361"/>
      <c r="S144" s="361"/>
      <c r="T144" s="361"/>
      <c r="U144" s="361"/>
      <c r="V144" s="361"/>
      <c r="W144" s="361"/>
      <c r="X144" s="361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61" t="s">
        <v>261</v>
      </c>
      <c r="E152" s="361"/>
      <c r="F152" s="361"/>
      <c r="G152" s="361"/>
      <c r="H152" s="361"/>
      <c r="I152" s="361"/>
      <c r="J152" s="361"/>
      <c r="K152" s="361"/>
      <c r="L152" s="361"/>
      <c r="M152" s="361"/>
      <c r="N152" s="361"/>
      <c r="O152" s="361"/>
      <c r="P152" s="361"/>
      <c r="Q152" s="361"/>
      <c r="R152" s="361"/>
      <c r="S152" s="361"/>
      <c r="T152" s="361"/>
      <c r="U152" s="361"/>
      <c r="V152" s="361"/>
      <c r="W152" s="361"/>
      <c r="X152" s="361"/>
    </row>
    <row r="153" spans="4:24" x14ac:dyDescent="0.35">
      <c r="D153" s="361"/>
      <c r="E153" s="361"/>
      <c r="F153" s="361"/>
      <c r="G153" s="361"/>
      <c r="H153" s="361"/>
      <c r="I153" s="361"/>
      <c r="J153" s="361"/>
      <c r="K153" s="361"/>
      <c r="L153" s="361"/>
      <c r="M153" s="361"/>
      <c r="N153" s="361"/>
      <c r="O153" s="361"/>
      <c r="P153" s="361"/>
      <c r="Q153" s="361"/>
      <c r="R153" s="361"/>
      <c r="S153" s="361"/>
      <c r="T153" s="361"/>
      <c r="U153" s="361"/>
      <c r="V153" s="361"/>
      <c r="W153" s="361"/>
      <c r="X153" s="361"/>
    </row>
    <row r="154" spans="4:24" x14ac:dyDescent="0.35">
      <c r="G154" s="172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63" t="s">
        <v>445</v>
      </c>
      <c r="E50" s="363"/>
      <c r="F50" s="363"/>
      <c r="G50" s="363"/>
      <c r="H50" t="s">
        <v>446</v>
      </c>
    </row>
    <row r="51" spans="2:20" x14ac:dyDescent="0.35">
      <c r="D51" s="363"/>
      <c r="E51" s="363"/>
      <c r="F51" s="363"/>
      <c r="G51" s="363"/>
    </row>
    <row r="52" spans="2:20" x14ac:dyDescent="0.35">
      <c r="D52" s="363"/>
      <c r="E52" s="363"/>
      <c r="F52" s="363"/>
      <c r="G52" s="363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Sanjeet Chauhan</cp:lastModifiedBy>
  <cp:lastPrinted>2015-06-17T10:58:29Z</cp:lastPrinted>
  <dcterms:created xsi:type="dcterms:W3CDTF">2013-10-21T05:49:27Z</dcterms:created>
  <dcterms:modified xsi:type="dcterms:W3CDTF">2019-08-03T13:45:22Z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